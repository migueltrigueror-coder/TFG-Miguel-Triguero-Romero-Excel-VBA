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ml.chartshapes+xml"/>
  <Override PartName="/xl/charts/chart8.xml" ContentType="application/vnd.openxmlformats-officedocument.drawingml.chart+xml"/>
  <Override PartName="/xl/drawings/drawing7.xml" ContentType="application/vnd.openxmlformats-officedocument.drawingml.chartshapes+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10.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11.xml" ContentType="application/vnd.openxmlformats-officedocument.drawingml.chartshapes+xml"/>
  <Override PartName="/xl/charts/chart17.xml" ContentType="application/vnd.openxmlformats-officedocument.drawingml.chart+xml"/>
  <Override PartName="/xl/drawings/drawing12.xml" ContentType="application/vnd.openxmlformats-officedocument.drawingml.chartshapes+xml"/>
  <Override PartName="/xl/charts/chart1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migue\OneDrive\Escritorio\TFG\"/>
    </mc:Choice>
  </mc:AlternateContent>
  <xr:revisionPtr revIDLastSave="0" documentId="13_ncr:1_{B61E92E4-3352-4AB6-A037-771567552B75}" xr6:coauthVersionLast="47" xr6:coauthVersionMax="47" xr10:uidLastSave="{00000000-0000-0000-0000-000000000000}"/>
  <bookViews>
    <workbookView xWindow="-110" yWindow="-110" windowWidth="19420" windowHeight="10420" tabRatio="500" firstSheet="2" activeTab="2" xr2:uid="{00000000-000D-0000-FFFF-FFFF00000000}"/>
  </bookViews>
  <sheets>
    <sheet name="PORTADA" sheetId="2" r:id="rId1"/>
    <sheet name="Notas" sheetId="1" r:id="rId2"/>
    <sheet name="Informe Final Asignatura" sheetId="256" r:id="rId3"/>
    <sheet name="Informe 2º PARCIAL (15%)" sheetId="257" r:id="rId4"/>
    <sheet name="Informe Pepe Garcia Garcia" sheetId="261" r:id="rId5"/>
    <sheet name="Informe ACT COMP (15%)" sheetId="262" r:id="rId6"/>
  </sheets>
  <functionGroups builtInGroupCount="19"/>
  <definedNames>
    <definedName name="_xlnm._FilterDatabase" localSheetId="1" hidden="1">Notas!$I$1:$I$245</definedName>
    <definedName name="_xleta.OR" hidden="1" xlm="1">#NAME?</definedName>
    <definedName name="_xleta.PV" hidden="1" xlm="1">#NAME?</definedName>
    <definedName name="_xlnm.Print_Area" localSheetId="3">'Informe 2º PARCIAL (15%)'!$G$4:$AR$40</definedName>
    <definedName name="_xlnm.Print_Area" localSheetId="2">'Informe Final Asignatura'!$D$2:$M$82,'Informe Final Asignatura'!$O$2:$X$72</definedName>
    <definedName name="_xlnm.Print_Area" localSheetId="4">'Informe Pepe Garcia Garcia'!$A$1:$AF$15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00" i="262" l="1"/>
  <c r="AB101" i="262"/>
  <c r="AB102" i="262"/>
  <c r="AB103" i="262"/>
  <c r="AB104" i="262"/>
  <c r="AB105" i="262"/>
  <c r="AB106" i="262"/>
  <c r="AB107" i="262"/>
  <c r="AB108" i="262"/>
  <c r="AB109" i="262"/>
  <c r="AB100" i="257"/>
  <c r="AB101" i="257"/>
  <c r="AB102" i="257"/>
  <c r="AB103" i="257"/>
  <c r="AB104" i="257"/>
  <c r="AB105" i="257"/>
  <c r="AB106" i="257"/>
  <c r="AB107" i="257"/>
  <c r="AB108" i="257"/>
  <c r="AB109" i="257"/>
  <c r="M7" i="1"/>
  <c r="P7" i="1"/>
  <c r="S7" i="1"/>
  <c r="T7" i="1"/>
  <c r="U7" i="1"/>
  <c r="X7" i="1"/>
  <c r="Y7" i="1"/>
  <c r="Z7" i="1" a="1"/>
  <c r="Z7" i="1" s="1"/>
  <c r="AA7" i="1"/>
  <c r="AB7" i="1" a="1"/>
  <c r="AB7" i="1" s="1"/>
  <c r="M8" i="1"/>
  <c r="P8" i="1"/>
  <c r="S8" i="1"/>
  <c r="X8" i="1"/>
  <c r="Y8" i="1"/>
  <c r="Z8" i="1" a="1"/>
  <c r="Z8" i="1" s="1"/>
  <c r="AA8" i="1"/>
  <c r="AB8" i="1" a="1"/>
  <c r="AB8" i="1"/>
  <c r="K9" i="1" a="1"/>
  <c r="K9" i="1" s="1"/>
  <c r="L9" i="1"/>
  <c r="M9" i="1"/>
  <c r="N9" i="1" a="1"/>
  <c r="N9" i="1" s="1"/>
  <c r="O9" i="1"/>
  <c r="P9" i="1"/>
  <c r="Q9" i="1" a="1"/>
  <c r="Q9" i="1" s="1"/>
  <c r="R9" i="1"/>
  <c r="S9" i="1"/>
  <c r="T9" i="1"/>
  <c r="U9" i="1"/>
  <c r="V9" i="1" a="1"/>
  <c r="V9" i="1" s="1"/>
  <c r="W9" i="1"/>
  <c r="X9" i="1"/>
  <c r="Y9" i="1"/>
  <c r="Z9" i="1" a="1"/>
  <c r="Z9" i="1" s="1"/>
  <c r="AA9" i="1"/>
  <c r="AB9" i="1" a="1"/>
  <c r="AB9" i="1" s="1"/>
  <c r="M10" i="1"/>
  <c r="P10" i="1"/>
  <c r="S10" i="1"/>
  <c r="X10" i="1"/>
  <c r="Y10" i="1"/>
  <c r="Z10" i="1" a="1"/>
  <c r="Z10" i="1" s="1"/>
  <c r="AA10" i="1"/>
  <c r="AB10" i="1" a="1"/>
  <c r="AB10" i="1"/>
  <c r="M11" i="1"/>
  <c r="T11" i="1" s="1"/>
  <c r="P11" i="1"/>
  <c r="S11" i="1"/>
  <c r="X11" i="1"/>
  <c r="Y11" i="1"/>
  <c r="Z11" i="1" a="1"/>
  <c r="Z11" i="1" s="1"/>
  <c r="AA11" i="1"/>
  <c r="AB11" i="1" a="1"/>
  <c r="AB11" i="1" s="1"/>
  <c r="M12" i="1"/>
  <c r="P12" i="1"/>
  <c r="S12" i="1"/>
  <c r="X12" i="1"/>
  <c r="Y12" i="1"/>
  <c r="Z12" i="1" a="1"/>
  <c r="Z12" i="1" s="1"/>
  <c r="AA12" i="1"/>
  <c r="AB12" i="1" a="1"/>
  <c r="AB12" i="1"/>
  <c r="M13" i="1"/>
  <c r="T13" i="1" s="1"/>
  <c r="P13" i="1"/>
  <c r="S13" i="1"/>
  <c r="X13" i="1"/>
  <c r="Y13" i="1"/>
  <c r="Z13" i="1" a="1"/>
  <c r="Z13" i="1" s="1"/>
  <c r="AA13" i="1"/>
  <c r="AB13" i="1" a="1"/>
  <c r="AB13" i="1" s="1"/>
  <c r="M14" i="1"/>
  <c r="P14" i="1"/>
  <c r="S14" i="1"/>
  <c r="X14" i="1"/>
  <c r="Y14" i="1"/>
  <c r="Z14" i="1" a="1"/>
  <c r="Z14" i="1" s="1"/>
  <c r="AA14" i="1"/>
  <c r="AB14" i="1" a="1"/>
  <c r="AB14" i="1"/>
  <c r="M15" i="1"/>
  <c r="P15" i="1"/>
  <c r="S15" i="1"/>
  <c r="X15" i="1"/>
  <c r="Y15" i="1"/>
  <c r="Z15" i="1" a="1"/>
  <c r="Z15" i="1" s="1"/>
  <c r="AA15" i="1"/>
  <c r="AB15" i="1" a="1"/>
  <c r="AB15" i="1" s="1"/>
  <c r="M18" i="1"/>
  <c r="P18" i="1"/>
  <c r="S18" i="1"/>
  <c r="X18" i="1"/>
  <c r="Y18" i="1"/>
  <c r="Z18" i="1" a="1"/>
  <c r="Z18" i="1" s="1"/>
  <c r="AA18" i="1"/>
  <c r="AB18" i="1" a="1"/>
  <c r="AB18" i="1"/>
  <c r="M19" i="1"/>
  <c r="T19" i="1" s="1"/>
  <c r="P19" i="1"/>
  <c r="S19" i="1"/>
  <c r="X19" i="1"/>
  <c r="Y19" i="1"/>
  <c r="Z19" i="1" a="1"/>
  <c r="Z19" i="1" s="1"/>
  <c r="AA19" i="1"/>
  <c r="AB19" i="1" a="1"/>
  <c r="AB19" i="1" s="1"/>
  <c r="M20" i="1"/>
  <c r="P20" i="1"/>
  <c r="S20" i="1"/>
  <c r="X20" i="1"/>
  <c r="Y20" i="1"/>
  <c r="Z20" i="1" a="1"/>
  <c r="Z20" i="1" s="1"/>
  <c r="AA20" i="1"/>
  <c r="AB20" i="1" a="1"/>
  <c r="AB20" i="1"/>
  <c r="M21" i="1"/>
  <c r="T21" i="1" s="1"/>
  <c r="P21" i="1"/>
  <c r="S21" i="1"/>
  <c r="X21" i="1"/>
  <c r="Y21" i="1"/>
  <c r="Z21" i="1" a="1"/>
  <c r="Z21" i="1" s="1"/>
  <c r="AA21" i="1"/>
  <c r="AB21" i="1" a="1"/>
  <c r="AB21" i="1" s="1"/>
  <c r="K22" i="1" a="1"/>
  <c r="K22" i="1" s="1"/>
  <c r="L22" i="1"/>
  <c r="M22" i="1"/>
  <c r="N22" i="1" a="1"/>
  <c r="N22" i="1" s="1"/>
  <c r="O22" i="1"/>
  <c r="P22" i="1"/>
  <c r="Q22" i="1" a="1"/>
  <c r="Q22" i="1" s="1"/>
  <c r="R22" i="1"/>
  <c r="S22" i="1"/>
  <c r="T22" i="1"/>
  <c r="U22" i="1"/>
  <c r="V22" i="1" a="1"/>
  <c r="V22" i="1" s="1"/>
  <c r="W22" i="1"/>
  <c r="X22" i="1"/>
  <c r="Y22" i="1"/>
  <c r="Z22" i="1" a="1"/>
  <c r="Z22" i="1" s="1"/>
  <c r="AA22" i="1"/>
  <c r="AB22" i="1" a="1"/>
  <c r="AB22" i="1"/>
  <c r="M23" i="1"/>
  <c r="P23" i="1"/>
  <c r="S23" i="1"/>
  <c r="X23" i="1"/>
  <c r="Y23" i="1"/>
  <c r="Z23" i="1" a="1"/>
  <c r="Z23" i="1" s="1"/>
  <c r="AA23" i="1"/>
  <c r="AB23" i="1" a="1"/>
  <c r="AB23" i="1" s="1"/>
  <c r="M24" i="1"/>
  <c r="P24" i="1"/>
  <c r="S24" i="1"/>
  <c r="X24" i="1"/>
  <c r="Y24" i="1"/>
  <c r="Z24" i="1" a="1"/>
  <c r="Z24" i="1" s="1"/>
  <c r="AA24" i="1"/>
  <c r="AB24" i="1" a="1"/>
  <c r="AB24" i="1"/>
  <c r="M25" i="1"/>
  <c r="P25" i="1"/>
  <c r="S25" i="1"/>
  <c r="X25" i="1"/>
  <c r="Y25" i="1"/>
  <c r="Z25" i="1" a="1"/>
  <c r="Z25" i="1" s="1"/>
  <c r="AA25" i="1"/>
  <c r="AB25" i="1" a="1"/>
  <c r="AB25" i="1" s="1"/>
  <c r="M26" i="1"/>
  <c r="P26" i="1"/>
  <c r="S26" i="1"/>
  <c r="X26" i="1"/>
  <c r="Y26" i="1"/>
  <c r="Z26" i="1" a="1"/>
  <c r="Z26" i="1" s="1"/>
  <c r="AA26" i="1"/>
  <c r="AB26" i="1" a="1"/>
  <c r="AB26" i="1"/>
  <c r="M27" i="1"/>
  <c r="P27" i="1"/>
  <c r="S27" i="1"/>
  <c r="X27" i="1"/>
  <c r="Y27" i="1"/>
  <c r="Z27" i="1" a="1"/>
  <c r="Z27" i="1" s="1"/>
  <c r="AA27" i="1"/>
  <c r="AB27" i="1" a="1"/>
  <c r="AB27" i="1" s="1"/>
  <c r="M28" i="1"/>
  <c r="P28" i="1"/>
  <c r="S28" i="1"/>
  <c r="X28" i="1"/>
  <c r="Y28" i="1"/>
  <c r="Z28" i="1" a="1"/>
  <c r="Z28" i="1" s="1"/>
  <c r="AA28" i="1"/>
  <c r="AB28" i="1" a="1"/>
  <c r="AB28" i="1" s="1"/>
  <c r="M29" i="1"/>
  <c r="P29" i="1"/>
  <c r="S29" i="1"/>
  <c r="X29" i="1"/>
  <c r="Y29" i="1"/>
  <c r="Z29" i="1" a="1"/>
  <c r="Z29" i="1" s="1"/>
  <c r="AA29" i="1"/>
  <c r="AB29" i="1" a="1"/>
  <c r="AB29" i="1" s="1"/>
  <c r="M32" i="1"/>
  <c r="P32" i="1"/>
  <c r="S32" i="1"/>
  <c r="X32" i="1"/>
  <c r="Y32" i="1"/>
  <c r="Z32" i="1" a="1"/>
  <c r="Z32" i="1" s="1"/>
  <c r="AA32" i="1"/>
  <c r="AB32" i="1" a="1"/>
  <c r="AB32" i="1" s="1"/>
  <c r="M33" i="1"/>
  <c r="P33" i="1"/>
  <c r="S33" i="1"/>
  <c r="X33" i="1"/>
  <c r="Y33" i="1"/>
  <c r="Z33" i="1" a="1"/>
  <c r="Z33" i="1" s="1"/>
  <c r="AA33" i="1"/>
  <c r="AB33" i="1" a="1"/>
  <c r="AB33" i="1" s="1"/>
  <c r="M34" i="1"/>
  <c r="P34" i="1"/>
  <c r="S34" i="1"/>
  <c r="X34" i="1"/>
  <c r="Y34" i="1"/>
  <c r="Z34" i="1" a="1"/>
  <c r="Z34" i="1"/>
  <c r="AA34" i="1"/>
  <c r="AB34" i="1" a="1"/>
  <c r="AB34" i="1"/>
  <c r="M35" i="1"/>
  <c r="U35" i="1" s="1"/>
  <c r="P35" i="1"/>
  <c r="S35" i="1"/>
  <c r="T35" i="1"/>
  <c r="X35" i="1"/>
  <c r="Y35" i="1"/>
  <c r="Z35" i="1" a="1"/>
  <c r="Z35" i="1" s="1"/>
  <c r="AA35" i="1"/>
  <c r="AB35" i="1" a="1"/>
  <c r="AB35" i="1" s="1"/>
  <c r="M36" i="1"/>
  <c r="P36" i="1"/>
  <c r="U36" i="1" s="1"/>
  <c r="S36" i="1"/>
  <c r="X36" i="1"/>
  <c r="Y36" i="1"/>
  <c r="Z36" i="1" a="1"/>
  <c r="Z36" i="1" s="1"/>
  <c r="AA36" i="1"/>
  <c r="AB36" i="1" a="1"/>
  <c r="AB36" i="1" s="1"/>
  <c r="M37" i="1"/>
  <c r="U37" i="1" s="1"/>
  <c r="P37" i="1"/>
  <c r="S37" i="1"/>
  <c r="T37" i="1"/>
  <c r="X37" i="1"/>
  <c r="Y37" i="1"/>
  <c r="Z37" i="1" a="1"/>
  <c r="Z37" i="1" s="1"/>
  <c r="AA37" i="1"/>
  <c r="AB37" i="1" a="1"/>
  <c r="AB37" i="1" s="1"/>
  <c r="M38" i="1"/>
  <c r="P38" i="1"/>
  <c r="U38" i="1" s="1"/>
  <c r="S38" i="1"/>
  <c r="T38" i="1"/>
  <c r="X38" i="1"/>
  <c r="Y38" i="1"/>
  <c r="Z38" i="1" a="1"/>
  <c r="Z38" i="1" s="1"/>
  <c r="AA38" i="1"/>
  <c r="AB38" i="1" a="1"/>
  <c r="AB38" i="1" s="1"/>
  <c r="M39" i="1"/>
  <c r="U39" i="1" s="1"/>
  <c r="P39" i="1"/>
  <c r="S39" i="1"/>
  <c r="X39" i="1"/>
  <c r="Y39" i="1"/>
  <c r="Z39" i="1" a="1"/>
  <c r="Z39" i="1"/>
  <c r="AA39" i="1"/>
  <c r="AB39" i="1" a="1"/>
  <c r="AB39" i="1" s="1"/>
  <c r="M40" i="1"/>
  <c r="P40" i="1"/>
  <c r="S40" i="1"/>
  <c r="T40" i="1"/>
  <c r="X40" i="1"/>
  <c r="Y40" i="1"/>
  <c r="Z40" i="1" a="1"/>
  <c r="Z40" i="1" s="1"/>
  <c r="AA40" i="1"/>
  <c r="AB40" i="1" a="1"/>
  <c r="AB40" i="1" s="1"/>
  <c r="M41" i="1"/>
  <c r="U41" i="1" s="1"/>
  <c r="P41" i="1"/>
  <c r="S41" i="1"/>
  <c r="X41" i="1"/>
  <c r="Y41" i="1"/>
  <c r="Z41" i="1" a="1"/>
  <c r="Z41" i="1"/>
  <c r="AA41" i="1"/>
  <c r="AB41" i="1" a="1"/>
  <c r="AB41" i="1" s="1"/>
  <c r="M42" i="1"/>
  <c r="P42" i="1"/>
  <c r="U42" i="1" s="1"/>
  <c r="S42" i="1"/>
  <c r="X42" i="1"/>
  <c r="Y42" i="1"/>
  <c r="Z42" i="1" a="1"/>
  <c r="Z42" i="1" s="1"/>
  <c r="AA42" i="1"/>
  <c r="AB42" i="1" a="1"/>
  <c r="AB42" i="1"/>
  <c r="M43" i="1"/>
  <c r="U43" i="1" s="1"/>
  <c r="P43" i="1"/>
  <c r="S43" i="1"/>
  <c r="X43" i="1"/>
  <c r="Y43" i="1"/>
  <c r="Z43" i="1" a="1"/>
  <c r="Z43" i="1" s="1"/>
  <c r="AA43" i="1"/>
  <c r="AB43" i="1" a="1"/>
  <c r="AB43" i="1" s="1"/>
  <c r="M44" i="1"/>
  <c r="P44" i="1"/>
  <c r="U44" i="1" s="1"/>
  <c r="S44" i="1"/>
  <c r="X44" i="1"/>
  <c r="Y44" i="1"/>
  <c r="Z44" i="1" a="1"/>
  <c r="Z44" i="1"/>
  <c r="AA44" i="1"/>
  <c r="AB44" i="1" a="1"/>
  <c r="AB44" i="1" s="1"/>
  <c r="M47" i="1"/>
  <c r="P47" i="1"/>
  <c r="S47" i="1"/>
  <c r="U47" i="1"/>
  <c r="X47" i="1"/>
  <c r="Y47" i="1"/>
  <c r="Z47" i="1" a="1"/>
  <c r="Z47" i="1"/>
  <c r="AA47" i="1"/>
  <c r="AB47" i="1" a="1"/>
  <c r="AB47" i="1" s="1"/>
  <c r="M48" i="1"/>
  <c r="P48" i="1"/>
  <c r="U48" i="1" s="1"/>
  <c r="S48" i="1"/>
  <c r="T48" i="1"/>
  <c r="X48" i="1"/>
  <c r="Y48" i="1"/>
  <c r="Z48" i="1" a="1"/>
  <c r="Z48" i="1"/>
  <c r="AA48" i="1"/>
  <c r="AB48" i="1" a="1"/>
  <c r="AB48" i="1" s="1"/>
  <c r="M49" i="1"/>
  <c r="T49" i="1" s="1"/>
  <c r="P49" i="1"/>
  <c r="S49" i="1"/>
  <c r="X49" i="1"/>
  <c r="Y49" i="1"/>
  <c r="Z49" i="1" a="1"/>
  <c r="Z49" i="1" s="1"/>
  <c r="AA49" i="1"/>
  <c r="AB49" i="1" a="1"/>
  <c r="AB49" i="1" s="1"/>
  <c r="M50" i="1"/>
  <c r="P50" i="1"/>
  <c r="S50" i="1"/>
  <c r="X50" i="1"/>
  <c r="Y50" i="1"/>
  <c r="Z50" i="1" a="1"/>
  <c r="Z50" i="1" s="1"/>
  <c r="AA50" i="1"/>
  <c r="AB50" i="1" a="1"/>
  <c r="AB50" i="1"/>
  <c r="M51" i="1"/>
  <c r="P51" i="1"/>
  <c r="S51" i="1"/>
  <c r="U51" i="1"/>
  <c r="X51" i="1"/>
  <c r="Y51" i="1"/>
  <c r="Z51" i="1" a="1"/>
  <c r="Z51" i="1"/>
  <c r="AA51" i="1"/>
  <c r="AB51" i="1" a="1"/>
  <c r="AB51" i="1" s="1"/>
  <c r="M52" i="1"/>
  <c r="P52" i="1"/>
  <c r="S52" i="1"/>
  <c r="X52" i="1"/>
  <c r="Y52" i="1"/>
  <c r="Z52" i="1" a="1"/>
  <c r="Z52" i="1"/>
  <c r="AA52" i="1"/>
  <c r="AB52" i="1" a="1"/>
  <c r="AB52" i="1" s="1"/>
  <c r="M53" i="1"/>
  <c r="P53" i="1"/>
  <c r="S53" i="1"/>
  <c r="T53" i="1"/>
  <c r="U53" i="1"/>
  <c r="X53" i="1"/>
  <c r="Y53" i="1"/>
  <c r="Z53" i="1" a="1"/>
  <c r="Z53" i="1" s="1"/>
  <c r="AA53" i="1"/>
  <c r="AB53" i="1" a="1"/>
  <c r="AB53" i="1" s="1"/>
  <c r="M54" i="1"/>
  <c r="P54" i="1"/>
  <c r="T54" i="1" s="1"/>
  <c r="S54" i="1"/>
  <c r="X54" i="1"/>
  <c r="Y54" i="1"/>
  <c r="Z54" i="1" a="1"/>
  <c r="Z54" i="1"/>
  <c r="AA54" i="1"/>
  <c r="AB54" i="1" a="1"/>
  <c r="AB54" i="1" s="1"/>
  <c r="M55" i="1"/>
  <c r="T55" i="1" s="1"/>
  <c r="P55" i="1"/>
  <c r="S55" i="1"/>
  <c r="X55" i="1"/>
  <c r="Y55" i="1"/>
  <c r="Z55" i="1" a="1"/>
  <c r="Z55" i="1"/>
  <c r="AA55" i="1"/>
  <c r="AB55" i="1" a="1"/>
  <c r="AB55" i="1" s="1"/>
  <c r="M56" i="1"/>
  <c r="P56" i="1"/>
  <c r="T56" i="1" s="1"/>
  <c r="S56" i="1"/>
  <c r="X56" i="1"/>
  <c r="Y56" i="1"/>
  <c r="Z56" i="1" a="1"/>
  <c r="Z56" i="1" s="1"/>
  <c r="AA56" i="1"/>
  <c r="AB56" i="1" a="1"/>
  <c r="AB56" i="1"/>
  <c r="M57" i="1"/>
  <c r="P57" i="1"/>
  <c r="T57" i="1" s="1"/>
  <c r="S57" i="1"/>
  <c r="U57" i="1"/>
  <c r="X57" i="1"/>
  <c r="Y57" i="1"/>
  <c r="Z57" i="1" a="1"/>
  <c r="Z57" i="1"/>
  <c r="AA57" i="1"/>
  <c r="AB57" i="1" a="1"/>
  <c r="AB57" i="1" s="1"/>
  <c r="M58" i="1"/>
  <c r="T58" i="1" s="1"/>
  <c r="P58" i="1"/>
  <c r="S58" i="1"/>
  <c r="U58" i="1"/>
  <c r="X58" i="1"/>
  <c r="Y58" i="1"/>
  <c r="Z58" i="1" a="1"/>
  <c r="Z58" i="1" s="1"/>
  <c r="AA58" i="1"/>
  <c r="AB58" i="1" a="1"/>
  <c r="AB58" i="1"/>
  <c r="M59" i="1"/>
  <c r="P59" i="1"/>
  <c r="S59" i="1"/>
  <c r="U59" i="1"/>
  <c r="X59" i="1"/>
  <c r="Y59" i="1"/>
  <c r="Z59" i="1" a="1"/>
  <c r="Z59" i="1" s="1"/>
  <c r="AA59" i="1"/>
  <c r="AB59" i="1" a="1"/>
  <c r="AB59" i="1"/>
  <c r="M62" i="1"/>
  <c r="P62" i="1"/>
  <c r="U62" i="1" s="1"/>
  <c r="S62" i="1"/>
  <c r="T62" i="1"/>
  <c r="X62" i="1"/>
  <c r="Y62" i="1"/>
  <c r="Z62" i="1" a="1"/>
  <c r="Z62" i="1"/>
  <c r="AA62" i="1"/>
  <c r="AB62" i="1" a="1"/>
  <c r="AB62" i="1" s="1"/>
  <c r="M63" i="1"/>
  <c r="P63" i="1"/>
  <c r="S63" i="1"/>
  <c r="X63" i="1"/>
  <c r="Y63" i="1"/>
  <c r="Z63" i="1" a="1"/>
  <c r="Z63" i="1"/>
  <c r="AA63" i="1"/>
  <c r="AB63" i="1" a="1"/>
  <c r="AB63" i="1" s="1"/>
  <c r="M64" i="1"/>
  <c r="P64" i="1"/>
  <c r="T64" i="1" s="1"/>
  <c r="S64" i="1"/>
  <c r="X64" i="1"/>
  <c r="Y64" i="1"/>
  <c r="Z64" i="1" a="1"/>
  <c r="Z64" i="1" s="1"/>
  <c r="AA64" i="1"/>
  <c r="AB64" i="1" a="1"/>
  <c r="AB64" i="1"/>
  <c r="M65" i="1"/>
  <c r="P65" i="1"/>
  <c r="T65" i="1" s="1"/>
  <c r="S65" i="1"/>
  <c r="U65" i="1"/>
  <c r="X65" i="1"/>
  <c r="Y65" i="1"/>
  <c r="Z65" i="1" a="1"/>
  <c r="Z65" i="1"/>
  <c r="AA65" i="1"/>
  <c r="AB65" i="1" a="1"/>
  <c r="AB65" i="1"/>
  <c r="M66" i="1"/>
  <c r="T66" i="1" s="1"/>
  <c r="P66" i="1"/>
  <c r="S66" i="1"/>
  <c r="U66" i="1"/>
  <c r="X66" i="1"/>
  <c r="Y66" i="1"/>
  <c r="Z66" i="1" a="1"/>
  <c r="Z66" i="1" s="1"/>
  <c r="AA66" i="1"/>
  <c r="AB66" i="1" a="1"/>
  <c r="AB66" i="1"/>
  <c r="M67" i="1"/>
  <c r="P67" i="1"/>
  <c r="S67" i="1"/>
  <c r="U67" i="1"/>
  <c r="X67" i="1"/>
  <c r="Y67" i="1"/>
  <c r="Z67" i="1" a="1"/>
  <c r="Z67" i="1" s="1"/>
  <c r="AA67" i="1"/>
  <c r="AB67" i="1" a="1"/>
  <c r="AB67" i="1"/>
  <c r="K68" i="1" a="1"/>
  <c r="K68" i="1" s="1"/>
  <c r="L68" i="1"/>
  <c r="M68" i="1"/>
  <c r="N68" i="1" a="1"/>
  <c r="N68" i="1" s="1"/>
  <c r="O68" i="1"/>
  <c r="P68" i="1"/>
  <c r="Q68" i="1" a="1"/>
  <c r="Q68" i="1" s="1"/>
  <c r="R68" i="1"/>
  <c r="S68" i="1"/>
  <c r="T68" i="1"/>
  <c r="U68" i="1"/>
  <c r="V68" i="1" a="1"/>
  <c r="V68" i="1" s="1"/>
  <c r="W68" i="1"/>
  <c r="X68" i="1"/>
  <c r="Y68" i="1"/>
  <c r="Z68" i="1" a="1"/>
  <c r="Z68" i="1"/>
  <c r="AA68" i="1"/>
  <c r="AB68" i="1" a="1"/>
  <c r="AB68" i="1"/>
  <c r="M69" i="1"/>
  <c r="P69" i="1"/>
  <c r="U69" i="1" s="1"/>
  <c r="S69" i="1"/>
  <c r="T69" i="1"/>
  <c r="X69" i="1"/>
  <c r="Y69" i="1"/>
  <c r="Z69" i="1" a="1"/>
  <c r="Z69" i="1"/>
  <c r="AA69" i="1"/>
  <c r="AB69" i="1" a="1"/>
  <c r="AB69" i="1"/>
  <c r="M70" i="1"/>
  <c r="P70" i="1"/>
  <c r="U70" i="1" s="1"/>
  <c r="R70" i="1"/>
  <c r="S70" i="1"/>
  <c r="T70" i="1"/>
  <c r="X70" i="1"/>
  <c r="Y70" i="1"/>
  <c r="Z70" i="1" a="1"/>
  <c r="Z70" i="1"/>
  <c r="AA70" i="1"/>
  <c r="AB70" i="1" a="1"/>
  <c r="AB70" i="1" s="1"/>
  <c r="M71" i="1"/>
  <c r="P71" i="1"/>
  <c r="S71" i="1"/>
  <c r="X71" i="1"/>
  <c r="Y71" i="1"/>
  <c r="Z71" i="1" a="1"/>
  <c r="Z71" i="1"/>
  <c r="AA71" i="1"/>
  <c r="AB71" i="1" a="1"/>
  <c r="AB71" i="1" s="1"/>
  <c r="M72" i="1"/>
  <c r="P72" i="1"/>
  <c r="T72" i="1" s="1"/>
  <c r="S72" i="1"/>
  <c r="X72" i="1"/>
  <c r="Y72" i="1"/>
  <c r="Z72" i="1" a="1"/>
  <c r="Z72" i="1" s="1"/>
  <c r="AA72" i="1"/>
  <c r="AB72" i="1" a="1"/>
  <c r="AB72" i="1"/>
  <c r="M73" i="1"/>
  <c r="P73" i="1"/>
  <c r="T73" i="1" s="1"/>
  <c r="S73" i="1"/>
  <c r="U73" i="1"/>
  <c r="X73" i="1"/>
  <c r="Y73" i="1"/>
  <c r="Z73" i="1" a="1"/>
  <c r="Z73" i="1"/>
  <c r="AA73" i="1"/>
  <c r="AB73" i="1" a="1"/>
  <c r="AB73" i="1" s="1"/>
  <c r="K74" i="1" a="1"/>
  <c r="K74" i="1" s="1"/>
  <c r="L74" i="1"/>
  <c r="M74" i="1"/>
  <c r="N74" i="1" a="1"/>
  <c r="N74" i="1" s="1"/>
  <c r="O74" i="1"/>
  <c r="P74" i="1"/>
  <c r="Q74" i="1" a="1"/>
  <c r="Q74" i="1" s="1"/>
  <c r="R74" i="1"/>
  <c r="S74" i="1"/>
  <c r="T74" i="1"/>
  <c r="U74" i="1"/>
  <c r="V74" i="1" a="1"/>
  <c r="V74" i="1" s="1"/>
  <c r="W74" i="1"/>
  <c r="X74" i="1"/>
  <c r="Y74" i="1"/>
  <c r="Z74" i="1" a="1"/>
  <c r="Z74" i="1" s="1"/>
  <c r="AA74" i="1"/>
  <c r="AB74" i="1" a="1"/>
  <c r="AB74" i="1"/>
  <c r="M77" i="1"/>
  <c r="P77" i="1"/>
  <c r="U77" i="1" s="1"/>
  <c r="S77" i="1"/>
  <c r="T77" i="1"/>
  <c r="X77" i="1"/>
  <c r="Y77" i="1"/>
  <c r="Z77" i="1" a="1"/>
  <c r="Z77" i="1"/>
  <c r="AA77" i="1"/>
  <c r="AB77" i="1" a="1"/>
  <c r="AB77" i="1"/>
  <c r="M78" i="1"/>
  <c r="P78" i="1"/>
  <c r="U78" i="1" s="1"/>
  <c r="S78" i="1"/>
  <c r="T78" i="1"/>
  <c r="X78" i="1"/>
  <c r="Y78" i="1"/>
  <c r="Z78" i="1" a="1"/>
  <c r="Z78" i="1"/>
  <c r="AA78" i="1"/>
  <c r="AB78" i="1" a="1"/>
  <c r="AB78" i="1" s="1"/>
  <c r="K79" i="1" a="1"/>
  <c r="K79" i="1" s="1"/>
  <c r="L79" i="1"/>
  <c r="M79" i="1"/>
  <c r="N79" i="1" a="1"/>
  <c r="N79" i="1" s="1"/>
  <c r="O79" i="1"/>
  <c r="P79" i="1"/>
  <c r="Q79" i="1" a="1"/>
  <c r="Q79" i="1" s="1"/>
  <c r="R79" i="1"/>
  <c r="S79" i="1"/>
  <c r="T79" i="1"/>
  <c r="U79" i="1"/>
  <c r="V79" i="1" a="1"/>
  <c r="V79" i="1" s="1"/>
  <c r="W79" i="1"/>
  <c r="X79" i="1"/>
  <c r="Y79" i="1"/>
  <c r="Z79" i="1" a="1"/>
  <c r="Z79" i="1"/>
  <c r="AA79" i="1"/>
  <c r="AB79" i="1" a="1"/>
  <c r="AB79" i="1" s="1"/>
  <c r="M80" i="1"/>
  <c r="P80" i="1"/>
  <c r="T80" i="1" s="1"/>
  <c r="S80" i="1"/>
  <c r="X80" i="1"/>
  <c r="Y80" i="1"/>
  <c r="Z80" i="1" a="1"/>
  <c r="Z80" i="1" s="1"/>
  <c r="AA80" i="1"/>
  <c r="AB80" i="1" a="1"/>
  <c r="AB80" i="1"/>
  <c r="M81" i="1"/>
  <c r="P81" i="1"/>
  <c r="T81" i="1" s="1"/>
  <c r="S81" i="1"/>
  <c r="X81" i="1"/>
  <c r="Y81" i="1"/>
  <c r="Z81" i="1" a="1"/>
  <c r="Z81" i="1" s="1"/>
  <c r="AA81" i="1"/>
  <c r="AB81" i="1" a="1"/>
  <c r="AB81" i="1" s="1"/>
  <c r="M82" i="1"/>
  <c r="T82" i="1" s="1"/>
  <c r="P82" i="1"/>
  <c r="R82" i="1" s="1"/>
  <c r="S82" i="1"/>
  <c r="X82" i="1"/>
  <c r="Y82" i="1"/>
  <c r="Z82" i="1" a="1"/>
  <c r="Z82" i="1" s="1"/>
  <c r="AA82" i="1"/>
  <c r="AB82" i="1" a="1"/>
  <c r="AB82" i="1" s="1"/>
  <c r="M83" i="1"/>
  <c r="P83" i="1"/>
  <c r="S83" i="1"/>
  <c r="X83" i="1"/>
  <c r="Y83" i="1"/>
  <c r="Z83" i="1" a="1"/>
  <c r="Z83" i="1" s="1"/>
  <c r="AA83" i="1"/>
  <c r="AB83" i="1" a="1"/>
  <c r="AB83" i="1"/>
  <c r="M84" i="1"/>
  <c r="P84" i="1"/>
  <c r="T84" i="1" s="1"/>
  <c r="S84" i="1"/>
  <c r="X84" i="1"/>
  <c r="Y84" i="1"/>
  <c r="Z84" i="1" a="1"/>
  <c r="Z84" i="1"/>
  <c r="AA84" i="1"/>
  <c r="AB84" i="1" a="1"/>
  <c r="AB84" i="1"/>
  <c r="M85" i="1"/>
  <c r="P85" i="1"/>
  <c r="U85" i="1" s="1"/>
  <c r="S85" i="1"/>
  <c r="T85" i="1"/>
  <c r="X85" i="1"/>
  <c r="Y85" i="1"/>
  <c r="Z85" i="1" a="1"/>
  <c r="Z85" i="1"/>
  <c r="AA85" i="1"/>
  <c r="AB85" i="1" a="1"/>
  <c r="AB85" i="1"/>
  <c r="M86" i="1"/>
  <c r="P86" i="1"/>
  <c r="U86" i="1" s="1"/>
  <c r="S86" i="1"/>
  <c r="T86" i="1"/>
  <c r="X86" i="1"/>
  <c r="Y86" i="1"/>
  <c r="Z86" i="1" a="1"/>
  <c r="Z86" i="1"/>
  <c r="AA86" i="1"/>
  <c r="AB86" i="1" a="1"/>
  <c r="AB86" i="1" s="1"/>
  <c r="M87" i="1"/>
  <c r="P87" i="1"/>
  <c r="S87" i="1"/>
  <c r="X87" i="1"/>
  <c r="Y87" i="1"/>
  <c r="Z87" i="1" a="1"/>
  <c r="Z87" i="1"/>
  <c r="AA87" i="1"/>
  <c r="AB87" i="1" a="1"/>
  <c r="AB87" i="1" s="1"/>
  <c r="M88" i="1"/>
  <c r="P88" i="1"/>
  <c r="T88" i="1" s="1"/>
  <c r="R88" i="1"/>
  <c r="S88" i="1"/>
  <c r="X88" i="1"/>
  <c r="Y88" i="1"/>
  <c r="Z88" i="1" a="1"/>
  <c r="Z88" i="1" s="1"/>
  <c r="AA88" i="1"/>
  <c r="AB88" i="1" a="1"/>
  <c r="AB88" i="1"/>
  <c r="M93" i="1"/>
  <c r="P93" i="1"/>
  <c r="R93" i="1" s="1"/>
  <c r="S93" i="1"/>
  <c r="X93" i="1"/>
  <c r="Y93" i="1"/>
  <c r="Z93" i="1" a="1"/>
  <c r="Z93" i="1"/>
  <c r="AA93" i="1"/>
  <c r="AB93" i="1" a="1"/>
  <c r="AB93" i="1"/>
  <c r="M94" i="1"/>
  <c r="U94" i="1" s="1"/>
  <c r="P94" i="1"/>
  <c r="T94" i="1" s="1"/>
  <c r="R94" i="1"/>
  <c r="S94" i="1"/>
  <c r="X94" i="1"/>
  <c r="Y94" i="1"/>
  <c r="Z94" i="1" a="1"/>
  <c r="Z94" i="1"/>
  <c r="AA94" i="1"/>
  <c r="AB94" i="1" a="1"/>
  <c r="AB94" i="1"/>
  <c r="K95" i="1" a="1"/>
  <c r="K95" i="1" s="1"/>
  <c r="L95" i="1"/>
  <c r="M95" i="1"/>
  <c r="N95" i="1" a="1"/>
  <c r="N95" i="1" s="1"/>
  <c r="O95" i="1"/>
  <c r="P95" i="1"/>
  <c r="Q95" i="1" a="1"/>
  <c r="Q95" i="1" s="1"/>
  <c r="R95" i="1"/>
  <c r="S95" i="1"/>
  <c r="T95" i="1"/>
  <c r="U95" i="1"/>
  <c r="V95" i="1" a="1"/>
  <c r="V95" i="1" s="1"/>
  <c r="W95" i="1"/>
  <c r="X95" i="1"/>
  <c r="Y95" i="1"/>
  <c r="Z95" i="1" a="1"/>
  <c r="Z95" i="1" s="1"/>
  <c r="AA95" i="1"/>
  <c r="AB95" i="1" a="1"/>
  <c r="AB95" i="1"/>
  <c r="M96" i="1"/>
  <c r="U96" i="1" s="1"/>
  <c r="P96" i="1"/>
  <c r="T96" i="1" s="1"/>
  <c r="R96" i="1"/>
  <c r="S96" i="1"/>
  <c r="X96" i="1"/>
  <c r="Y96" i="1"/>
  <c r="Z96" i="1" a="1"/>
  <c r="Z96" i="1"/>
  <c r="AA96" i="1"/>
  <c r="AB96" i="1" a="1"/>
  <c r="AB96" i="1"/>
  <c r="M97" i="1"/>
  <c r="P97" i="1"/>
  <c r="R97" i="1" s="1"/>
  <c r="S97" i="1"/>
  <c r="X97" i="1"/>
  <c r="Y97" i="1"/>
  <c r="Z97" i="1" a="1"/>
  <c r="Z97" i="1" s="1"/>
  <c r="AA97" i="1"/>
  <c r="AB97" i="1" a="1"/>
  <c r="AB97" i="1" s="1"/>
  <c r="M98" i="1"/>
  <c r="T98" i="1" s="1"/>
  <c r="P98" i="1"/>
  <c r="S98" i="1"/>
  <c r="X98" i="1"/>
  <c r="Y98" i="1"/>
  <c r="Z98" i="1" a="1"/>
  <c r="Z98" i="1"/>
  <c r="AA98" i="1"/>
  <c r="AB98" i="1" a="1"/>
  <c r="AB98" i="1"/>
  <c r="M99" i="1"/>
  <c r="P99" i="1"/>
  <c r="S99" i="1"/>
  <c r="X99" i="1"/>
  <c r="Y99" i="1"/>
  <c r="Z99" i="1" a="1"/>
  <c r="Z99" i="1" s="1"/>
  <c r="AA99" i="1"/>
  <c r="AB99" i="1" a="1"/>
  <c r="AB99" i="1" s="1"/>
  <c r="K100" i="1" a="1"/>
  <c r="K100" i="1" s="1"/>
  <c r="L100" i="1"/>
  <c r="M100" i="1"/>
  <c r="N100" i="1" a="1"/>
  <c r="N100" i="1" s="1"/>
  <c r="O100" i="1"/>
  <c r="P100" i="1"/>
  <c r="Q100" i="1" a="1"/>
  <c r="Q100" i="1" s="1"/>
  <c r="R100" i="1"/>
  <c r="S100" i="1"/>
  <c r="T100" i="1"/>
  <c r="U100" i="1"/>
  <c r="V100" i="1" a="1"/>
  <c r="V100" i="1" s="1"/>
  <c r="W100" i="1"/>
  <c r="X100" i="1"/>
  <c r="Y100" i="1"/>
  <c r="Z100" i="1" a="1"/>
  <c r="Z100" i="1"/>
  <c r="AA100" i="1"/>
  <c r="AB100" i="1" a="1"/>
  <c r="AB100" i="1" s="1"/>
  <c r="M101" i="1"/>
  <c r="P101" i="1"/>
  <c r="R101" i="1" s="1"/>
  <c r="S101" i="1"/>
  <c r="X101" i="1"/>
  <c r="Y101" i="1"/>
  <c r="Z101" i="1" a="1"/>
  <c r="Z101" i="1" s="1"/>
  <c r="AA101" i="1"/>
  <c r="AB101" i="1" a="1"/>
  <c r="AB101" i="1" s="1"/>
  <c r="M102" i="1"/>
  <c r="T102" i="1" s="1"/>
  <c r="P102" i="1"/>
  <c r="S102" i="1"/>
  <c r="X102" i="1"/>
  <c r="Y102" i="1"/>
  <c r="Z102" i="1" a="1"/>
  <c r="Z102" i="1" s="1"/>
  <c r="AA102" i="1"/>
  <c r="AB102" i="1" a="1"/>
  <c r="AB102" i="1" s="1"/>
  <c r="M103" i="1"/>
  <c r="P103" i="1"/>
  <c r="S103" i="1"/>
  <c r="X103" i="1"/>
  <c r="Y103" i="1"/>
  <c r="Z103" i="1" a="1"/>
  <c r="Z103" i="1" s="1"/>
  <c r="AA103" i="1"/>
  <c r="AB103" i="1" a="1"/>
  <c r="AB103" i="1" s="1"/>
  <c r="M106" i="1"/>
  <c r="T106" i="1" s="1"/>
  <c r="P106" i="1"/>
  <c r="R106" i="1"/>
  <c r="S106" i="1"/>
  <c r="X106" i="1"/>
  <c r="Y106" i="1"/>
  <c r="Z106" i="1" a="1"/>
  <c r="Z106" i="1" s="1"/>
  <c r="AA106" i="1"/>
  <c r="AB106" i="1" a="1"/>
  <c r="AB106" i="1" s="1"/>
  <c r="M107" i="1"/>
  <c r="P107" i="1"/>
  <c r="S107" i="1"/>
  <c r="X107" i="1"/>
  <c r="Y107" i="1"/>
  <c r="Z107" i="1" a="1"/>
  <c r="Z107" i="1" s="1"/>
  <c r="AA107" i="1"/>
  <c r="AB107" i="1" a="1"/>
  <c r="AB107" i="1" s="1"/>
  <c r="K108" i="1" a="1"/>
  <c r="K108" i="1" s="1"/>
  <c r="L108" i="1"/>
  <c r="M108" i="1"/>
  <c r="N108" i="1" a="1"/>
  <c r="N108" i="1" s="1"/>
  <c r="O108" i="1"/>
  <c r="P108" i="1"/>
  <c r="Q108" i="1" a="1"/>
  <c r="Q108" i="1" s="1"/>
  <c r="R108" i="1"/>
  <c r="S108" i="1"/>
  <c r="T108" i="1"/>
  <c r="U108" i="1"/>
  <c r="V108" i="1" a="1"/>
  <c r="V108" i="1" s="1"/>
  <c r="W108" i="1"/>
  <c r="X108" i="1"/>
  <c r="Y108" i="1"/>
  <c r="Z108" i="1" a="1"/>
  <c r="Z108" i="1" s="1"/>
  <c r="AA108" i="1"/>
  <c r="AB108" i="1" a="1"/>
  <c r="AB108" i="1" s="1"/>
  <c r="M109" i="1"/>
  <c r="P109" i="1"/>
  <c r="R109" i="1" s="1"/>
  <c r="S109" i="1"/>
  <c r="X109" i="1"/>
  <c r="Y109" i="1"/>
  <c r="Z109" i="1" a="1"/>
  <c r="Z109" i="1" s="1"/>
  <c r="AA109" i="1"/>
  <c r="AB109" i="1" a="1"/>
  <c r="AB109" i="1" s="1"/>
  <c r="M110" i="1"/>
  <c r="T110" i="1" s="1"/>
  <c r="P110" i="1"/>
  <c r="S110" i="1"/>
  <c r="X110" i="1"/>
  <c r="Y110" i="1"/>
  <c r="Z110" i="1" a="1"/>
  <c r="Z110" i="1" s="1"/>
  <c r="AA110" i="1"/>
  <c r="AB110" i="1" a="1"/>
  <c r="AB110" i="1" s="1"/>
  <c r="K111" i="1" a="1"/>
  <c r="K111" i="1" s="1"/>
  <c r="L111" i="1"/>
  <c r="M111" i="1"/>
  <c r="N111" i="1" a="1"/>
  <c r="N111" i="1" s="1"/>
  <c r="O111" i="1"/>
  <c r="P111" i="1"/>
  <c r="Q111" i="1" a="1"/>
  <c r="Q111" i="1" s="1"/>
  <c r="R111" i="1"/>
  <c r="S111" i="1"/>
  <c r="T111" i="1"/>
  <c r="U111" i="1"/>
  <c r="V111" i="1" a="1"/>
  <c r="V111" i="1" s="1"/>
  <c r="W111" i="1"/>
  <c r="X111" i="1"/>
  <c r="Y111" i="1"/>
  <c r="Z111" i="1" a="1"/>
  <c r="Z111" i="1" s="1"/>
  <c r="AA111" i="1"/>
  <c r="AB111" i="1" a="1"/>
  <c r="AB111" i="1" s="1"/>
  <c r="M112" i="1"/>
  <c r="T112" i="1" s="1"/>
  <c r="P112" i="1"/>
  <c r="S112" i="1"/>
  <c r="X112" i="1"/>
  <c r="Y112" i="1"/>
  <c r="Z112" i="1" a="1"/>
  <c r="Z112" i="1" s="1"/>
  <c r="AA112" i="1"/>
  <c r="AB112" i="1" a="1"/>
  <c r="AB112" i="1" s="1"/>
  <c r="M113" i="1"/>
  <c r="O113" i="1"/>
  <c r="P113" i="1"/>
  <c r="R113" i="1" s="1"/>
  <c r="S113" i="1"/>
  <c r="T113" i="1"/>
  <c r="X113" i="1"/>
  <c r="Y113" i="1"/>
  <c r="Z113" i="1" a="1"/>
  <c r="Z113" i="1" s="1"/>
  <c r="AA113" i="1"/>
  <c r="AB113" i="1" a="1"/>
  <c r="AB113" i="1" s="1"/>
  <c r="M114" i="1"/>
  <c r="T114" i="1" s="1"/>
  <c r="P114" i="1"/>
  <c r="R114" i="1"/>
  <c r="S114" i="1"/>
  <c r="X114" i="1"/>
  <c r="Y114" i="1"/>
  <c r="Z114" i="1" a="1"/>
  <c r="Z114" i="1"/>
  <c r="AA114" i="1"/>
  <c r="AB114" i="1" a="1"/>
  <c r="AB114" i="1" s="1"/>
  <c r="M115" i="1"/>
  <c r="P115" i="1"/>
  <c r="R115" i="1" s="1"/>
  <c r="S115" i="1"/>
  <c r="T115" i="1"/>
  <c r="X115" i="1"/>
  <c r="Y115" i="1"/>
  <c r="Z115" i="1" a="1"/>
  <c r="Z115" i="1" s="1"/>
  <c r="AA115" i="1"/>
  <c r="AB115" i="1" a="1"/>
  <c r="AB115" i="1" s="1"/>
  <c r="M116" i="1"/>
  <c r="T116" i="1" s="1"/>
  <c r="P116" i="1"/>
  <c r="R116" i="1"/>
  <c r="S116" i="1"/>
  <c r="X116" i="1"/>
  <c r="Y116" i="1"/>
  <c r="Z116" i="1" a="1"/>
  <c r="Z116" i="1"/>
  <c r="AA116" i="1"/>
  <c r="AB116" i="1" a="1"/>
  <c r="AB116" i="1" s="1"/>
  <c r="M119" i="1"/>
  <c r="P119" i="1"/>
  <c r="R119" i="1" s="1"/>
  <c r="S119" i="1"/>
  <c r="T119" i="1"/>
  <c r="X119" i="1"/>
  <c r="Y119" i="1"/>
  <c r="Z119" i="1" a="1"/>
  <c r="Z119" i="1" s="1"/>
  <c r="AA119" i="1"/>
  <c r="AB119" i="1" a="1"/>
  <c r="AB119" i="1" s="1"/>
  <c r="M120" i="1"/>
  <c r="T120" i="1" s="1"/>
  <c r="P120" i="1"/>
  <c r="R120" i="1"/>
  <c r="S120" i="1"/>
  <c r="X120" i="1"/>
  <c r="Y120" i="1"/>
  <c r="Z120" i="1" a="1"/>
  <c r="Z120" i="1"/>
  <c r="AA120" i="1"/>
  <c r="AB120" i="1" a="1"/>
  <c r="AB120" i="1" s="1"/>
  <c r="M121" i="1"/>
  <c r="P121" i="1"/>
  <c r="R121" i="1" s="1"/>
  <c r="S121" i="1"/>
  <c r="T121" i="1"/>
  <c r="X121" i="1"/>
  <c r="Y121" i="1"/>
  <c r="Z121" i="1" a="1"/>
  <c r="Z121" i="1" s="1"/>
  <c r="AA121" i="1"/>
  <c r="AB121" i="1" a="1"/>
  <c r="AB121" i="1" s="1"/>
  <c r="M122" i="1"/>
  <c r="T122" i="1" s="1"/>
  <c r="P122" i="1"/>
  <c r="R122" i="1"/>
  <c r="S122" i="1"/>
  <c r="X122" i="1"/>
  <c r="Y122" i="1"/>
  <c r="Z122" i="1" a="1"/>
  <c r="Z122" i="1"/>
  <c r="AA122" i="1"/>
  <c r="AB122" i="1" a="1"/>
  <c r="AB122" i="1" s="1"/>
  <c r="M123" i="1"/>
  <c r="P123" i="1"/>
  <c r="R123" i="1" s="1"/>
  <c r="S123" i="1"/>
  <c r="T123" i="1"/>
  <c r="X123" i="1"/>
  <c r="Y123" i="1"/>
  <c r="Z123" i="1" a="1"/>
  <c r="Z123" i="1" s="1"/>
  <c r="AA123" i="1"/>
  <c r="AB123" i="1" a="1"/>
  <c r="AB123" i="1" s="1"/>
  <c r="M124" i="1"/>
  <c r="T124" i="1" s="1"/>
  <c r="P124" i="1"/>
  <c r="R124" i="1"/>
  <c r="S124" i="1"/>
  <c r="X124" i="1"/>
  <c r="Y124" i="1"/>
  <c r="Z124" i="1" a="1"/>
  <c r="Z124" i="1"/>
  <c r="AA124" i="1"/>
  <c r="AB124" i="1" a="1"/>
  <c r="AB124" i="1" s="1"/>
  <c r="M125" i="1"/>
  <c r="P125" i="1"/>
  <c r="R125" i="1" s="1"/>
  <c r="S125" i="1"/>
  <c r="T125" i="1"/>
  <c r="X125" i="1"/>
  <c r="Y125" i="1"/>
  <c r="Z125" i="1" a="1"/>
  <c r="Z125" i="1" s="1"/>
  <c r="AA125" i="1"/>
  <c r="AB125" i="1" a="1"/>
  <c r="AB125" i="1" s="1"/>
  <c r="AB6" i="1" a="1"/>
  <c r="AB6" i="1" s="1"/>
  <c r="AA6" i="1"/>
  <c r="Z6" i="1" a="1"/>
  <c r="Z6" i="1" s="1"/>
  <c r="Y6" i="1"/>
  <c r="X6" i="1"/>
  <c r="U6" i="1"/>
  <c r="T6" i="1"/>
  <c r="S6" i="1"/>
  <c r="R6" i="1"/>
  <c r="P6" i="1"/>
  <c r="M6" i="1"/>
  <c r="M128" i="1" s="1"/>
  <c r="I68" i="1"/>
  <c r="I69" i="1"/>
  <c r="I70" i="1"/>
  <c r="I71" i="1"/>
  <c r="I72" i="1"/>
  <c r="I73" i="1"/>
  <c r="I19" i="1"/>
  <c r="I20" i="1"/>
  <c r="I21" i="1"/>
  <c r="I23" i="1"/>
  <c r="I24" i="1"/>
  <c r="I25" i="1"/>
  <c r="B121" i="1"/>
  <c r="B122" i="1" s="1"/>
  <c r="B123" i="1" s="1"/>
  <c r="B124" i="1" s="1"/>
  <c r="B125" i="1" s="1"/>
  <c r="B120" i="1"/>
  <c r="B94" i="1"/>
  <c r="B95" i="1" s="1"/>
  <c r="B96" i="1" s="1"/>
  <c r="B97" i="1" s="1"/>
  <c r="B98" i="1" s="1"/>
  <c r="B99" i="1" s="1"/>
  <c r="B100" i="1" s="1"/>
  <c r="B101" i="1" s="1"/>
  <c r="B102" i="1" s="1"/>
  <c r="B103" i="1" s="1"/>
  <c r="B106" i="1" s="1"/>
  <c r="B7" i="1"/>
  <c r="B8" i="1" s="1"/>
  <c r="B9" i="1" s="1"/>
  <c r="B10" i="1" s="1"/>
  <c r="B11" i="1" s="1"/>
  <c r="B12" i="1" s="1"/>
  <c r="B13" i="1" s="1"/>
  <c r="B14" i="1" s="1"/>
  <c r="B15" i="1" s="1"/>
  <c r="B18" i="1" s="1"/>
  <c r="B19" i="1" s="1"/>
  <c r="B20" i="1" s="1"/>
  <c r="B21" i="1" s="1"/>
  <c r="B22" i="1" s="1"/>
  <c r="B23" i="1" s="1"/>
  <c r="B24" i="1" s="1"/>
  <c r="B25" i="1" s="1"/>
  <c r="B26" i="1" s="1"/>
  <c r="B27" i="1" s="1"/>
  <c r="B28" i="1" s="1"/>
  <c r="B29" i="1" s="1"/>
  <c r="B32" i="1" s="1"/>
  <c r="B33" i="1" s="1"/>
  <c r="B34" i="1" s="1"/>
  <c r="B35" i="1" s="1"/>
  <c r="B36" i="1" s="1"/>
  <c r="B37" i="1" s="1"/>
  <c r="B38" i="1" s="1"/>
  <c r="B39" i="1" s="1"/>
  <c r="B40" i="1" s="1"/>
  <c r="B41" i="1" s="1"/>
  <c r="B42" i="1" s="1"/>
  <c r="B43" i="1" s="1"/>
  <c r="B44" i="1" s="1"/>
  <c r="B47" i="1" s="1"/>
  <c r="B48" i="1" s="1"/>
  <c r="B49" i="1" s="1"/>
  <c r="B50" i="1" s="1"/>
  <c r="B51" i="1" s="1"/>
  <c r="B52" i="1" s="1"/>
  <c r="B53" i="1" s="1"/>
  <c r="B54" i="1" s="1"/>
  <c r="B55" i="1" s="1"/>
  <c r="B56" i="1" s="1"/>
  <c r="B57" i="1" s="1"/>
  <c r="B58" i="1" s="1"/>
  <c r="B59" i="1" s="1"/>
  <c r="B62" i="1" s="1"/>
  <c r="B63" i="1" s="1"/>
  <c r="B64" i="1" s="1"/>
  <c r="B65" i="1" s="1"/>
  <c r="B66" i="1" s="1"/>
  <c r="B67" i="1" s="1"/>
  <c r="B68" i="1" s="1"/>
  <c r="B69" i="1" s="1"/>
  <c r="B70" i="1" s="1"/>
  <c r="B71" i="1" s="1"/>
  <c r="B72" i="1" s="1"/>
  <c r="B73" i="1" s="1"/>
  <c r="B74" i="1" s="1"/>
  <c r="B77" i="1" s="1"/>
  <c r="B78" i="1" s="1"/>
  <c r="B79" i="1" s="1"/>
  <c r="B80" i="1" s="1"/>
  <c r="B81" i="1" s="1"/>
  <c r="B82" i="1" s="1"/>
  <c r="B83" i="1" s="1"/>
  <c r="B84" i="1" s="1"/>
  <c r="B85" i="1" s="1"/>
  <c r="B86" i="1" s="1"/>
  <c r="B87" i="1" s="1"/>
  <c r="B88" i="1" s="1"/>
  <c r="U81" i="1" l="1"/>
  <c r="R33" i="1"/>
  <c r="R38" i="1"/>
  <c r="R43" i="1"/>
  <c r="R80" i="1"/>
  <c r="R41" i="1"/>
  <c r="R58" i="1"/>
  <c r="R36" i="1"/>
  <c r="O29" i="1"/>
  <c r="R63" i="1"/>
  <c r="R71" i="1"/>
  <c r="R39" i="1"/>
  <c r="R56" i="1"/>
  <c r="O6" i="1"/>
  <c r="R59" i="1"/>
  <c r="R49" i="1"/>
  <c r="R32" i="1"/>
  <c r="R54" i="1"/>
  <c r="R37" i="1"/>
  <c r="O32" i="1"/>
  <c r="O18" i="1"/>
  <c r="R69" i="1"/>
  <c r="O64" i="1"/>
  <c r="R40" i="1"/>
  <c r="O72" i="1"/>
  <c r="R57" i="1"/>
  <c r="R35" i="1"/>
  <c r="O59" i="1"/>
  <c r="O19" i="1"/>
  <c r="O71" i="1"/>
  <c r="O33" i="1"/>
  <c r="R78" i="1"/>
  <c r="R52" i="1"/>
  <c r="R50" i="1"/>
  <c r="R47" i="1"/>
  <c r="O42" i="1"/>
  <c r="O39" i="1"/>
  <c r="O38" i="1"/>
  <c r="O37" i="1"/>
  <c r="O50" i="1"/>
  <c r="O49" i="1"/>
  <c r="O44" i="1"/>
  <c r="O25" i="1"/>
  <c r="R26" i="1"/>
  <c r="O121" i="1"/>
  <c r="O123" i="1"/>
  <c r="O122" i="1"/>
  <c r="R102" i="1"/>
  <c r="O101" i="1"/>
  <c r="O93" i="1"/>
  <c r="R86" i="1"/>
  <c r="R77" i="1"/>
  <c r="O57" i="1"/>
  <c r="O54" i="1"/>
  <c r="O53" i="1"/>
  <c r="O52" i="1"/>
  <c r="O48" i="1"/>
  <c r="O13" i="1"/>
  <c r="O115" i="1"/>
  <c r="O7" i="1"/>
  <c r="O56" i="1"/>
  <c r="O125" i="1"/>
  <c r="O124" i="1"/>
  <c r="R99" i="1"/>
  <c r="R98" i="1"/>
  <c r="R87" i="1"/>
  <c r="R103" i="1"/>
  <c r="O99" i="1"/>
  <c r="O88" i="1"/>
  <c r="R85" i="1"/>
  <c r="R67" i="1"/>
  <c r="O51" i="1"/>
  <c r="O47" i="1"/>
  <c r="O26" i="1"/>
  <c r="O87" i="1"/>
  <c r="U82" i="1"/>
  <c r="O78" i="1"/>
  <c r="O77" i="1"/>
  <c r="O67" i="1"/>
  <c r="R66" i="1"/>
  <c r="R28" i="1"/>
  <c r="O8" i="1"/>
  <c r="O97" i="1"/>
  <c r="O66" i="1"/>
  <c r="O27" i="1"/>
  <c r="O11" i="1"/>
  <c r="R112" i="1"/>
  <c r="R110" i="1"/>
  <c r="O109" i="1"/>
  <c r="R107" i="1"/>
  <c r="O86" i="1"/>
  <c r="O85" i="1"/>
  <c r="R83" i="1"/>
  <c r="R65" i="1"/>
  <c r="R29" i="1"/>
  <c r="O73" i="1"/>
  <c r="R73" i="1"/>
  <c r="R64" i="1"/>
  <c r="O63" i="1"/>
  <c r="O103" i="1"/>
  <c r="O107" i="1"/>
  <c r="O84" i="1"/>
  <c r="O83" i="1"/>
  <c r="O82" i="1"/>
  <c r="R81" i="1"/>
  <c r="R72" i="1"/>
  <c r="R62" i="1"/>
  <c r="O28" i="1"/>
  <c r="O15" i="1"/>
  <c r="O65" i="1"/>
  <c r="O62" i="1"/>
  <c r="O24" i="1"/>
  <c r="O23" i="1"/>
  <c r="O21" i="1"/>
  <c r="O80" i="1"/>
  <c r="O58" i="1"/>
  <c r="O20" i="1"/>
  <c r="O81" i="1"/>
  <c r="O119" i="1"/>
  <c r="O70" i="1"/>
  <c r="O69" i="1"/>
  <c r="R55" i="1"/>
  <c r="R53" i="1"/>
  <c r="R51" i="1"/>
  <c r="O41" i="1"/>
  <c r="O40" i="1"/>
  <c r="O36" i="1"/>
  <c r="O34" i="1"/>
  <c r="R84" i="1"/>
  <c r="U54" i="1"/>
  <c r="T51" i="1"/>
  <c r="R44" i="1"/>
  <c r="U34" i="1"/>
  <c r="O120" i="1"/>
  <c r="O116" i="1"/>
  <c r="O112" i="1"/>
  <c r="O110" i="1"/>
  <c r="O106" i="1"/>
  <c r="O102" i="1"/>
  <c r="O98" i="1"/>
  <c r="O96" i="1"/>
  <c r="O94" i="1"/>
  <c r="O55" i="1"/>
  <c r="R48" i="1"/>
  <c r="T43" i="1"/>
  <c r="R14" i="1"/>
  <c r="T14" i="1"/>
  <c r="U14" i="1"/>
  <c r="O114" i="1"/>
  <c r="U125" i="1"/>
  <c r="U123" i="1"/>
  <c r="U121" i="1"/>
  <c r="U119" i="1"/>
  <c r="U115" i="1"/>
  <c r="U113" i="1"/>
  <c r="U109" i="1"/>
  <c r="U107" i="1"/>
  <c r="U103" i="1"/>
  <c r="U101" i="1"/>
  <c r="U99" i="1"/>
  <c r="U97" i="1"/>
  <c r="U93" i="1"/>
  <c r="R18" i="1"/>
  <c r="T18" i="1"/>
  <c r="U18" i="1"/>
  <c r="T109" i="1"/>
  <c r="T107" i="1"/>
  <c r="T103" i="1"/>
  <c r="T101" i="1"/>
  <c r="T99" i="1"/>
  <c r="T97" i="1"/>
  <c r="T93" i="1"/>
  <c r="U83" i="1"/>
  <c r="T32" i="1"/>
  <c r="U32" i="1"/>
  <c r="T83" i="1"/>
  <c r="T67" i="1"/>
  <c r="T59" i="1"/>
  <c r="U50" i="1"/>
  <c r="T47" i="1"/>
  <c r="T42" i="1"/>
  <c r="R20" i="1"/>
  <c r="T20" i="1"/>
  <c r="U20" i="1"/>
  <c r="U88" i="1"/>
  <c r="U80" i="1"/>
  <c r="U72" i="1"/>
  <c r="U64" i="1"/>
  <c r="U56" i="1"/>
  <c r="T50" i="1"/>
  <c r="T33" i="1"/>
  <c r="U33" i="1"/>
  <c r="R27" i="1"/>
  <c r="R24" i="1"/>
  <c r="T24" i="1"/>
  <c r="U24" i="1"/>
  <c r="O43" i="1"/>
  <c r="R42" i="1"/>
  <c r="T36" i="1"/>
  <c r="T41" i="1"/>
  <c r="T28" i="1"/>
  <c r="U28" i="1"/>
  <c r="T26" i="1"/>
  <c r="U26" i="1"/>
  <c r="U49" i="1"/>
  <c r="T29" i="1"/>
  <c r="U29" i="1"/>
  <c r="T25" i="1"/>
  <c r="U25" i="1"/>
  <c r="R10" i="1"/>
  <c r="T10" i="1"/>
  <c r="U10" i="1"/>
  <c r="U124" i="1"/>
  <c r="U122" i="1"/>
  <c r="U120" i="1"/>
  <c r="U116" i="1"/>
  <c r="U114" i="1"/>
  <c r="U112" i="1"/>
  <c r="U110" i="1"/>
  <c r="U106" i="1"/>
  <c r="U102" i="1"/>
  <c r="U98" i="1"/>
  <c r="U52" i="1"/>
  <c r="T27" i="1"/>
  <c r="U27" i="1"/>
  <c r="R8" i="1"/>
  <c r="T8" i="1"/>
  <c r="U8" i="1"/>
  <c r="R11" i="1"/>
  <c r="R13" i="1"/>
  <c r="R15" i="1"/>
  <c r="R19" i="1"/>
  <c r="R21" i="1"/>
  <c r="R23" i="1"/>
  <c r="R25" i="1"/>
  <c r="R7" i="1"/>
  <c r="U87" i="1"/>
  <c r="U71" i="1"/>
  <c r="U63" i="1"/>
  <c r="U55" i="1"/>
  <c r="T52" i="1"/>
  <c r="T87" i="1"/>
  <c r="T71" i="1"/>
  <c r="T63" i="1"/>
  <c r="T34" i="1"/>
  <c r="U84" i="1"/>
  <c r="T39" i="1"/>
  <c r="R12" i="1"/>
  <c r="T12" i="1"/>
  <c r="U12" i="1"/>
  <c r="T44" i="1"/>
  <c r="U40" i="1"/>
  <c r="O35" i="1"/>
  <c r="R34" i="1"/>
  <c r="O14" i="1"/>
  <c r="O12" i="1"/>
  <c r="O10" i="1"/>
  <c r="U23" i="1"/>
  <c r="U21" i="1"/>
  <c r="U19" i="1"/>
  <c r="U15" i="1"/>
  <c r="U13" i="1"/>
  <c r="U11" i="1"/>
  <c r="T23" i="1"/>
  <c r="T15" i="1"/>
  <c r="H142" i="1" a="1"/>
  <c r="H142" i="1" s="1"/>
  <c r="E142" i="1" a="1"/>
  <c r="E142" i="1" s="1"/>
  <c r="F142" i="1" a="1"/>
  <c r="F142" i="1" s="1"/>
  <c r="G142" i="1" a="1"/>
  <c r="G142" i="1" s="1"/>
  <c r="D142" i="1" a="1"/>
  <c r="D142" i="1" s="1"/>
  <c r="H145" i="1"/>
  <c r="E145" i="1"/>
  <c r="F145" i="1"/>
  <c r="G145" i="1"/>
  <c r="D145" i="1"/>
  <c r="E128" i="1" l="1"/>
  <c r="E146" i="1" s="1"/>
  <c r="F128" i="1"/>
  <c r="F146" i="1" s="1"/>
  <c r="G128" i="1"/>
  <c r="G146" i="1" s="1"/>
  <c r="E129" i="1" a="1"/>
  <c r="E129" i="1" s="1"/>
  <c r="F129" i="1" a="1"/>
  <c r="F129" i="1" s="1"/>
  <c r="G129" i="1" a="1"/>
  <c r="G129" i="1" s="1"/>
  <c r="E130" i="1" a="1"/>
  <c r="E130" i="1" s="1"/>
  <c r="F130" i="1" a="1"/>
  <c r="F130" i="1" s="1"/>
  <c r="G130" i="1" a="1"/>
  <c r="G130" i="1" s="1"/>
  <c r="G131" i="1" s="1"/>
  <c r="E132" i="1"/>
  <c r="F132" i="1"/>
  <c r="G132" i="1"/>
  <c r="E133" i="1"/>
  <c r="F133" i="1"/>
  <c r="G133" i="1"/>
  <c r="E134" i="1"/>
  <c r="F134" i="1"/>
  <c r="G134" i="1"/>
  <c r="E135" i="1"/>
  <c r="F135" i="1"/>
  <c r="G135" i="1"/>
  <c r="E136" i="1"/>
  <c r="F136" i="1"/>
  <c r="G136" i="1"/>
  <c r="E137" i="1"/>
  <c r="F137" i="1"/>
  <c r="G137" i="1"/>
  <c r="E138" i="1"/>
  <c r="E139" i="1" s="1"/>
  <c r="F138" i="1"/>
  <c r="F139" i="1" s="1"/>
  <c r="G138" i="1"/>
  <c r="G139" i="1" s="1"/>
  <c r="E140" i="1"/>
  <c r="E141" i="1" s="1"/>
  <c r="F140" i="1"/>
  <c r="F141" i="1" s="1"/>
  <c r="G140" i="1"/>
  <c r="G141" i="1" s="1"/>
  <c r="E143" i="1"/>
  <c r="F143" i="1"/>
  <c r="G143" i="1"/>
  <c r="E144" i="1"/>
  <c r="F144" i="1"/>
  <c r="G144" i="1"/>
  <c r="D144" i="1"/>
  <c r="D143" i="1"/>
  <c r="D140" i="1"/>
  <c r="D141" i="1" s="1"/>
  <c r="D138" i="1"/>
  <c r="D139" i="1" s="1"/>
  <c r="D137" i="1"/>
  <c r="D136" i="1"/>
  <c r="D135" i="1"/>
  <c r="D134" i="1"/>
  <c r="D133" i="1"/>
  <c r="D132" i="1"/>
  <c r="D130" i="1" a="1"/>
  <c r="D130" i="1" s="1"/>
  <c r="D129" i="1" a="1"/>
  <c r="D129" i="1" s="1"/>
  <c r="D128" i="1"/>
  <c r="D146" i="1" s="1"/>
  <c r="H128" i="1"/>
  <c r="F131" i="1" l="1"/>
  <c r="D131" i="1"/>
  <c r="E131" i="1"/>
  <c r="H146" i="1"/>
  <c r="M3" i="1"/>
  <c r="M2" i="1"/>
  <c r="H129" i="1" a="1"/>
  <c r="H129" i="1" s="1"/>
  <c r="H130" i="1" a="1"/>
  <c r="H130" i="1" s="1"/>
  <c r="Q10" i="1" s="1" a="1"/>
  <c r="Q10" i="1" s="1"/>
  <c r="H132" i="1"/>
  <c r="H133" i="1"/>
  <c r="H134" i="1"/>
  <c r="H135" i="1"/>
  <c r="H136" i="1"/>
  <c r="H137" i="1"/>
  <c r="H138" i="1"/>
  <c r="H139" i="1" s="1"/>
  <c r="H140" i="1"/>
  <c r="H141" i="1" s="1"/>
  <c r="H143" i="1"/>
  <c r="H144" i="1"/>
  <c r="I11" i="1"/>
  <c r="I14" i="1"/>
  <c r="I4" i="1"/>
  <c r="I7" i="1"/>
  <c r="I8" i="1"/>
  <c r="I9" i="1"/>
  <c r="I10" i="1"/>
  <c r="I12" i="1"/>
  <c r="I13" i="1"/>
  <c r="I15" i="1"/>
  <c r="I18" i="1"/>
  <c r="I26" i="1"/>
  <c r="I27" i="1"/>
  <c r="I28" i="1"/>
  <c r="I29" i="1"/>
  <c r="I32" i="1"/>
  <c r="I33" i="1"/>
  <c r="I34" i="1"/>
  <c r="I35" i="1"/>
  <c r="I36" i="1"/>
  <c r="I37" i="1"/>
  <c r="I38" i="1"/>
  <c r="I39" i="1"/>
  <c r="I40" i="1"/>
  <c r="I41" i="1"/>
  <c r="I42" i="1"/>
  <c r="I43" i="1"/>
  <c r="I44" i="1"/>
  <c r="I47" i="1"/>
  <c r="I48" i="1"/>
  <c r="I49" i="1"/>
  <c r="I50" i="1"/>
  <c r="I51" i="1"/>
  <c r="I52" i="1"/>
  <c r="I53" i="1"/>
  <c r="I54" i="1"/>
  <c r="I55" i="1"/>
  <c r="I56" i="1"/>
  <c r="I57" i="1"/>
  <c r="I58" i="1"/>
  <c r="I59" i="1"/>
  <c r="I62" i="1"/>
  <c r="I63" i="1"/>
  <c r="I64" i="1"/>
  <c r="I65" i="1"/>
  <c r="I66" i="1"/>
  <c r="I67" i="1"/>
  <c r="I77" i="1"/>
  <c r="I78" i="1"/>
  <c r="I79" i="1"/>
  <c r="I80" i="1"/>
  <c r="I81" i="1"/>
  <c r="I82" i="1"/>
  <c r="I83" i="1"/>
  <c r="I84" i="1"/>
  <c r="I85" i="1"/>
  <c r="I86" i="1"/>
  <c r="I87" i="1"/>
  <c r="I88" i="1"/>
  <c r="I93" i="1"/>
  <c r="I94" i="1"/>
  <c r="I96" i="1"/>
  <c r="I97" i="1"/>
  <c r="I98" i="1"/>
  <c r="I99" i="1"/>
  <c r="I101" i="1"/>
  <c r="I102" i="1"/>
  <c r="I103" i="1"/>
  <c r="I106" i="1"/>
  <c r="I107" i="1"/>
  <c r="I109" i="1"/>
  <c r="I110" i="1"/>
  <c r="I112" i="1"/>
  <c r="I113" i="1"/>
  <c r="I114" i="1"/>
  <c r="I115" i="1"/>
  <c r="I116" i="1"/>
  <c r="I119" i="1"/>
  <c r="I120" i="1"/>
  <c r="I121" i="1"/>
  <c r="I122" i="1"/>
  <c r="I123" i="1"/>
  <c r="I124" i="1"/>
  <c r="I125" i="1"/>
  <c r="I6" i="1"/>
  <c r="Q34" i="1" l="1" a="1"/>
  <c r="Q34" i="1" s="1"/>
  <c r="N71" i="1" a="1"/>
  <c r="N71" i="1" s="1"/>
  <c r="K107" i="1" a="1"/>
  <c r="K107" i="1" s="1"/>
  <c r="N62" i="1" a="1"/>
  <c r="N62" i="1" s="1"/>
  <c r="Q41" i="1" a="1"/>
  <c r="Q41" i="1" s="1"/>
  <c r="V85" i="1" a="1"/>
  <c r="V85" i="1" s="1"/>
  <c r="K80" i="1" a="1"/>
  <c r="K80" i="1" s="1"/>
  <c r="V102" i="1" a="1"/>
  <c r="V102" i="1" s="1"/>
  <c r="K59" i="1" a="1"/>
  <c r="K59" i="1" s="1"/>
  <c r="N39" i="1" a="1"/>
  <c r="N39" i="1" s="1"/>
  <c r="V99" i="1" a="1"/>
  <c r="V99" i="1" s="1"/>
  <c r="N37" i="1" a="1"/>
  <c r="N37" i="1" s="1"/>
  <c r="K72" i="1" a="1"/>
  <c r="K72" i="1" s="1"/>
  <c r="K33" i="1" a="1"/>
  <c r="K33" i="1" s="1"/>
  <c r="Q11" i="1" a="1"/>
  <c r="Q11" i="1" s="1"/>
  <c r="V67" i="1" a="1"/>
  <c r="V67" i="1" s="1"/>
  <c r="Q55" i="1" a="1"/>
  <c r="Q55" i="1" s="1"/>
  <c r="Q114" i="1" a="1"/>
  <c r="Q114" i="1" s="1"/>
  <c r="Q48" i="1" a="1"/>
  <c r="Q48" i="1" s="1"/>
  <c r="V44" i="1" a="1"/>
  <c r="V44" i="1" s="1"/>
  <c r="Q99" i="1" a="1"/>
  <c r="Q99" i="1" s="1"/>
  <c r="Q101" i="1" a="1"/>
  <c r="Q101" i="1" s="1"/>
  <c r="N40" i="1" a="1"/>
  <c r="N40" i="1" s="1"/>
  <c r="N36" i="1" a="1"/>
  <c r="N36" i="1" s="1"/>
  <c r="V82" i="1" a="1"/>
  <c r="V82" i="1" s="1"/>
  <c r="N119" i="1" a="1"/>
  <c r="N119" i="1" s="1"/>
  <c r="N25" i="1" a="1"/>
  <c r="N25" i="1" s="1"/>
  <c r="Q82" i="1" a="1"/>
  <c r="Q82" i="1" s="1"/>
  <c r="V119" i="1" a="1"/>
  <c r="V119" i="1" s="1"/>
  <c r="N82" i="1" a="1"/>
  <c r="N82" i="1" s="1"/>
  <c r="K96" i="1" a="1"/>
  <c r="K96" i="1" s="1"/>
  <c r="Q33" i="1" a="1"/>
  <c r="Q33" i="1" s="1"/>
  <c r="K82" i="1" a="1"/>
  <c r="K82" i="1" s="1"/>
  <c r="N65" i="1" a="1"/>
  <c r="N65" i="1" s="1"/>
  <c r="Q93" i="1" a="1"/>
  <c r="Q93" i="1" s="1"/>
  <c r="K19" i="1" a="1"/>
  <c r="K19" i="1" s="1"/>
  <c r="N54" i="1" a="1"/>
  <c r="N54" i="1" s="1"/>
  <c r="V53" i="1" a="1"/>
  <c r="V53" i="1" s="1"/>
  <c r="N56" i="1" a="1"/>
  <c r="N56" i="1" s="1"/>
  <c r="K69" i="1" a="1"/>
  <c r="K69" i="1" s="1"/>
  <c r="Q12" i="1" a="1"/>
  <c r="Q12" i="1" s="1"/>
  <c r="N125" i="1" a="1"/>
  <c r="N125" i="1" s="1"/>
  <c r="K54" i="1" a="1"/>
  <c r="K54" i="1" s="1"/>
  <c r="Q125" i="1" a="1"/>
  <c r="Q125" i="1" s="1"/>
  <c r="V121" i="1" a="1"/>
  <c r="V121" i="1" s="1"/>
  <c r="V64" i="1" a="1"/>
  <c r="V64" i="1" s="1"/>
  <c r="V47" i="1" a="1"/>
  <c r="V47" i="1" s="1"/>
  <c r="N67" i="1" a="1"/>
  <c r="N67" i="1" s="1"/>
  <c r="V80" i="1" a="1"/>
  <c r="V80" i="1" s="1"/>
  <c r="K84" i="1" a="1"/>
  <c r="K84" i="1" s="1"/>
  <c r="K102" i="1" a="1"/>
  <c r="K102" i="1" s="1"/>
  <c r="Q32" i="1" a="1"/>
  <c r="Q32" i="1" s="1"/>
  <c r="V36" i="1" a="1"/>
  <c r="V36" i="1" s="1"/>
  <c r="V101" i="1" a="1"/>
  <c r="V101" i="1" s="1"/>
  <c r="V54" i="1" a="1"/>
  <c r="V54" i="1" s="1"/>
  <c r="Q56" i="1" a="1"/>
  <c r="Q56" i="1" s="1"/>
  <c r="Q23" i="1" a="1"/>
  <c r="Q23" i="1" s="1"/>
  <c r="V87" i="1" a="1"/>
  <c r="V87" i="1" s="1"/>
  <c r="Q8" i="1" a="1"/>
  <c r="Q8" i="1" s="1"/>
  <c r="Q47" i="1" a="1"/>
  <c r="Q47" i="1" s="1"/>
  <c r="K28" i="1" a="1"/>
  <c r="K28" i="1" s="1"/>
  <c r="N55" i="1" a="1"/>
  <c r="N55" i="1" s="1"/>
  <c r="Q67" i="1" a="1"/>
  <c r="Q67" i="1" s="1"/>
  <c r="N11" i="1" a="1"/>
  <c r="N11" i="1" s="1"/>
  <c r="N124" i="1" a="1"/>
  <c r="N124" i="1" s="1"/>
  <c r="K52" i="1" a="1"/>
  <c r="K52" i="1" s="1"/>
  <c r="V103" i="1" a="1"/>
  <c r="V103" i="1" s="1"/>
  <c r="N32" i="1" a="1"/>
  <c r="N32" i="1" s="1"/>
  <c r="V62" i="1" a="1"/>
  <c r="V62" i="1" s="1"/>
  <c r="K121" i="1" a="1"/>
  <c r="K121" i="1" s="1"/>
  <c r="V63" i="1" a="1"/>
  <c r="V63" i="1" s="1"/>
  <c r="V71" i="1" a="1"/>
  <c r="V71" i="1" s="1"/>
  <c r="V78" i="1" a="1"/>
  <c r="V78" i="1" s="1"/>
  <c r="N97" i="1" a="1"/>
  <c r="N97" i="1" s="1"/>
  <c r="V23" i="1" a="1"/>
  <c r="V23" i="1" s="1"/>
  <c r="V34" i="1" a="1"/>
  <c r="V34" i="1" s="1"/>
  <c r="Q39" i="1" a="1"/>
  <c r="Q39" i="1" s="1"/>
  <c r="V25" i="1" a="1"/>
  <c r="V25" i="1" s="1"/>
  <c r="Q54" i="1" a="1"/>
  <c r="Q54" i="1" s="1"/>
  <c r="K81" i="1" a="1"/>
  <c r="K81" i="1" s="1"/>
  <c r="Q7" i="1" a="1"/>
  <c r="Q7" i="1" s="1"/>
  <c r="N43" i="1" a="1"/>
  <c r="N43" i="1" s="1"/>
  <c r="V120" i="1" a="1"/>
  <c r="V120" i="1" s="1"/>
  <c r="N44" i="1" a="1"/>
  <c r="N44" i="1" s="1"/>
  <c r="N53" i="1" a="1"/>
  <c r="N53" i="1" s="1"/>
  <c r="Q78" i="1" a="1"/>
  <c r="Q78" i="1" s="1"/>
  <c r="K120" i="1" a="1"/>
  <c r="K120" i="1" s="1"/>
  <c r="K43" i="1" a="1"/>
  <c r="K43" i="1" s="1"/>
  <c r="N88" i="1" a="1"/>
  <c r="N88" i="1" s="1"/>
  <c r="Q69" i="1" a="1"/>
  <c r="Q69" i="1" s="1"/>
  <c r="K53" i="1" a="1"/>
  <c r="K53" i="1" s="1"/>
  <c r="K123" i="1" a="1"/>
  <c r="K123" i="1" s="1"/>
  <c r="V59" i="1" a="1"/>
  <c r="V59" i="1" s="1"/>
  <c r="N66" i="1" a="1"/>
  <c r="N66" i="1" s="1"/>
  <c r="V55" i="1" a="1"/>
  <c r="V55" i="1" s="1"/>
  <c r="N96" i="1" a="1"/>
  <c r="N96" i="1" s="1"/>
  <c r="V20" i="1" a="1"/>
  <c r="V20" i="1" s="1"/>
  <c r="N29" i="1" a="1"/>
  <c r="N29" i="1" s="1"/>
  <c r="Q38" i="1" a="1"/>
  <c r="Q38" i="1" s="1"/>
  <c r="Q119" i="1" a="1"/>
  <c r="Q119" i="1" s="1"/>
  <c r="Q52" i="1" a="1"/>
  <c r="Q52" i="1" s="1"/>
  <c r="V43" i="1" a="1"/>
  <c r="V43" i="1" s="1"/>
  <c r="K42" i="1" a="1"/>
  <c r="K42" i="1" s="1"/>
  <c r="N51" i="1" a="1"/>
  <c r="N51" i="1" s="1"/>
  <c r="K70" i="1" a="1"/>
  <c r="K70" i="1" s="1"/>
  <c r="V107" i="1" a="1"/>
  <c r="V107" i="1" s="1"/>
  <c r="K39" i="1" a="1"/>
  <c r="K39" i="1" s="1"/>
  <c r="Q85" i="1" a="1"/>
  <c r="Q85" i="1" s="1"/>
  <c r="V48" i="1" a="1"/>
  <c r="V48" i="1" s="1"/>
  <c r="K51" i="1" a="1"/>
  <c r="K51" i="1" s="1"/>
  <c r="K122" i="1" a="1"/>
  <c r="K122" i="1" s="1"/>
  <c r="V32" i="1" a="1"/>
  <c r="V32" i="1" s="1"/>
  <c r="Q65" i="1" a="1"/>
  <c r="Q65" i="1" s="1"/>
  <c r="Q40" i="1" a="1"/>
  <c r="Q40" i="1" s="1"/>
  <c r="K88" i="1" a="1"/>
  <c r="K88" i="1" s="1"/>
  <c r="Q18" i="1" a="1"/>
  <c r="Q18" i="1" s="1"/>
  <c r="V24" i="1" a="1"/>
  <c r="V24" i="1" s="1"/>
  <c r="Q37" i="1" a="1"/>
  <c r="Q37" i="1" s="1"/>
  <c r="V125" i="1" a="1"/>
  <c r="V125" i="1" s="1"/>
  <c r="Q50" i="1" a="1"/>
  <c r="Q50" i="1" s="1"/>
  <c r="Q116" i="1" a="1"/>
  <c r="Q116" i="1" s="1"/>
  <c r="N69" i="1" a="1"/>
  <c r="N69" i="1" s="1"/>
  <c r="Q70" i="1" a="1"/>
  <c r="Q70" i="1" s="1"/>
  <c r="N38" i="1" a="1"/>
  <c r="N38" i="1" s="1"/>
  <c r="K14" i="1" a="1"/>
  <c r="K14" i="1" s="1"/>
  <c r="K35" i="1" a="1"/>
  <c r="K35" i="1" s="1"/>
  <c r="N50" i="1" a="1"/>
  <c r="N50" i="1" s="1"/>
  <c r="V66" i="1" a="1"/>
  <c r="V66" i="1" s="1"/>
  <c r="N101" i="1" a="1"/>
  <c r="N101" i="1" s="1"/>
  <c r="K38" i="1" a="1"/>
  <c r="K38" i="1" s="1"/>
  <c r="V73" i="1" a="1"/>
  <c r="V73" i="1" s="1"/>
  <c r="Q35" i="1" a="1"/>
  <c r="Q35" i="1" s="1"/>
  <c r="K50" i="1" a="1"/>
  <c r="K50" i="1" s="1"/>
  <c r="V113" i="1" a="1"/>
  <c r="V113" i="1" s="1"/>
  <c r="V18" i="1" a="1"/>
  <c r="V18" i="1" s="1"/>
  <c r="V58" i="1" a="1"/>
  <c r="V58" i="1" s="1"/>
  <c r="N23" i="1" a="1"/>
  <c r="N23" i="1" s="1"/>
  <c r="N85" i="1" a="1"/>
  <c r="N85" i="1" s="1"/>
  <c r="N14" i="1" a="1"/>
  <c r="N14" i="1" s="1"/>
  <c r="V21" i="1" a="1"/>
  <c r="V21" i="1" s="1"/>
  <c r="N34" i="1" a="1"/>
  <c r="N34" i="1" s="1"/>
  <c r="N59" i="1" a="1"/>
  <c r="N59" i="1" s="1"/>
  <c r="Q49" i="1" a="1"/>
  <c r="Q49" i="1" s="1"/>
  <c r="K24" i="1" a="1"/>
  <c r="K24" i="1" s="1"/>
  <c r="N49" i="1" a="1"/>
  <c r="N49" i="1" s="1"/>
  <c r="N52" i="1" a="1"/>
  <c r="N52" i="1" s="1"/>
  <c r="Q98" i="1" a="1"/>
  <c r="Q98" i="1" s="1"/>
  <c r="K37" i="1" a="1"/>
  <c r="K37" i="1" s="1"/>
  <c r="K56" i="1" a="1"/>
  <c r="K56" i="1" s="1"/>
  <c r="Q94" i="1" a="1"/>
  <c r="Q94" i="1" s="1"/>
  <c r="K49" i="1" a="1"/>
  <c r="K49" i="1" s="1"/>
  <c r="Q107" i="1" a="1"/>
  <c r="Q107" i="1" s="1"/>
  <c r="Q14" i="1" a="1"/>
  <c r="Q14" i="1" s="1"/>
  <c r="V33" i="1" a="1"/>
  <c r="V33" i="1" s="1"/>
  <c r="V124" i="1" a="1"/>
  <c r="V124" i="1" s="1"/>
  <c r="Q113" i="1" a="1"/>
  <c r="Q113" i="1" s="1"/>
  <c r="N107" i="1" a="1"/>
  <c r="N107" i="1" s="1"/>
  <c r="Q19" i="1" a="1"/>
  <c r="Q19" i="1" s="1"/>
  <c r="N33" i="1" a="1"/>
  <c r="N33" i="1" s="1"/>
  <c r="Q121" i="1" a="1"/>
  <c r="Q121" i="1" s="1"/>
  <c r="Q44" i="1" a="1"/>
  <c r="Q44" i="1" s="1"/>
  <c r="K83" i="1" a="1"/>
  <c r="K83" i="1" s="1"/>
  <c r="K62" i="1" a="1"/>
  <c r="K62" i="1" s="1"/>
  <c r="N113" i="1" a="1"/>
  <c r="N113" i="1" s="1"/>
  <c r="K34" i="1" a="1"/>
  <c r="K34" i="1" s="1"/>
  <c r="K29" i="1" a="1"/>
  <c r="K29" i="1" s="1"/>
  <c r="K21" i="1" a="1"/>
  <c r="K21" i="1" s="1"/>
  <c r="N48" i="1" a="1"/>
  <c r="N48" i="1" s="1"/>
  <c r="V6" i="1" a="1"/>
  <c r="V6" i="1" s="1"/>
  <c r="Q97" i="1" a="1"/>
  <c r="Q97" i="1" s="1"/>
  <c r="K10" i="1" a="1"/>
  <c r="K10" i="1" s="1"/>
  <c r="K55" i="1" a="1"/>
  <c r="K55" i="1" s="1"/>
  <c r="K63" i="1" a="1"/>
  <c r="K63" i="1" s="1"/>
  <c r="K48" i="1" a="1"/>
  <c r="K48" i="1" s="1"/>
  <c r="N98" i="1" a="1"/>
  <c r="N98" i="1" s="1"/>
  <c r="N13" i="1" a="1"/>
  <c r="N13" i="1" s="1"/>
  <c r="Q29" i="1" a="1"/>
  <c r="Q29" i="1" s="1"/>
  <c r="Q57" i="1" a="1"/>
  <c r="Q57" i="1" s="1"/>
  <c r="N109" i="1" a="1"/>
  <c r="N109" i="1" s="1"/>
  <c r="Q81" i="1" a="1"/>
  <c r="Q81" i="1" s="1"/>
  <c r="K13" i="1" a="1"/>
  <c r="K13" i="1" s="1"/>
  <c r="Q25" i="1" a="1"/>
  <c r="Q25" i="1" s="1"/>
  <c r="Q120" i="1" a="1"/>
  <c r="Q120" i="1" s="1"/>
  <c r="Q43" i="1" a="1"/>
  <c r="Q43" i="1" s="1"/>
  <c r="Q6" i="1" a="1"/>
  <c r="Q6" i="1" s="1"/>
  <c r="N8" i="1" a="1"/>
  <c r="N8" i="1" s="1"/>
  <c r="N47" i="1" a="1"/>
  <c r="N47" i="1" s="1"/>
  <c r="N123" i="1" a="1"/>
  <c r="N123" i="1" s="1"/>
  <c r="K94" i="1" a="1"/>
  <c r="K94" i="1" s="1"/>
  <c r="N83" i="1" a="1"/>
  <c r="N83" i="1" s="1"/>
  <c r="K44" i="1" a="1"/>
  <c r="K44" i="1" s="1"/>
  <c r="V110" i="1" a="1"/>
  <c r="V110" i="1" s="1"/>
  <c r="K47" i="1" a="1"/>
  <c r="K47" i="1" s="1"/>
  <c r="K125" i="1" a="1"/>
  <c r="K125" i="1" s="1"/>
  <c r="V39" i="1" a="1"/>
  <c r="V39" i="1" s="1"/>
  <c r="N28" i="1" a="1"/>
  <c r="N28" i="1" s="1"/>
  <c r="N120" i="1" a="1"/>
  <c r="N120" i="1" s="1"/>
  <c r="K99" i="1" a="1"/>
  <c r="K99" i="1" s="1"/>
  <c r="Q72" i="1" a="1"/>
  <c r="Q72" i="1" s="1"/>
  <c r="N84" i="1" a="1"/>
  <c r="N84" i="1" s="1"/>
  <c r="N20" i="1" a="1"/>
  <c r="N20" i="1" s="1"/>
  <c r="N116" i="1" a="1"/>
  <c r="N116" i="1" s="1"/>
  <c r="N42" i="1" a="1"/>
  <c r="N42" i="1" s="1"/>
  <c r="Q123" i="1" a="1"/>
  <c r="Q123" i="1" s="1"/>
  <c r="Q53" i="1" a="1"/>
  <c r="Q53" i="1" s="1"/>
  <c r="V123" i="1" a="1"/>
  <c r="V123" i="1" s="1"/>
  <c r="V27" i="1" a="1"/>
  <c r="V27" i="1" s="1"/>
  <c r="N70" i="1" a="1"/>
  <c r="N70" i="1" s="1"/>
  <c r="N7" i="1" a="1"/>
  <c r="N7" i="1" s="1"/>
  <c r="K41" i="1" a="1"/>
  <c r="K41" i="1" s="1"/>
  <c r="N122" i="1" a="1"/>
  <c r="N122" i="1" s="1"/>
  <c r="N93" i="1" a="1"/>
  <c r="N93" i="1" s="1"/>
  <c r="V94" i="1" a="1"/>
  <c r="V94" i="1" s="1"/>
  <c r="V29" i="1" a="1"/>
  <c r="V29" i="1" s="1"/>
  <c r="Q106" i="1" a="1"/>
  <c r="Q106" i="1" s="1"/>
  <c r="Q28" i="1" a="1"/>
  <c r="Q28" i="1" s="1"/>
  <c r="K124" i="1" a="1"/>
  <c r="K124" i="1" s="1"/>
  <c r="V51" i="1" a="1"/>
  <c r="V51" i="1" s="1"/>
  <c r="K27" i="1" a="1"/>
  <c r="K27" i="1" s="1"/>
  <c r="Q109" i="1" a="1"/>
  <c r="Q109" i="1" s="1"/>
  <c r="K86" i="1" a="1"/>
  <c r="K86" i="1" s="1"/>
  <c r="Q71" i="1" a="1"/>
  <c r="Q71" i="1" s="1"/>
  <c r="N110" i="1" a="1"/>
  <c r="N110" i="1" s="1"/>
  <c r="K15" i="1" a="1"/>
  <c r="K15" i="1" s="1"/>
  <c r="K113" i="1" a="1"/>
  <c r="K113" i="1" s="1"/>
  <c r="N35" i="1" a="1"/>
  <c r="N35" i="1" s="1"/>
  <c r="L19" i="1"/>
  <c r="L23" i="1"/>
  <c r="L62" i="1"/>
  <c r="L72" i="1"/>
  <c r="L81" i="1"/>
  <c r="L114" i="1"/>
  <c r="L110" i="1"/>
  <c r="L18" i="1"/>
  <c r="L32" i="1"/>
  <c r="L28" i="1"/>
  <c r="L66" i="1"/>
  <c r="L13" i="1"/>
  <c r="L67" i="1"/>
  <c r="L103" i="1"/>
  <c r="L6" i="1"/>
  <c r="L86" i="1"/>
  <c r="L98" i="1"/>
  <c r="L99" i="1"/>
  <c r="L123" i="1"/>
  <c r="L71" i="1"/>
  <c r="L113" i="1"/>
  <c r="L65" i="1"/>
  <c r="L83" i="1"/>
  <c r="L77" i="1"/>
  <c r="L85" i="1"/>
  <c r="L12" i="1"/>
  <c r="L27" i="1"/>
  <c r="L88" i="1"/>
  <c r="L102" i="1"/>
  <c r="L124" i="1"/>
  <c r="L125" i="1"/>
  <c r="L116" i="1"/>
  <c r="L64" i="1"/>
  <c r="L15" i="1"/>
  <c r="L63" i="1"/>
  <c r="L78" i="1"/>
  <c r="L87" i="1"/>
  <c r="L93" i="1"/>
  <c r="L101" i="1"/>
  <c r="L84" i="1"/>
  <c r="L97" i="1"/>
  <c r="L11" i="1"/>
  <c r="L26" i="1"/>
  <c r="L47" i="1"/>
  <c r="L48" i="1"/>
  <c r="L49" i="1"/>
  <c r="L50" i="1"/>
  <c r="L51" i="1"/>
  <c r="L53" i="1"/>
  <c r="L122" i="1"/>
  <c r="L112" i="1"/>
  <c r="L7" i="1"/>
  <c r="L8" i="1"/>
  <c r="L44" i="1"/>
  <c r="L55" i="1"/>
  <c r="L56" i="1"/>
  <c r="L121" i="1"/>
  <c r="L120" i="1"/>
  <c r="L58" i="1"/>
  <c r="L10" i="1"/>
  <c r="L37" i="1"/>
  <c r="L38" i="1"/>
  <c r="L39" i="1"/>
  <c r="L43" i="1"/>
  <c r="L52" i="1"/>
  <c r="L54" i="1"/>
  <c r="L57" i="1"/>
  <c r="L107" i="1"/>
  <c r="L14" i="1"/>
  <c r="L96" i="1"/>
  <c r="L25" i="1"/>
  <c r="L36" i="1"/>
  <c r="L40" i="1"/>
  <c r="L41" i="1"/>
  <c r="L69" i="1"/>
  <c r="L94" i="1"/>
  <c r="L119" i="1"/>
  <c r="L82" i="1"/>
  <c r="L29" i="1"/>
  <c r="L21" i="1"/>
  <c r="L24" i="1"/>
  <c r="L35" i="1"/>
  <c r="L42" i="1"/>
  <c r="L109" i="1"/>
  <c r="L20" i="1"/>
  <c r="L33" i="1"/>
  <c r="L34" i="1"/>
  <c r="L59" i="1"/>
  <c r="L70" i="1"/>
  <c r="L80" i="1"/>
  <c r="L115" i="1"/>
  <c r="L73" i="1"/>
  <c r="L106" i="1"/>
  <c r="Q122" i="1" a="1"/>
  <c r="Q122" i="1" s="1"/>
  <c r="Q51" i="1" a="1"/>
  <c r="Q51" i="1" s="1"/>
  <c r="V93" i="1" a="1"/>
  <c r="V93" i="1" s="1"/>
  <c r="Q26" i="1" a="1"/>
  <c r="Q26" i="1" s="1"/>
  <c r="V97" i="1" a="1"/>
  <c r="V97" i="1" s="1"/>
  <c r="V116" i="1" a="1"/>
  <c r="V116" i="1" s="1"/>
  <c r="K40" i="1" a="1"/>
  <c r="K40" i="1" s="1"/>
  <c r="K119" i="1" a="1"/>
  <c r="K119" i="1" s="1"/>
  <c r="N87" i="1" a="1"/>
  <c r="N87" i="1" s="1"/>
  <c r="K66" i="1" a="1"/>
  <c r="K66" i="1" s="1"/>
  <c r="N27" i="1" a="1"/>
  <c r="N27" i="1" s="1"/>
  <c r="N99" i="1" a="1"/>
  <c r="N99" i="1" s="1"/>
  <c r="K26" i="1" a="1"/>
  <c r="K26" i="1" s="1"/>
  <c r="N103" i="1" a="1"/>
  <c r="N103" i="1" s="1"/>
  <c r="Q24" i="1" a="1"/>
  <c r="Q24" i="1" s="1"/>
  <c r="V19" i="1" a="1"/>
  <c r="V19" i="1" s="1"/>
  <c r="N102" i="1" a="1"/>
  <c r="N102" i="1" s="1"/>
  <c r="K77" i="1" a="1"/>
  <c r="K77" i="1" s="1"/>
  <c r="K67" i="1" a="1"/>
  <c r="K67" i="1" s="1"/>
  <c r="Q115" i="1" a="1"/>
  <c r="Q115" i="1" s="1"/>
  <c r="V8" i="1" a="1"/>
  <c r="V8" i="1" s="1"/>
  <c r="V88" i="1" a="1"/>
  <c r="V88" i="1" s="1"/>
  <c r="K32" i="1" a="1"/>
  <c r="K32" i="1" s="1"/>
  <c r="K20" i="1" a="1"/>
  <c r="K20" i="1" s="1"/>
  <c r="K106" i="1" a="1"/>
  <c r="K106" i="1" s="1"/>
  <c r="K36" i="1" a="1"/>
  <c r="K36" i="1" s="1"/>
  <c r="V109" i="1" a="1"/>
  <c r="V109" i="1" s="1"/>
  <c r="V84" i="1" a="1"/>
  <c r="V84" i="1" s="1"/>
  <c r="N64" i="1" a="1"/>
  <c r="N64" i="1" s="1"/>
  <c r="V14" i="1" a="1"/>
  <c r="V14" i="1" s="1"/>
  <c r="Q96" i="1" a="1"/>
  <c r="Q96" i="1" s="1"/>
  <c r="V15" i="1" a="1"/>
  <c r="V15" i="1" s="1"/>
  <c r="K101" i="1" a="1"/>
  <c r="K101" i="1" s="1"/>
  <c r="N114" i="1" a="1"/>
  <c r="N114" i="1" s="1"/>
  <c r="Q15" i="1" a="1"/>
  <c r="Q15" i="1" s="1"/>
  <c r="K6" i="1" a="1"/>
  <c r="K6" i="1" s="1"/>
  <c r="Q73" i="1" a="1"/>
  <c r="Q73" i="1" s="1"/>
  <c r="Q62" i="1" a="1"/>
  <c r="Q62" i="1" s="1"/>
  <c r="K109" i="1" a="1"/>
  <c r="K109" i="1" s="1"/>
  <c r="N112" i="1" a="1"/>
  <c r="N112" i="1" s="1"/>
  <c r="V86" i="1" a="1"/>
  <c r="V86" i="1" s="1"/>
  <c r="V26" i="1" a="1"/>
  <c r="V26" i="1" s="1"/>
  <c r="N121" i="1" a="1"/>
  <c r="N121" i="1" s="1"/>
  <c r="K114" i="1" a="1"/>
  <c r="K114" i="1" s="1"/>
  <c r="N41" i="1" a="1"/>
  <c r="N41" i="1" s="1"/>
  <c r="V98" i="1" a="1"/>
  <c r="V98" i="1" s="1"/>
  <c r="V12" i="1" a="1"/>
  <c r="V12" i="1" s="1"/>
  <c r="K116" i="1" a="1"/>
  <c r="K116" i="1" s="1"/>
  <c r="V42" i="1" a="1"/>
  <c r="V42" i="1" s="1"/>
  <c r="V28" i="1" a="1"/>
  <c r="V28" i="1" s="1"/>
  <c r="V106" i="1" a="1"/>
  <c r="V106" i="1" s="1"/>
  <c r="V83" i="1" a="1"/>
  <c r="V83" i="1" s="1"/>
  <c r="V49" i="1" a="1"/>
  <c r="V49" i="1" s="1"/>
  <c r="Q13" i="1" a="1"/>
  <c r="Q13" i="1" s="1"/>
  <c r="N86" i="1" a="1"/>
  <c r="N86" i="1" s="1"/>
  <c r="K11" i="1" a="1"/>
  <c r="K11" i="1" s="1"/>
  <c r="K93" i="1" a="1"/>
  <c r="K93" i="1" s="1"/>
  <c r="V52" i="1" a="1"/>
  <c r="V52" i="1" s="1"/>
  <c r="K12" i="1" a="1"/>
  <c r="K12" i="1" s="1"/>
  <c r="V115" i="1" a="1"/>
  <c r="V115" i="1" s="1"/>
  <c r="V69" i="1" a="1"/>
  <c r="V69" i="1" s="1"/>
  <c r="Q59" i="1" a="1"/>
  <c r="Q59" i="1" s="1"/>
  <c r="V7" i="1" a="1"/>
  <c r="V7" i="1" s="1"/>
  <c r="N6" i="1" a="1"/>
  <c r="N6" i="1" s="1"/>
  <c r="V77" i="1" a="1"/>
  <c r="V77" i="1" s="1"/>
  <c r="N24" i="1" a="1"/>
  <c r="N24" i="1" s="1"/>
  <c r="V56" i="1" a="1"/>
  <c r="V56" i="1" s="1"/>
  <c r="Q27" i="1" a="1"/>
  <c r="Q27" i="1" s="1"/>
  <c r="Q103" i="1" a="1"/>
  <c r="Q103" i="1" s="1"/>
  <c r="N78" i="1" a="1"/>
  <c r="N78" i="1" s="1"/>
  <c r="N18" i="1" a="1"/>
  <c r="N18" i="1" s="1"/>
  <c r="N12" i="1" a="1"/>
  <c r="N12" i="1" s="1"/>
  <c r="Q84" i="1" a="1"/>
  <c r="Q84" i="1" s="1"/>
  <c r="K103" i="1" a="1"/>
  <c r="K103" i="1" s="1"/>
  <c r="K87" i="1" a="1"/>
  <c r="K87" i="1" s="1"/>
  <c r="Q36" i="1" a="1"/>
  <c r="Q36" i="1" s="1"/>
  <c r="K98" i="1" a="1"/>
  <c r="K98" i="1" s="1"/>
  <c r="V114" i="1" a="1"/>
  <c r="V114" i="1" s="1"/>
  <c r="Q64" i="1" a="1"/>
  <c r="Q64" i="1" s="1"/>
  <c r="V57" i="1" a="1"/>
  <c r="V57" i="1" s="1"/>
  <c r="K110" i="1" a="1"/>
  <c r="K110" i="1" s="1"/>
  <c r="K85" i="1" a="1"/>
  <c r="K85" i="1" s="1"/>
  <c r="K73" i="1" a="1"/>
  <c r="K73" i="1" s="1"/>
  <c r="N21" i="1" a="1"/>
  <c r="N21" i="1" s="1"/>
  <c r="N10" i="1" a="1"/>
  <c r="N10" i="1" s="1"/>
  <c r="Q88" i="1" a="1"/>
  <c r="Q88" i="1" s="1"/>
  <c r="V50" i="1" a="1"/>
  <c r="V50" i="1" s="1"/>
  <c r="N26" i="1" a="1"/>
  <c r="N26" i="1" s="1"/>
  <c r="Q102" i="1" a="1"/>
  <c r="Q102" i="1" s="1"/>
  <c r="Q66" i="1" a="1"/>
  <c r="Q66" i="1" s="1"/>
  <c r="N115" i="1" a="1"/>
  <c r="N115" i="1" s="1"/>
  <c r="K8" i="1" a="1"/>
  <c r="K8" i="1" s="1"/>
  <c r="Q83" i="1" a="1"/>
  <c r="Q83" i="1" s="1"/>
  <c r="Q58" i="1" a="1"/>
  <c r="Q58" i="1" s="1"/>
  <c r="K78" i="1" a="1"/>
  <c r="K78" i="1" s="1"/>
  <c r="Q124" i="1" a="1"/>
  <c r="Q124" i="1" s="1"/>
  <c r="K97" i="1" a="1"/>
  <c r="K97" i="1" s="1"/>
  <c r="Q112" i="1" a="1"/>
  <c r="Q112" i="1" s="1"/>
  <c r="Q63" i="1" a="1"/>
  <c r="Q63" i="1" s="1"/>
  <c r="V41" i="1" a="1"/>
  <c r="V41" i="1" s="1"/>
  <c r="N72" i="1" a="1"/>
  <c r="N72" i="1" s="1"/>
  <c r="N63" i="1" a="1"/>
  <c r="N63" i="1" s="1"/>
  <c r="K71" i="1" a="1"/>
  <c r="K71" i="1" s="1"/>
  <c r="K18" i="1" a="1"/>
  <c r="K18" i="1" s="1"/>
  <c r="Q87" i="1" a="1"/>
  <c r="Q87" i="1" s="1"/>
  <c r="N19" i="1" a="1"/>
  <c r="N19" i="1" s="1"/>
  <c r="K25" i="1" a="1"/>
  <c r="K25" i="1" s="1"/>
  <c r="V96" i="1" a="1"/>
  <c r="V96" i="1" s="1"/>
  <c r="V65" i="1" a="1"/>
  <c r="V65" i="1" s="1"/>
  <c r="N80" i="1" a="1"/>
  <c r="N80" i="1" s="1"/>
  <c r="K7" i="1" a="1"/>
  <c r="K7" i="1" s="1"/>
  <c r="V81" i="1" a="1"/>
  <c r="V81" i="1" s="1"/>
  <c r="V122" i="1" a="1"/>
  <c r="V122" i="1" s="1"/>
  <c r="V72" i="1" a="1"/>
  <c r="V72" i="1" s="1"/>
  <c r="K115" i="1" a="1"/>
  <c r="K115" i="1" s="1"/>
  <c r="Q21" i="1" a="1"/>
  <c r="Q21" i="1" s="1"/>
  <c r="Q110" i="1" a="1"/>
  <c r="Q110" i="1" s="1"/>
  <c r="V40" i="1" a="1"/>
  <c r="V40" i="1" s="1"/>
  <c r="V38" i="1" a="1"/>
  <c r="V38" i="1" s="1"/>
  <c r="Q42" i="1" a="1"/>
  <c r="Q42" i="1" s="1"/>
  <c r="Q20" i="1" a="1"/>
  <c r="Q20" i="1" s="1"/>
  <c r="K64" i="1" a="1"/>
  <c r="K64" i="1" s="1"/>
  <c r="V11" i="1" a="1"/>
  <c r="V11" i="1" s="1"/>
  <c r="N94" i="1" a="1"/>
  <c r="N94" i="1" s="1"/>
  <c r="K23" i="1" a="1"/>
  <c r="K23" i="1" s="1"/>
  <c r="N57" i="1" a="1"/>
  <c r="N57" i="1" s="1"/>
  <c r="Q80" i="1" a="1"/>
  <c r="Q80" i="1" s="1"/>
  <c r="K58" i="1" a="1"/>
  <c r="K58" i="1" s="1"/>
  <c r="Q77" i="1" a="1"/>
  <c r="Q77" i="1" s="1"/>
  <c r="V13" i="1" a="1"/>
  <c r="V13" i="1" s="1"/>
  <c r="Q86" i="1" a="1"/>
  <c r="Q86" i="1" s="1"/>
  <c r="K57" i="1" a="1"/>
  <c r="K57" i="1" s="1"/>
  <c r="K65" i="1" a="1"/>
  <c r="K65" i="1" s="1"/>
  <c r="N15" i="1" a="1"/>
  <c r="N15" i="1" s="1"/>
  <c r="N77" i="1" a="1"/>
  <c r="N77" i="1" s="1"/>
  <c r="N81" i="1" a="1"/>
  <c r="N81" i="1" s="1"/>
  <c r="V70" i="1" a="1"/>
  <c r="V70" i="1" s="1"/>
  <c r="V112" i="1" a="1"/>
  <c r="V112" i="1" s="1"/>
  <c r="K112" i="1" a="1"/>
  <c r="K112" i="1" s="1"/>
  <c r="N106" i="1" a="1"/>
  <c r="N106" i="1" s="1"/>
  <c r="V35" i="1" a="1"/>
  <c r="V35" i="1" s="1"/>
  <c r="V37" i="1" a="1"/>
  <c r="V37" i="1" s="1"/>
  <c r="V10" i="1" a="1"/>
  <c r="V10" i="1" s="1"/>
  <c r="N73" i="1" a="1"/>
  <c r="N73" i="1" s="1"/>
  <c r="N58" i="1" a="1"/>
  <c r="N58" i="1" s="1"/>
  <c r="I128" i="1"/>
  <c r="I146" i="1" s="1"/>
  <c r="I133" i="1"/>
  <c r="I140" i="1"/>
  <c r="I141" i="1" s="1"/>
  <c r="I145" i="1"/>
  <c r="I129" i="1" a="1"/>
  <c r="I129" i="1" s="1"/>
  <c r="I134" i="1"/>
  <c r="I130" i="1" a="1"/>
  <c r="I130" i="1" s="1"/>
  <c r="I132" i="1"/>
  <c r="I135" i="1"/>
  <c r="I143" i="1"/>
  <c r="I136" i="1"/>
  <c r="I144" i="1"/>
  <c r="I137" i="1"/>
  <c r="I138" i="1"/>
  <c r="I139" i="1" s="1"/>
  <c r="I142" i="1" a="1"/>
  <c r="I142" i="1" s="1"/>
  <c r="O128" i="1"/>
  <c r="H131" i="1"/>
  <c r="P128" i="1"/>
  <c r="N128" i="1"/>
  <c r="W82" i="1" l="1"/>
  <c r="W114" i="1"/>
  <c r="W96" i="1"/>
  <c r="W12" i="1"/>
  <c r="W94" i="1"/>
  <c r="W39" i="1"/>
  <c r="W18" i="1"/>
  <c r="W120" i="1"/>
  <c r="W14" i="1"/>
  <c r="W121" i="1"/>
  <c r="W37" i="1"/>
  <c r="W41" i="1"/>
  <c r="W24" i="1"/>
  <c r="W88" i="1"/>
  <c r="W7" i="1"/>
  <c r="W26" i="1"/>
  <c r="W71" i="1"/>
  <c r="W70" i="1"/>
  <c r="W43" i="1"/>
  <c r="W33" i="1"/>
  <c r="W112" i="1"/>
  <c r="W36" i="1"/>
  <c r="W15" i="1"/>
  <c r="W25" i="1"/>
  <c r="W34" i="1"/>
  <c r="W99" i="1"/>
  <c r="W35" i="1"/>
  <c r="W125" i="1"/>
  <c r="W29" i="1"/>
  <c r="W80" i="1"/>
  <c r="W66" i="1"/>
  <c r="W11" i="1"/>
  <c r="W86" i="1"/>
  <c r="W73" i="1"/>
  <c r="W54" i="1"/>
  <c r="W47" i="1"/>
  <c r="W38" i="1"/>
  <c r="W97" i="1"/>
  <c r="W6" i="1"/>
  <c r="W72" i="1"/>
  <c r="W58" i="1"/>
  <c r="W87" i="1"/>
  <c r="W13" i="1"/>
  <c r="W81" i="1"/>
  <c r="W78" i="1"/>
  <c r="W20" i="1"/>
  <c r="W124" i="1"/>
  <c r="W103" i="1"/>
  <c r="W64" i="1"/>
  <c r="W49" i="1"/>
  <c r="W65" i="1"/>
  <c r="W123" i="1"/>
  <c r="W109" i="1"/>
  <c r="W56" i="1"/>
  <c r="W63" i="1"/>
  <c r="W19" i="1"/>
  <c r="W62" i="1"/>
  <c r="W55" i="1"/>
  <c r="W57" i="1"/>
  <c r="W116" i="1"/>
  <c r="W113" i="1"/>
  <c r="W53" i="1"/>
  <c r="W21" i="1"/>
  <c r="W122" i="1"/>
  <c r="W32" i="1"/>
  <c r="W50" i="1"/>
  <c r="W85" i="1"/>
  <c r="W52" i="1"/>
  <c r="W23" i="1"/>
  <c r="W110" i="1"/>
  <c r="W101" i="1"/>
  <c r="W42" i="1"/>
  <c r="W40" i="1"/>
  <c r="W93" i="1"/>
  <c r="W107" i="1"/>
  <c r="W83" i="1"/>
  <c r="W28" i="1"/>
  <c r="W77" i="1"/>
  <c r="W106" i="1"/>
  <c r="W27" i="1"/>
  <c r="W51" i="1"/>
  <c r="W48" i="1"/>
  <c r="W115" i="1"/>
  <c r="W67" i="1"/>
  <c r="W69" i="1"/>
  <c r="W102" i="1"/>
  <c r="W8" i="1"/>
  <c r="W119" i="1"/>
  <c r="W59" i="1"/>
  <c r="W98" i="1"/>
  <c r="W84" i="1"/>
  <c r="W10" i="1"/>
  <c r="W44" i="1"/>
  <c r="I131" i="1"/>
  <c r="W12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Miguel Triguero</author>
  </authors>
  <commentList>
    <comment ref="T5" authorId="0" shapeId="0" xr:uid="{7F0A71B4-F9CA-48AC-91DF-FFF7E8A01226}">
      <text>
        <r>
          <rPr>
            <sz val="24"/>
            <color indexed="81"/>
            <rFont val="Tahoma"/>
            <family val="2"/>
          </rPr>
          <t xml:space="preserve">Si el impacto es muy grande hacemos algo al respecto? ¿Dejo los dos indicadores de impacto?
</t>
        </r>
      </text>
    </comment>
    <comment ref="U5" authorId="0" shapeId="0" xr:uid="{D5C1328C-66AA-40C6-9172-64683BC7F2D7}">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5" authorId="0" shapeId="0" xr:uid="{47067AAF-D9D3-4998-AD55-9A9C23329165}">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17" authorId="0" shapeId="0" xr:uid="{E241C2CF-3755-49B2-A032-3DDA0EA47F11}">
      <text>
        <r>
          <rPr>
            <sz val="24"/>
            <color indexed="81"/>
            <rFont val="Tahoma"/>
            <family val="2"/>
          </rPr>
          <t xml:space="preserve">Si el impacto es muy grande hacemos algo al respecto? ¿Dejo los dos indicadores de impacto?
</t>
        </r>
      </text>
    </comment>
    <comment ref="U17" authorId="0" shapeId="0" xr:uid="{98A710A8-644B-46B8-8B03-96656085BDFB}">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17" authorId="0" shapeId="0" xr:uid="{9C0454ED-8F73-4A2F-A3F9-FE4E2B0BA950}">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31" authorId="0" shapeId="0" xr:uid="{ECC3C14B-DADD-47D1-92FF-C44387A37DA7}">
      <text>
        <r>
          <rPr>
            <sz val="24"/>
            <color indexed="81"/>
            <rFont val="Tahoma"/>
            <family val="2"/>
          </rPr>
          <t xml:space="preserve">Si el impacto es muy grande hacemos algo al respecto? ¿Dejo los dos indicadores de impacto?
</t>
        </r>
      </text>
    </comment>
    <comment ref="U31" authorId="0" shapeId="0" xr:uid="{65908B41-3AB4-46CA-8773-443BEA5800AE}">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31" authorId="0" shapeId="0" xr:uid="{1A78BD66-C208-43AC-A7C9-E766A091C938}">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46" authorId="0" shapeId="0" xr:uid="{5E4319F1-F164-4556-84CD-158BD8C28F31}">
      <text>
        <r>
          <rPr>
            <sz val="24"/>
            <color indexed="81"/>
            <rFont val="Tahoma"/>
            <family val="2"/>
          </rPr>
          <t xml:space="preserve">Si el impacto es muy grande hacemos algo al respecto? ¿Dejo los dos indicadores de impacto?
</t>
        </r>
      </text>
    </comment>
    <comment ref="U46" authorId="0" shapeId="0" xr:uid="{47DD67B6-A746-48BD-9888-61F4F45AB54F}">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46" authorId="0" shapeId="0" xr:uid="{79F4BE6C-18B5-4514-9E45-1781CFEF2234}">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61" authorId="0" shapeId="0" xr:uid="{1A93939A-884F-488D-934B-FA1E196D9562}">
      <text>
        <r>
          <rPr>
            <sz val="24"/>
            <color indexed="81"/>
            <rFont val="Tahoma"/>
            <family val="2"/>
          </rPr>
          <t xml:space="preserve">Si el impacto es muy grande hacemos algo al respecto? ¿Dejo los dos indicadores de impacto?
</t>
        </r>
      </text>
    </comment>
    <comment ref="U61" authorId="0" shapeId="0" xr:uid="{19D2E9E0-A625-4173-8AFD-E2EE8E7CE182}">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61" authorId="0" shapeId="0" xr:uid="{F04B01EA-C554-4C25-A638-D79121CF4357}">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76" authorId="0" shapeId="0" xr:uid="{3F2BC2F2-0377-40B8-9D50-7C04E81761E8}">
      <text>
        <r>
          <rPr>
            <sz val="24"/>
            <color indexed="81"/>
            <rFont val="Tahoma"/>
            <family val="2"/>
          </rPr>
          <t xml:space="preserve">Si el impacto es muy grande hacemos algo al respecto? ¿Dejo los dos indicadores de impacto?
</t>
        </r>
      </text>
    </comment>
    <comment ref="U76" authorId="0" shapeId="0" xr:uid="{448AB6E5-C6C5-483E-AE7F-BC85D0E82C12}">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76" authorId="0" shapeId="0" xr:uid="{F3B4F26D-D3D9-4950-B9FE-5960AFF05548}">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92" authorId="0" shapeId="0" xr:uid="{871A6FF5-3F9A-4562-82F3-4E6E141D80DA}">
      <text>
        <r>
          <rPr>
            <sz val="24"/>
            <color indexed="81"/>
            <rFont val="Tahoma"/>
            <family val="2"/>
          </rPr>
          <t xml:space="preserve">Si el impacto es muy grande hacemos algo al respecto? ¿Dejo los dos indicadores de impacto?
</t>
        </r>
      </text>
    </comment>
    <comment ref="U92" authorId="0" shapeId="0" xr:uid="{B1F82670-586D-44CA-9A58-ABED9313BAF1}">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92" authorId="0" shapeId="0" xr:uid="{80C5CA8D-A74F-42D2-80C0-2BF87AAF082A}">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105" authorId="0" shapeId="0" xr:uid="{25F4638B-CE84-44BA-8A77-70F911B3DB66}">
      <text>
        <r>
          <rPr>
            <sz val="24"/>
            <color indexed="81"/>
            <rFont val="Tahoma"/>
            <family val="2"/>
          </rPr>
          <t xml:space="preserve">Si el impacto es muy grande hacemos algo al respecto? ¿Dejo los dos indicadores de impacto?
</t>
        </r>
      </text>
    </comment>
    <comment ref="U105" authorId="0" shapeId="0" xr:uid="{B7C47A5A-ADC4-476D-84BA-A7417903FBA1}">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105" authorId="0" shapeId="0" xr:uid="{86ED8B9A-0EE0-404F-9296-C09BB3AF962E}">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 ref="T118" authorId="0" shapeId="0" xr:uid="{653C8C7A-BF0B-4AA5-8105-25EED7B71BEC}">
      <text>
        <r>
          <rPr>
            <sz val="24"/>
            <color indexed="81"/>
            <rFont val="Tahoma"/>
            <family val="2"/>
          </rPr>
          <t xml:space="preserve">Si el impacto es muy grande hacemos algo al respecto? ¿Dejo los dos indicadores de impacto?
</t>
        </r>
      </text>
    </comment>
    <comment ref="U118" authorId="0" shapeId="0" xr:uid="{B8BF0DA5-2801-4FFB-A05D-D9642B85F96F}">
      <text>
        <r>
          <rPr>
            <sz val="24"/>
            <color indexed="81"/>
            <rFont val="Tahoma"/>
            <family val="2"/>
          </rPr>
          <t>Establecemos límites (en los parámetros de la izqda) para que den info al profesor de un vistazo rápido? Qué límites ponemos?</t>
        </r>
        <r>
          <rPr>
            <b/>
            <sz val="9"/>
            <color indexed="81"/>
            <rFont val="Tahoma"/>
            <family val="2"/>
          </rPr>
          <t xml:space="preserve">
</t>
        </r>
      </text>
    </comment>
    <comment ref="V118" authorId="0" shapeId="0" xr:uid="{1145FEA9-C5D1-48E3-8E3D-4FBCB2E799EA}">
      <text>
        <r>
          <rPr>
            <b/>
            <sz val="24"/>
            <color indexed="81"/>
            <rFont val="Tahoma"/>
            <family val="2"/>
          </rPr>
          <t>¿Pq Usamos Z-Score si da igual su nota respecto a la clase para esto?</t>
        </r>
        <r>
          <rPr>
            <sz val="24"/>
            <color indexed="81"/>
            <rFont val="Tahoma"/>
            <family val="2"/>
          </rPr>
          <t xml:space="preserve">
Pensaba poner para que saliera en automático si es perfil de exámenes o perfil de actividades, estableciendo una condición lógica en base al valor de la diferencia de Z-scores. No se como calcular los Z-scores de los exámenes y las pruebas complementarias aisladas.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<sst xmlns="http://schemas.openxmlformats.org/spreadsheetml/2006/main" count="1003" uniqueCount="108">
  <si>
    <t>ASIGNATURA</t>
  </si>
  <si>
    <t>Cálculo I</t>
  </si>
  <si>
    <t>ESCALA</t>
  </si>
  <si>
    <t>CURSO</t>
  </si>
  <si>
    <t>1º curso</t>
  </si>
  <si>
    <t>PROMOCIÓN</t>
  </si>
  <si>
    <t>430</t>
  </si>
  <si>
    <t>NÚM</t>
  </si>
  <si>
    <t>NOMBRE Y APELLIDOS</t>
  </si>
  <si>
    <t>1º PARCIAL (15%)</t>
  </si>
  <si>
    <t>2º PARCIAL (15%)</t>
  </si>
  <si>
    <t>MATLAB (15%)</t>
  </si>
  <si>
    <t>ACT COMP (15%)</t>
  </si>
  <si>
    <t>EX FINAL (40%)</t>
  </si>
  <si>
    <t>NOTA FINAL (ACUMULADA)</t>
  </si>
  <si>
    <t>GRUPO 1</t>
  </si>
  <si>
    <t>NP</t>
  </si>
  <si>
    <t>GRUPO 2</t>
  </si>
  <si>
    <t>Reconocimiento Créditos</t>
  </si>
  <si>
    <t>GRUPO 3</t>
  </si>
  <si>
    <t>GRUPO 4</t>
  </si>
  <si>
    <t>GRUPO 5</t>
  </si>
  <si>
    <t>GRUPO 6</t>
  </si>
  <si>
    <t>Cuerpo de Infantería de Marina – EOF</t>
  </si>
  <si>
    <t xml:space="preserve">Curso </t>
  </si>
  <si>
    <t>Refuerzo</t>
  </si>
  <si>
    <t>2025-2026</t>
  </si>
  <si>
    <t>CG - EOF</t>
  </si>
  <si>
    <t>PESO ACTIVIDAD EVALUADORA</t>
  </si>
  <si>
    <t>BOTON</t>
  </si>
  <si>
    <t>Pepe Garcia Garcia</t>
  </si>
  <si>
    <t>Tipo de actividad Evaluadora</t>
  </si>
  <si>
    <t>MEDIA</t>
  </si>
  <si>
    <t>MEDIANA</t>
  </si>
  <si>
    <t>DESVIACIÓN ESTÁNDAR</t>
  </si>
  <si>
    <t>COEFICIENTE DE VARIACIÓN</t>
  </si>
  <si>
    <t>RANGO</t>
  </si>
  <si>
    <t>RANGO INTERCUARTÍLICO</t>
  </si>
  <si>
    <t>ASIMETRÍA</t>
  </si>
  <si>
    <t>CURTOSIS</t>
  </si>
  <si>
    <t>PERCENTIL 90%</t>
  </si>
  <si>
    <t>Nº APROBADOS</t>
  </si>
  <si>
    <t>ALUMNOS TOP 10%</t>
  </si>
  <si>
    <t>PORCENTAJE APROBADOS</t>
  </si>
  <si>
    <t>INTERVALO DE CONFIANZA</t>
  </si>
  <si>
    <t>MEDIA RECORTADA</t>
  </si>
  <si>
    <t xml:space="preserve">1º CUARTIL </t>
  </si>
  <si>
    <t xml:space="preserve"> 3º CUARTIL</t>
  </si>
  <si>
    <t>ÍNDICE DE DISCRIMINACIÓN</t>
  </si>
  <si>
    <t>ÍNDICE DE DIFICULTAD</t>
  </si>
  <si>
    <t>Z-SCORE</t>
  </si>
  <si>
    <t>PERCENTILES</t>
  </si>
  <si>
    <t>MEDIA ABSOLUTA</t>
  </si>
  <si>
    <t>MEDIA EXÁMENES</t>
  </si>
  <si>
    <t>Examen</t>
  </si>
  <si>
    <t>Prueba Complementaria</t>
  </si>
  <si>
    <t>IMPACTO ACTIVIDADES</t>
  </si>
  <si>
    <t>IMPACTO ACTIVIDADES %</t>
  </si>
  <si>
    <t>PERFIL ALUMNO</t>
  </si>
  <si>
    <t>130</t>
  </si>
  <si>
    <t>IM GRUPO 2</t>
  </si>
  <si>
    <t>IM GRUPO 1</t>
  </si>
  <si>
    <t>Z-SCORE EXÁMENES</t>
  </si>
  <si>
    <t>Z-SCORE ACTIVIDADES</t>
  </si>
  <si>
    <t>PERCENTILES EXÁMENES</t>
  </si>
  <si>
    <t>PERCENTILES ACTIVIDADES</t>
  </si>
  <si>
    <t>MEDIA ACTIVIDADES</t>
  </si>
  <si>
    <t>DESV. ESTÁNDAR Z-SCORE EXÁMENES</t>
  </si>
  <si>
    <t>CONSISTENCIA INTERNA</t>
  </si>
  <si>
    <t>RENDIMIENTO BAJO PRESIÓN</t>
  </si>
  <si>
    <t>TENDENCIA EN EXÁMENES</t>
  </si>
  <si>
    <t>COHERENCIA PARCIALES Y EXAMEN FINAL</t>
  </si>
  <si>
    <t>MEDIAS</t>
  </si>
  <si>
    <t>EXÁMENES</t>
  </si>
  <si>
    <t>ACTIVIDADES</t>
  </si>
  <si>
    <t>ABSOLUTA</t>
  </si>
  <si>
    <t>PONDERADA</t>
  </si>
  <si>
    <t>ÍNDICE DE VIABILIDAD SUPERACIÓN ASIGNATURA</t>
  </si>
  <si>
    <t>Contador Exámenes</t>
  </si>
  <si>
    <t>Contador Act. Complementarias</t>
  </si>
  <si>
    <t>MEDIA SUSPENSOS</t>
  </si>
  <si>
    <t>Media: _x000D_
5,38</t>
  </si>
  <si>
    <t>Desv. Típica: _x000D_
2,20</t>
  </si>
  <si>
    <t>Mediana: _x000D_
5,95</t>
  </si>
  <si>
    <t>% Aprobados: _x000D_
67%</t>
  </si>
  <si>
    <t>0-1</t>
  </si>
  <si>
    <t>1-2</t>
  </si>
  <si>
    <t>2-3</t>
  </si>
  <si>
    <t>3-4</t>
  </si>
  <si>
    <t>4-5</t>
  </si>
  <si>
    <t>5-6</t>
  </si>
  <si>
    <t>6-7</t>
  </si>
  <si>
    <t>7-8</t>
  </si>
  <si>
    <t>8-9</t>
  </si>
  <si>
    <t>9-10</t>
  </si>
  <si>
    <t>Aprobados</t>
  </si>
  <si>
    <t>Suspensos</t>
  </si>
  <si>
    <t>Media</t>
  </si>
  <si>
    <t>5 ALUMNOS CON LAS CALIFICACIONES MÁS ALTAS</t>
  </si>
  <si>
    <t>5 ALUMNOS CON LAS CALIFICACIONES MÁS BAJAS</t>
  </si>
  <si>
    <t>Aprobado en otro curso</t>
  </si>
  <si>
    <t>Nombre Asignatura: Cálculo I_x000D_
Curso: 2025-2026_x000D_
Número total Alumnos: 102</t>
  </si>
  <si>
    <t>INFORME DE NOTAS: Pepe Garcia Garcia</t>
  </si>
  <si>
    <t>PARÁMETROS ESTADÍSTICOS</t>
  </si>
  <si>
    <t>Actividades</t>
  </si>
  <si>
    <t>No Procede</t>
  </si>
  <si>
    <t>Informe 2º PARCIAL (15%)</t>
  </si>
  <si>
    <t>Informe ACT COMP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</si>
</sst>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
  </numFmts>
  <fonts count="41">
    <font>
      <sz val="11"/>
      <color theme="1"/>
      <name val="Calibri"/>
      <family val="2"/>
      <charset val="1"/>
    </font>
    <font>
      <b/>
      <sz val="14"/>
      <color theme="1"/>
      <name val="Calibri"/>
      <family val="2"/>
      <charset val="1"/>
    </font>
    <font>
      <b/>
      <sz val="14"/>
      <color rgb="FF00000A"/>
      <name val="Arial1"/>
      <charset val="1"/>
    </font>
    <font>
      <b/>
      <sz val="14"/>
      <color theme="1"/>
      <name val="Arial"/>
      <family val="2"/>
      <charset val="1"/>
    </font>
    <font>
      <b/>
      <sz val="14"/>
      <color rgb="FF00000A"/>
      <name val="Arial"/>
      <family val="2"/>
      <charset val="1"/>
    </font>
    <font>
      <b/>
      <sz val="14"/>
      <color theme="0"/>
      <name val="Arial"/>
      <family val="2"/>
    </font>
    <font>
      <b/>
      <u/>
      <sz val="14"/>
      <color rgb="FF00000A"/>
      <name val="Arial"/>
      <family val="2"/>
    </font>
    <font>
      <b/>
      <u/>
      <sz val="14"/>
      <name val="Arial"/>
      <family val="2"/>
    </font>
    <font>
      <sz val="14"/>
      <name val="Arial"/>
      <family val="2"/>
    </font>
    <font>
      <sz val="11"/>
      <color theme="1"/>
      <name val="Calibri"/>
      <family val="2"/>
      <charset val="1"/>
    </font>
    <font>
      <sz val="14"/>
      <color theme="1"/>
      <name val="Calibri"/>
      <family val="2"/>
      <charset val="1"/>
    </font>
    <font>
      <b/>
      <sz val="14"/>
      <color rgb="FF00000A"/>
      <name val="Arial"/>
      <family val="2"/>
    </font>
    <font>
      <b/>
      <sz val="14"/>
      <color theme="1"/>
      <name val="Calibri"/>
      <family val="2"/>
    </font>
    <font>
      <sz val="14"/>
      <color rgb="FF00000A"/>
      <name val="Arial"/>
      <family val="2"/>
    </font>
    <font>
      <sz val="14"/>
      <color theme="1"/>
      <name val="Arial"/>
      <family val="2"/>
    </font>
    <font>
      <b/>
      <sz val="14"/>
      <name val="Arial"/>
      <family val="2"/>
    </font>
    <font>
      <b/>
      <sz val="14"/>
      <color theme="1"/>
      <name val="Arial"/>
      <family val="2"/>
    </font>
    <font>
      <b/>
      <sz val="14"/>
      <color theme="0"/>
      <name val="Calibri"/>
      <family val="2"/>
    </font>
    <font>
      <b/>
      <sz val="14"/>
      <color rgb="FFFF0000"/>
      <name val="Arial"/>
      <family val="2"/>
    </font>
    <font>
      <b/>
      <sz val="14"/>
      <color rgb="FFFF0000"/>
      <name val="Calibri"/>
      <family val="2"/>
    </font>
    <font>
      <sz val="14"/>
      <color theme="1"/>
      <name val="Calibri"/>
      <family val="2"/>
    </font>
    <font>
      <sz val="14"/>
      <color rgb="FFFF0000"/>
      <name val="Calibri"/>
      <family val="2"/>
    </font>
    <font>
      <b/>
      <sz val="9"/>
      <color indexed="81"/>
      <name val="Tahoma"/>
      <family val="2"/>
    </font>
    <font>
      <sz val="24"/>
      <color indexed="81"/>
      <name val="Tahoma"/>
      <family val="2"/>
    </font>
    <font>
      <b/>
      <sz val="24"/>
      <color indexed="81"/>
      <name val="Tahoma"/>
      <family val="2"/>
    </font>
    <font>
      <b/>
      <sz val="20"/>
      <color rgb="FF000000"/>
      <name val="Calibri"/>
      <family val="2"/>
    </font>
    <font>
      <b/>
      <u/>
      <sz val="14"/>
      <color theme="0"/>
      <name val="Arial"/>
      <family val="2"/>
    </font>
    <font>
      <b/>
      <sz val="14"/>
      <color theme="0"/>
      <name val="Arial"/>
      <family val="2"/>
      <charset val="1"/>
    </font>
    <font>
      <b/>
      <sz val="14"/>
      <color rgb="FF000000"/>
      <name val="Calibri"/>
      <family val="2"/>
    </font>
    <font>
      <b/>
      <sz val="18"/>
      <color rgb="FF000000"/>
      <name val="Calibri"/>
      <family val="2"/>
    </font>
    <font>
      <sz val="11"/>
      <color rgb="FFFFFFFF"/>
      <name val="Calibri"/>
      <family val="2"/>
      <charset val="1"/>
    </font>
    <font>
      <b/>
      <sz val="13"/>
      <color theme="1"/>
      <name val="Calibri"/>
      <family val="2"/>
    </font>
    <font>
      <b/>
      <sz val="11"/>
      <color rgb="FF000000"/>
      <name val="Calibri"/>
      <family val="2"/>
    </font>
    <font>
      <b/>
      <sz val="11"/>
      <color theme="1"/>
      <name val="Calibri"/>
      <family val="2"/>
    </font>
    <font>
      <b/>
      <sz val="16"/>
      <color theme="1"/>
      <name val="Calibri"/>
      <family val="2"/>
    </font>
    <font>
      <sz val="11"/>
      <color rgb="FFF2F2F2"/>
      <name val="Calibri"/>
      <family val="2"/>
      <charset val="1"/>
    </font>
    <font>
      <sz val="11"/>
      <color theme="1"/>
      <name val="Calibri"/>
      <family val="2"/>
    </font>
    <font>
      <b/>
      <sz val="10"/>
      <color theme="1"/>
      <name val="Calibri"/>
      <family val="2"/>
    </font>
    <font>
      <b/>
      <sz val="11"/>
      <color rgb="FFFFFFFF"/>
      <name val="Calibri"/>
      <family val="2"/>
    </font>
    <font>
      <b/>
      <sz val="18"/>
      <color theme="1"/>
      <name val="Calibri"/>
      <family val="2"/>
    </font>
    <font>
      <b/>
      <sz val="12"/>
      <color rgb="FFFFFFFF"/>
      <name val="Calibri"/>
      <family val="2"/>
    </font>
  </fonts>
  <fills count="25">
    <fill>
      <patternFill patternType="none"/>
    </fill>
    <fill>
      <patternFill patternType="gray125"/>
    </fill>
    <fill>
      <patternFill patternType="solid">
        <fgColor theme="0" tint="-0.14999847407452621"/>
        <bgColor rgb="FFE7E6E6"/>
      </patternFill>
    </fill>
    <fill>
      <patternFill patternType="solid">
        <fgColor theme="0" tint="-0.249977111117893"/>
        <bgColor indexed="64"/>
      </patternFill>
    </fill>
    <fill>
      <patternFill patternType="solid">
        <fgColor rgb="FF00B0F0"/>
        <bgColor indexed="64"/>
      </patternFill>
    </fill>
    <fill>
      <patternFill patternType="solid">
        <fgColor theme="0" tint="-0.499984740745262"/>
        <bgColor indexed="64"/>
      </patternFill>
    </fill>
    <fill>
      <patternFill patternType="solid">
        <fgColor theme="0" tint="-4.9989318521683403E-2"/>
        <bgColor indexed="64"/>
      </patternFill>
    </fill>
    <fill>
      <gradientFill type="path" left="0.5" right="0.5" top="0.5" bottom="0.5">
        <stop position="0">
          <color theme="0"/>
        </stop>
        <stop position="1">
          <color theme="0" tint="-0.1490218817712943"/>
        </stop>
      </gradientFill>
    </fill>
    <fill>
      <patternFill patternType="solid">
        <fgColor rgb="FF00B05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rgb="FFE7E6E6"/>
      </patternFill>
    </fill>
    <fill>
      <patternFill patternType="solid">
        <fgColor theme="6"/>
        <bgColor indexed="64"/>
      </patternFill>
    </fill>
    <fill>
      <patternFill patternType="solid">
        <fgColor theme="4" tint="0.39997558519241921"/>
        <bgColor indexed="64"/>
      </patternFill>
    </fill>
    <fill>
      <patternFill patternType="solid">
        <fgColor theme="0"/>
        <bgColor indexed="64"/>
      </patternFill>
    </fill>
    <fill>
      <patternFill patternType="solid">
        <fgColor theme="2" tint="-0.249977111117893"/>
        <bgColor indexed="64"/>
      </patternFill>
    </fill>
    <fill>
      <patternFill patternType="solid">
        <fgColor rgb="FFFFE699"/>
        <bgColor indexed="64"/>
      </patternFill>
    </fill>
    <fill>
      <patternFill patternType="solid">
        <fgColor rgb="FFFFFFFF"/>
        <bgColor indexed="64"/>
      </patternFill>
    </fill>
    <fill>
      <patternFill patternType="solid">
        <fgColor rgb="FFDCEAF7"/>
        <bgColor indexed="64"/>
      </patternFill>
    </fill>
    <fill>
      <patternFill patternType="solid">
        <fgColor rgb="FF4472C4"/>
        <bgColor indexed="64"/>
      </patternFill>
    </fill>
    <fill>
      <patternFill patternType="solid">
        <fgColor rgb="FFA9D08E"/>
        <bgColor indexed="64"/>
      </patternFill>
    </fill>
    <fill>
      <patternFill patternType="solid">
        <fgColor rgb="FFF4B183"/>
        <bgColor indexed="64"/>
      </patternFill>
    </fill>
    <fill>
      <patternFill patternType="solid">
        <fgColor rgb="FF595959"/>
        <bgColor indexed="64"/>
      </patternFill>
    </fill>
    <fill>
      <patternFill patternType="solid">
        <fgColor rgb="FF9BC2E6"/>
        <bgColor indexed="64"/>
      </patternFill>
    </fill>
  </fills>
  <borders count="5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thin">
        <color auto="1"/>
      </top>
      <bottom/>
      <diagonal/>
    </border>
    <border>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style="thick">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n">
        <color auto="1"/>
      </top>
      <bottom style="thick">
        <color indexed="64"/>
      </bottom>
      <diagonal/>
    </border>
    <border>
      <left style="thin">
        <color auto="1"/>
      </left>
      <right style="thin">
        <color auto="1"/>
      </right>
      <top style="thin">
        <color auto="1"/>
      </top>
      <bottom style="thick">
        <color indexed="64"/>
      </bottom>
      <diagonal/>
    </border>
    <border>
      <left style="thin">
        <color auto="1"/>
      </left>
      <right style="thick">
        <color indexed="64"/>
      </right>
      <top style="thin">
        <color auto="1"/>
      </top>
      <bottom style="thick">
        <color indexed="64"/>
      </bottom>
      <diagonal/>
    </border>
  </borders>
  <cellStyleXfs count="2">
    <xf numFmtId="0" fontId="0" fillId="0" borderId="0"/>
    <xf numFmtId="9" fontId="9" fillId="0" borderId="0" applyFont="0" applyFill="0" applyBorder="0" applyAlignment="0" applyProtection="0"/>
  </cellStyleXfs>
  <cellXfs count="198">
    <xf numFmtId="0" fontId="0" fillId="0" borderId="0" xfId="0"/>
    <xf numFmtId="0" fontId="4" fillId="3" borderId="1"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1" xfId="0" applyFont="1" applyFill="1" applyBorder="1" applyAlignment="1">
      <alignment horizontal="center" vertical="center"/>
    </xf>
    <xf numFmtId="0" fontId="8" fillId="6" borderId="2" xfId="0" applyFont="1" applyFill="1" applyBorder="1" applyAlignment="1">
      <alignment horizontal="center" vertical="center"/>
    </xf>
    <xf numFmtId="0" fontId="8" fillId="9" borderId="2" xfId="0" applyFont="1" applyFill="1" applyBorder="1" applyAlignment="1">
      <alignment horizontal="center" vertical="center"/>
    </xf>
    <xf numFmtId="0" fontId="2" fillId="10" borderId="1" xfId="0" applyFont="1" applyFill="1" applyBorder="1" applyAlignment="1">
      <alignment horizontal="center" vertical="center"/>
    </xf>
    <xf numFmtId="0" fontId="4" fillId="10" borderId="1" xfId="0" applyFont="1" applyFill="1" applyBorder="1" applyAlignment="1">
      <alignment horizontal="center" vertical="center"/>
    </xf>
    <xf numFmtId="49" fontId="4" fillId="10"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3" fillId="10" borderId="1" xfId="0" applyFont="1" applyFill="1" applyBorder="1" applyAlignment="1">
      <alignment horizontal="center" vertical="center"/>
    </xf>
    <xf numFmtId="0" fontId="10" fillId="0" borderId="0" xfId="0" applyFont="1" applyAlignment="1">
      <alignment horizontal="center" vertical="center"/>
    </xf>
    <xf numFmtId="0" fontId="11" fillId="3" borderId="1" xfId="0" applyFont="1" applyFill="1" applyBorder="1" applyAlignment="1">
      <alignment horizontal="center" vertical="center"/>
    </xf>
    <xf numFmtId="0" fontId="11" fillId="3" borderId="2" xfId="0" applyFont="1" applyFill="1" applyBorder="1" applyAlignment="1">
      <alignment horizontal="center" vertical="center"/>
    </xf>
    <xf numFmtId="0" fontId="11" fillId="0" borderId="1" xfId="0" applyFont="1" applyBorder="1" applyAlignment="1">
      <alignment horizontal="center" vertical="center"/>
    </xf>
    <xf numFmtId="0" fontId="12" fillId="0" borderId="0" xfId="0" applyFont="1" applyAlignment="1">
      <alignment horizontal="center" vertical="center"/>
    </xf>
    <xf numFmtId="0" fontId="13" fillId="0" borderId="1" xfId="0" applyFont="1" applyBorder="1" applyAlignment="1">
      <alignment horizontal="center" vertical="center"/>
    </xf>
    <xf numFmtId="0" fontId="12" fillId="7" borderId="1" xfId="0" applyFont="1" applyFill="1" applyBorder="1" applyAlignment="1">
      <alignment horizontal="center" vertical="center"/>
    </xf>
    <xf numFmtId="0" fontId="13" fillId="6" borderId="1" xfId="0" applyFont="1" applyFill="1" applyBorder="1" applyAlignment="1">
      <alignment horizontal="center" vertical="center"/>
    </xf>
    <xf numFmtId="2" fontId="11" fillId="0" borderId="1" xfId="0" applyNumberFormat="1" applyFont="1" applyBorder="1" applyAlignment="1">
      <alignment horizontal="center" vertical="center"/>
    </xf>
    <xf numFmtId="0" fontId="8" fillId="0" borderId="2" xfId="0" applyFont="1" applyBorder="1" applyAlignment="1">
      <alignment horizontal="center" vertical="center"/>
    </xf>
    <xf numFmtId="2" fontId="15" fillId="0" borderId="1" xfId="0" applyNumberFormat="1" applyFont="1" applyBorder="1" applyAlignment="1">
      <alignment horizontal="center" vertical="center"/>
    </xf>
    <xf numFmtId="2" fontId="15" fillId="4" borderId="1" xfId="0" applyNumberFormat="1" applyFont="1" applyFill="1" applyBorder="1" applyAlignment="1">
      <alignment horizontal="center" vertical="center"/>
    </xf>
    <xf numFmtId="0" fontId="13" fillId="0" borderId="0" xfId="0" applyFont="1" applyAlignment="1">
      <alignment horizontal="center" vertical="center"/>
    </xf>
    <xf numFmtId="0" fontId="8" fillId="0" borderId="0" xfId="0" applyFont="1" applyAlignment="1">
      <alignment horizontal="center" vertical="center"/>
    </xf>
    <xf numFmtId="2" fontId="16" fillId="0" borderId="1" xfId="0" applyNumberFormat="1" applyFont="1" applyBorder="1" applyAlignment="1">
      <alignment horizontal="center" vertical="center"/>
    </xf>
    <xf numFmtId="0" fontId="8" fillId="6" borderId="1" xfId="0" applyFont="1" applyFill="1" applyBorder="1" applyAlignment="1">
      <alignment horizontal="center" vertical="center"/>
    </xf>
    <xf numFmtId="0" fontId="14" fillId="6" borderId="3" xfId="0" applyFont="1" applyFill="1" applyBorder="1" applyAlignment="1">
      <alignment horizontal="center" vertical="center"/>
    </xf>
    <xf numFmtId="0" fontId="14" fillId="6" borderId="1" xfId="0" applyFont="1" applyFill="1" applyBorder="1" applyAlignment="1">
      <alignment horizontal="center" vertical="center"/>
    </xf>
    <xf numFmtId="0" fontId="19" fillId="0" borderId="0" xfId="0" applyFont="1" applyAlignment="1">
      <alignment horizontal="center" vertical="center"/>
    </xf>
    <xf numFmtId="0" fontId="8" fillId="7" borderId="1" xfId="0" applyFont="1" applyFill="1" applyBorder="1" applyAlignment="1">
      <alignment horizontal="center" vertical="center"/>
    </xf>
    <xf numFmtId="164" fontId="12" fillId="7" borderId="1" xfId="0" applyNumberFormat="1" applyFont="1" applyFill="1" applyBorder="1" applyAlignment="1">
      <alignment horizontal="center" vertical="center"/>
    </xf>
    <xf numFmtId="1" fontId="12" fillId="7" borderId="1" xfId="0" applyNumberFormat="1" applyFont="1" applyFill="1" applyBorder="1" applyAlignment="1">
      <alignment horizontal="center" vertical="center"/>
    </xf>
    <xf numFmtId="9" fontId="12" fillId="7" borderId="1" xfId="1" applyFont="1" applyFill="1" applyBorder="1" applyAlignment="1">
      <alignment horizontal="center" vertical="center"/>
    </xf>
    <xf numFmtId="165" fontId="20" fillId="7" borderId="1" xfId="0" applyNumberFormat="1" applyFont="1" applyFill="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center" vertical="center"/>
    </xf>
    <xf numFmtId="9" fontId="10" fillId="0" borderId="0" xfId="1" applyFont="1" applyAlignment="1">
      <alignment horizontal="center" vertical="center"/>
    </xf>
    <xf numFmtId="9" fontId="12" fillId="0" borderId="0" xfId="1" applyFont="1" applyAlignment="1">
      <alignment horizontal="center" vertical="center"/>
    </xf>
    <xf numFmtId="9" fontId="20" fillId="7" borderId="1" xfId="1" applyFont="1" applyFill="1" applyBorder="1" applyAlignment="1">
      <alignment horizontal="center" vertical="center"/>
    </xf>
    <xf numFmtId="9" fontId="19" fillId="0" borderId="0" xfId="1" applyFont="1" applyAlignment="1">
      <alignment horizontal="center" vertical="center"/>
    </xf>
    <xf numFmtId="2" fontId="20" fillId="7" borderId="1" xfId="0" applyNumberFormat="1" applyFont="1" applyFill="1" applyBorder="1" applyAlignment="1">
      <alignment horizontal="center" vertical="center"/>
    </xf>
    <xf numFmtId="2" fontId="20" fillId="7" borderId="1" xfId="1" applyNumberFormat="1" applyFont="1" applyFill="1" applyBorder="1" applyAlignment="1">
      <alignment horizontal="center" vertical="center"/>
    </xf>
    <xf numFmtId="0" fontId="6" fillId="12" borderId="1" xfId="0" applyFont="1" applyFill="1" applyBorder="1" applyAlignment="1">
      <alignment horizontal="center" vertical="center"/>
    </xf>
    <xf numFmtId="0" fontId="6" fillId="11" borderId="1" xfId="0" applyFont="1" applyFill="1" applyBorder="1" applyAlignment="1">
      <alignment horizontal="center" vertical="center"/>
    </xf>
    <xf numFmtId="2" fontId="11" fillId="11" borderId="1" xfId="0" applyNumberFormat="1" applyFont="1" applyFill="1" applyBorder="1" applyAlignment="1">
      <alignment horizontal="center" vertical="center"/>
    </xf>
    <xf numFmtId="0" fontId="11" fillId="11" borderId="1" xfId="0" applyFont="1" applyFill="1" applyBorder="1" applyAlignment="1">
      <alignment horizontal="center" vertical="center"/>
    </xf>
    <xf numFmtId="2" fontId="6" fillId="11" borderId="1" xfId="0" applyNumberFormat="1" applyFont="1" applyFill="1" applyBorder="1" applyAlignment="1">
      <alignment horizontal="center" vertical="center"/>
    </xf>
    <xf numFmtId="0" fontId="5" fillId="11" borderId="5" xfId="0" applyFont="1" applyFill="1" applyBorder="1" applyAlignment="1">
      <alignment horizontal="center" vertical="center"/>
    </xf>
    <xf numFmtId="49" fontId="5" fillId="11" borderId="6" xfId="0" applyNumberFormat="1" applyFont="1" applyFill="1" applyBorder="1" applyAlignment="1">
      <alignment horizontal="center" vertical="center"/>
    </xf>
    <xf numFmtId="0" fontId="26" fillId="11" borderId="2" xfId="0" applyFont="1" applyFill="1" applyBorder="1" applyAlignment="1">
      <alignment horizontal="center" vertical="center"/>
    </xf>
    <xf numFmtId="0" fontId="26" fillId="11" borderId="1"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1" xfId="0" applyFont="1" applyFill="1" applyBorder="1" applyAlignment="1">
      <alignment horizontal="center" vertical="center"/>
    </xf>
    <xf numFmtId="0" fontId="27" fillId="11" borderId="1" xfId="0" applyFont="1" applyFill="1" applyBorder="1" applyAlignment="1">
      <alignment horizontal="center" vertical="center"/>
    </xf>
    <xf numFmtId="0" fontId="12" fillId="7" borderId="8" xfId="0" applyFont="1" applyFill="1" applyBorder="1" applyAlignment="1">
      <alignment horizontal="center" vertical="center"/>
    </xf>
    <xf numFmtId="2" fontId="10" fillId="0" borderId="0" xfId="1" applyNumberFormat="1" applyFont="1" applyAlignment="1">
      <alignment horizontal="center" vertical="center"/>
    </xf>
    <xf numFmtId="165" fontId="12" fillId="7" borderId="1" xfId="0" applyNumberFormat="1" applyFont="1" applyFill="1" applyBorder="1" applyAlignment="1">
      <alignment horizontal="center" vertical="center"/>
    </xf>
    <xf numFmtId="2" fontId="12" fillId="0" borderId="0" xfId="1" applyNumberFormat="1" applyFont="1" applyAlignment="1">
      <alignment horizontal="center" vertical="center"/>
    </xf>
    <xf numFmtId="0" fontId="17" fillId="14" borderId="2" xfId="0" applyFont="1" applyFill="1" applyBorder="1" applyAlignment="1">
      <alignment horizontal="center" vertical="center"/>
    </xf>
    <xf numFmtId="0" fontId="17" fillId="14" borderId="9" xfId="0" applyFont="1" applyFill="1" applyBorder="1" applyAlignment="1">
      <alignment horizontal="center" vertical="center"/>
    </xf>
    <xf numFmtId="0" fontId="10" fillId="0" borderId="2" xfId="0" applyFont="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165" fontId="10" fillId="0" borderId="0" xfId="1" applyNumberFormat="1" applyFont="1" applyAlignment="1">
      <alignment horizontal="center" vertical="center"/>
    </xf>
    <xf numFmtId="165" fontId="10" fillId="0" borderId="0" xfId="0" applyNumberFormat="1" applyFont="1" applyAlignment="1">
      <alignment horizontal="center" vertical="center"/>
    </xf>
    <xf numFmtId="165" fontId="12" fillId="0" borderId="0" xfId="0" applyNumberFormat="1" applyFont="1" applyAlignment="1">
      <alignment horizontal="center" vertical="center"/>
    </xf>
    <xf numFmtId="165" fontId="20" fillId="0" borderId="0" xfId="0" applyNumberFormat="1" applyFont="1" applyAlignment="1">
      <alignment horizontal="center" vertical="center"/>
    </xf>
    <xf numFmtId="165" fontId="21" fillId="0" borderId="0" xfId="0" applyNumberFormat="1" applyFont="1" applyAlignment="1">
      <alignment horizontal="center" vertical="center"/>
    </xf>
    <xf numFmtId="2" fontId="15" fillId="15" borderId="1" xfId="0" applyNumberFormat="1" applyFont="1" applyFill="1" applyBorder="1" applyAlignment="1">
      <alignment horizontal="center" vertical="center"/>
    </xf>
    <xf numFmtId="165" fontId="20" fillId="7" borderId="8" xfId="0" applyNumberFormat="1" applyFont="1" applyFill="1" applyBorder="1" applyAlignment="1">
      <alignment horizontal="center" vertical="center"/>
    </xf>
    <xf numFmtId="9" fontId="12" fillId="16" borderId="1" xfId="1" applyFont="1" applyFill="1" applyBorder="1" applyAlignment="1">
      <alignment horizontal="center" vertical="center"/>
    </xf>
    <xf numFmtId="2" fontId="12" fillId="16" borderId="1" xfId="1" applyNumberFormat="1" applyFont="1" applyFill="1" applyBorder="1" applyAlignment="1">
      <alignment horizontal="center" vertical="center"/>
    </xf>
    <xf numFmtId="165" fontId="12" fillId="16" borderId="1" xfId="0" applyNumberFormat="1" applyFont="1" applyFill="1" applyBorder="1" applyAlignment="1">
      <alignment horizontal="center" vertical="center"/>
    </xf>
    <xf numFmtId="2" fontId="12" fillId="16" borderId="1" xfId="0" applyNumberFormat="1" applyFont="1" applyFill="1" applyBorder="1" applyAlignment="1">
      <alignment horizontal="center" vertical="center"/>
    </xf>
    <xf numFmtId="2" fontId="4" fillId="10" borderId="1" xfId="0" applyNumberFormat="1" applyFont="1" applyFill="1" applyBorder="1" applyAlignment="1">
      <alignment horizontal="center" vertical="center"/>
    </xf>
    <xf numFmtId="2" fontId="10" fillId="0" borderId="0" xfId="0" applyNumberFormat="1" applyFont="1" applyAlignment="1">
      <alignment horizontal="center" vertical="center"/>
    </xf>
    <xf numFmtId="2" fontId="11" fillId="3" borderId="1" xfId="0" applyNumberFormat="1" applyFont="1" applyFill="1" applyBorder="1" applyAlignment="1">
      <alignment horizontal="center" vertical="center"/>
    </xf>
    <xf numFmtId="2" fontId="5" fillId="5" borderId="1" xfId="0" applyNumberFormat="1" applyFont="1" applyFill="1" applyBorder="1" applyAlignment="1">
      <alignment horizontal="center" vertical="center"/>
    </xf>
    <xf numFmtId="2" fontId="16" fillId="11" borderId="1" xfId="0" applyNumberFormat="1" applyFont="1" applyFill="1" applyBorder="1" applyAlignment="1">
      <alignment horizontal="center" vertical="center"/>
    </xf>
    <xf numFmtId="2" fontId="16" fillId="2" borderId="1" xfId="0" applyNumberFormat="1" applyFont="1" applyFill="1" applyBorder="1" applyAlignment="1">
      <alignment horizontal="center" vertical="center"/>
    </xf>
    <xf numFmtId="2" fontId="16" fillId="12" borderId="1" xfId="0" applyNumberFormat="1" applyFont="1" applyFill="1" applyBorder="1" applyAlignment="1">
      <alignment horizontal="center" vertical="center"/>
    </xf>
    <xf numFmtId="2" fontId="12" fillId="11" borderId="0" xfId="0" applyNumberFormat="1" applyFont="1" applyFill="1" applyAlignment="1">
      <alignment horizontal="center" vertical="center"/>
    </xf>
    <xf numFmtId="166" fontId="12" fillId="0" borderId="0" xfId="0" applyNumberFormat="1" applyFont="1" applyAlignment="1">
      <alignment horizontal="center" vertical="center"/>
    </xf>
    <xf numFmtId="2" fontId="13" fillId="0" borderId="1" xfId="0" applyNumberFormat="1" applyFont="1" applyBorder="1" applyAlignment="1">
      <alignment horizontal="center" vertical="center"/>
    </xf>
    <xf numFmtId="2" fontId="15" fillId="11" borderId="1" xfId="0" applyNumberFormat="1" applyFont="1" applyFill="1" applyBorder="1" applyAlignment="1">
      <alignment horizontal="center" vertical="center"/>
    </xf>
    <xf numFmtId="2" fontId="7" fillId="11" borderId="1" xfId="0" applyNumberFormat="1" applyFont="1" applyFill="1" applyBorder="1" applyAlignment="1">
      <alignment horizontal="center" vertical="center"/>
    </xf>
    <xf numFmtId="2" fontId="27" fillId="13" borderId="1" xfId="0" applyNumberFormat="1" applyFont="1" applyFill="1" applyBorder="1" applyAlignment="1">
      <alignment horizontal="center" vertical="center"/>
    </xf>
    <xf numFmtId="2" fontId="10" fillId="11" borderId="0" xfId="0" applyNumberFormat="1" applyFont="1" applyFill="1" applyAlignment="1">
      <alignment horizontal="center" vertical="center"/>
    </xf>
    <xf numFmtId="2" fontId="17" fillId="11" borderId="0" xfId="1" applyNumberFormat="1" applyFont="1" applyFill="1" applyAlignment="1">
      <alignment horizontal="center" vertical="center"/>
    </xf>
    <xf numFmtId="2" fontId="5" fillId="11" borderId="1" xfId="0" applyNumberFormat="1" applyFont="1" applyFill="1" applyBorder="1" applyAlignment="1">
      <alignment horizontal="center" vertical="center"/>
    </xf>
    <xf numFmtId="2" fontId="4" fillId="11" borderId="1" xfId="0" applyNumberFormat="1" applyFont="1" applyFill="1" applyBorder="1" applyAlignment="1">
      <alignment horizontal="center" vertical="center"/>
    </xf>
    <xf numFmtId="2" fontId="13" fillId="11" borderId="1" xfId="0" applyNumberFormat="1" applyFont="1" applyFill="1" applyBorder="1" applyAlignment="1">
      <alignment horizontal="center" vertical="center"/>
    </xf>
    <xf numFmtId="9" fontId="12" fillId="9" borderId="1" xfId="1" applyFont="1" applyFill="1" applyBorder="1" applyAlignment="1">
      <alignment horizontal="center" vertical="center"/>
    </xf>
    <xf numFmtId="1" fontId="12" fillId="9" borderId="1" xfId="1" applyNumberFormat="1" applyFont="1" applyFill="1" applyBorder="1" applyAlignment="1">
      <alignment horizontal="center" vertical="center"/>
    </xf>
    <xf numFmtId="0" fontId="30" fillId="0" borderId="0" xfId="0" applyFont="1"/>
    <xf numFmtId="2" fontId="11" fillId="15" borderId="1" xfId="0" applyNumberFormat="1" applyFont="1" applyFill="1" applyBorder="1" applyAlignment="1">
      <alignment horizontal="center" vertical="center"/>
    </xf>
    <xf numFmtId="2" fontId="16" fillId="15" borderId="1" xfId="0" applyNumberFormat="1" applyFont="1" applyFill="1" applyBorder="1" applyAlignment="1">
      <alignment horizontal="center" vertical="center"/>
    </xf>
    <xf numFmtId="2" fontId="18" fillId="15" borderId="1" xfId="0" applyNumberFormat="1" applyFont="1" applyFill="1" applyBorder="1" applyAlignment="1">
      <alignment horizontal="center" vertical="center"/>
    </xf>
    <xf numFmtId="2" fontId="11" fillId="15" borderId="3" xfId="0" applyNumberFormat="1" applyFont="1" applyFill="1" applyBorder="1" applyAlignment="1">
      <alignment horizontal="center" vertical="center"/>
    </xf>
    <xf numFmtId="2" fontId="11" fillId="15" borderId="4" xfId="0" applyNumberFormat="1" applyFont="1" applyFill="1" applyBorder="1" applyAlignment="1">
      <alignment horizontal="center" vertical="center"/>
    </xf>
    <xf numFmtId="0" fontId="35" fillId="0" borderId="0" xfId="0" quotePrefix="1" applyFont="1"/>
    <xf numFmtId="0" fontId="35" fillId="0" borderId="0" xfId="0" applyFont="1"/>
    <xf numFmtId="0" fontId="32" fillId="19" borderId="29" xfId="0" applyFont="1" applyFill="1" applyBorder="1" applyAlignment="1">
      <alignment horizontal="center" vertical="center"/>
    </xf>
    <xf numFmtId="164" fontId="0" fillId="0" borderId="30" xfId="0" applyNumberFormat="1" applyBorder="1" applyAlignment="1">
      <alignment horizontal="center" vertical="center"/>
    </xf>
    <xf numFmtId="1" fontId="0" fillId="0" borderId="30" xfId="0" applyNumberFormat="1" applyBorder="1" applyAlignment="1">
      <alignment horizontal="center" vertical="center"/>
    </xf>
    <xf numFmtId="9" fontId="0" fillId="0" borderId="30" xfId="0" applyNumberFormat="1" applyBorder="1" applyAlignment="1">
      <alignment horizontal="center" vertical="center"/>
    </xf>
    <xf numFmtId="2" fontId="0" fillId="0" borderId="0" xfId="0" applyNumberFormat="1"/>
    <xf numFmtId="0" fontId="33" fillId="21" borderId="31" xfId="0" applyFont="1" applyFill="1" applyBorder="1" applyAlignment="1">
      <alignment horizontal="center"/>
    </xf>
    <xf numFmtId="0" fontId="33" fillId="22" borderId="31" xfId="0" applyFont="1" applyFill="1" applyBorder="1" applyAlignment="1">
      <alignment horizontal="center"/>
    </xf>
    <xf numFmtId="0" fontId="36" fillId="0" borderId="0" xfId="0" applyFont="1"/>
    <xf numFmtId="2" fontId="30" fillId="0" borderId="0" xfId="0" applyNumberFormat="1" applyFont="1"/>
    <xf numFmtId="0" fontId="36" fillId="22" borderId="31" xfId="0" applyFont="1" applyFill="1" applyBorder="1" applyAlignment="1">
      <alignment horizontal="center" vertical="center"/>
    </xf>
    <xf numFmtId="0" fontId="0" fillId="21" borderId="31" xfId="0" applyFill="1" applyBorder="1" applyAlignment="1">
      <alignment horizontal="center" vertical="center"/>
    </xf>
    <xf numFmtId="0" fontId="38" fillId="20" borderId="0" xfId="0" applyFont="1" applyFill="1" applyAlignment="1">
      <alignment horizontal="center" vertical="center" wrapText="1"/>
    </xf>
    <xf numFmtId="0" fontId="39" fillId="0" borderId="11" xfId="0" applyFont="1" applyBorder="1" applyAlignment="1">
      <alignment horizontal="center" vertical="center" wrapText="1"/>
    </xf>
    <xf numFmtId="0" fontId="39" fillId="0" borderId="13" xfId="0" applyFont="1" applyBorder="1" applyAlignment="1">
      <alignment horizontal="center" vertical="center" wrapText="1"/>
    </xf>
    <xf numFmtId="0" fontId="39" fillId="0" borderId="14" xfId="0" applyFont="1" applyBorder="1" applyAlignment="1">
      <alignment horizontal="center" vertical="center" wrapText="1"/>
    </xf>
    <xf numFmtId="0" fontId="39" fillId="0" borderId="15" xfId="0" applyFont="1" applyBorder="1" applyAlignment="1">
      <alignment horizontal="center" vertical="center" wrapText="1"/>
    </xf>
    <xf numFmtId="0" fontId="39" fillId="0" borderId="16" xfId="0" applyFont="1" applyBorder="1" applyAlignment="1">
      <alignment horizontal="center" vertical="center" wrapText="1"/>
    </xf>
    <xf numFmtId="0" fontId="39" fillId="0" borderId="18" xfId="0" applyFont="1" applyBorder="1" applyAlignment="1">
      <alignment horizontal="center" vertical="center" wrapText="1"/>
    </xf>
    <xf numFmtId="0" fontId="34" fillId="0" borderId="13"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18" xfId="0" applyFont="1" applyBorder="1" applyAlignment="1">
      <alignment horizontal="center" vertical="center" wrapText="1"/>
    </xf>
    <xf numFmtId="0" fontId="40" fillId="20" borderId="0" xfId="0" applyFont="1" applyFill="1" applyAlignment="1">
      <alignment horizontal="center" vertical="center" wrapText="1"/>
    </xf>
    <xf numFmtId="0" fontId="17" fillId="14" borderId="7" xfId="0" applyFont="1" applyFill="1" applyBorder="1" applyAlignment="1">
      <alignment horizontal="center" vertical="center"/>
    </xf>
    <xf numFmtId="0" fontId="17" fillId="14" borderId="10" xfId="0" applyFont="1" applyFill="1" applyBorder="1" applyAlignment="1">
      <alignment horizontal="center" vertical="center"/>
    </xf>
    <xf numFmtId="2" fontId="19" fillId="8" borderId="7" xfId="0" applyNumberFormat="1" applyFont="1" applyFill="1" applyBorder="1" applyAlignment="1">
      <alignment horizontal="center" vertical="center"/>
    </xf>
    <xf numFmtId="2" fontId="19" fillId="8" borderId="0" xfId="0" applyNumberFormat="1" applyFont="1" applyFill="1" applyAlignment="1">
      <alignment horizontal="center" vertical="center"/>
    </xf>
    <xf numFmtId="0" fontId="17" fillId="14" borderId="0" xfId="0" applyFont="1" applyFill="1" applyAlignment="1">
      <alignment horizontal="center" vertical="center"/>
    </xf>
    <xf numFmtId="0" fontId="31" fillId="17" borderId="6" xfId="0" applyFont="1" applyFill="1" applyBorder="1" applyAlignment="1">
      <alignment horizontal="center" vertical="center"/>
    </xf>
    <xf numFmtId="0" fontId="31" fillId="17" borderId="19" xfId="0" applyFont="1" applyFill="1" applyBorder="1" applyAlignment="1">
      <alignment horizontal="center" vertical="center"/>
    </xf>
    <xf numFmtId="0" fontId="31" fillId="17" borderId="20" xfId="0" applyFont="1" applyFill="1" applyBorder="1" applyAlignment="1">
      <alignment horizontal="center" vertical="center"/>
    </xf>
    <xf numFmtId="0" fontId="31" fillId="18" borderId="21" xfId="0" applyFont="1" applyFill="1" applyBorder="1" applyAlignment="1">
      <alignment horizontal="center" vertical="center"/>
    </xf>
    <xf numFmtId="0" fontId="31" fillId="18" borderId="22" xfId="0" applyFont="1" applyFill="1" applyBorder="1" applyAlignment="1">
      <alignment horizontal="center" vertical="center"/>
    </xf>
    <xf numFmtId="0" fontId="31" fillId="18" borderId="23" xfId="0" applyFont="1" applyFill="1" applyBorder="1" applyAlignment="1">
      <alignment horizontal="center" vertical="center"/>
    </xf>
    <xf numFmtId="0" fontId="31" fillId="18" borderId="24" xfId="0" applyFont="1" applyFill="1" applyBorder="1" applyAlignment="1">
      <alignment horizontal="center" vertical="center"/>
    </xf>
    <xf numFmtId="0" fontId="31" fillId="18" borderId="25" xfId="0" applyFont="1" applyFill="1" applyBorder="1" applyAlignment="1">
      <alignment horizontal="center" vertical="center"/>
    </xf>
    <xf numFmtId="0" fontId="31" fillId="18" borderId="26" xfId="0" applyFont="1" applyFill="1" applyBorder="1" applyAlignment="1">
      <alignment horizontal="center" vertical="center"/>
    </xf>
    <xf numFmtId="0" fontId="31" fillId="18" borderId="27" xfId="0" applyFont="1" applyFill="1" applyBorder="1" applyAlignment="1">
      <alignment horizontal="center" vertical="center"/>
    </xf>
    <xf numFmtId="0" fontId="31" fillId="18" borderId="28" xfId="0" applyFont="1" applyFill="1" applyBorder="1" applyAlignment="1">
      <alignment horizontal="center" vertical="center"/>
    </xf>
    <xf numFmtId="0" fontId="33" fillId="17" borderId="32" xfId="0" applyFont="1" applyFill="1" applyBorder="1" applyAlignment="1">
      <alignment horizontal="center"/>
    </xf>
    <xf numFmtId="0" fontId="33" fillId="17" borderId="33" xfId="0" applyFont="1" applyFill="1" applyBorder="1" applyAlignment="1">
      <alignment horizontal="center"/>
    </xf>
    <xf numFmtId="0" fontId="33" fillId="17" borderId="34" xfId="0" applyFont="1" applyFill="1" applyBorder="1" applyAlignment="1">
      <alignment horizontal="center"/>
    </xf>
    <xf numFmtId="0" fontId="33" fillId="24" borderId="6" xfId="0" applyFont="1" applyFill="1" applyBorder="1" applyAlignment="1">
      <alignment horizontal="center"/>
    </xf>
    <xf numFmtId="0" fontId="33" fillId="24" borderId="19" xfId="0" applyFont="1" applyFill="1" applyBorder="1" applyAlignment="1">
      <alignment horizontal="center"/>
    </xf>
    <xf numFmtId="0" fontId="33" fillId="24" borderId="20" xfId="0" applyFont="1" applyFill="1" applyBorder="1" applyAlignment="1">
      <alignment horizontal="center"/>
    </xf>
    <xf numFmtId="0" fontId="0" fillId="15" borderId="0" xfId="0" applyFill="1" applyBorder="1"/>
    <xf numFmtId="0" fontId="34" fillId="0" borderId="12"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17" xfId="0" applyFont="1" applyBorder="1" applyAlignment="1">
      <alignment horizontal="center" vertical="center" wrapText="1"/>
    </xf>
    <xf numFmtId="0" fontId="31" fillId="0" borderId="1" xfId="0" applyFont="1" applyBorder="1" applyAlignment="1">
      <alignment horizontal="center" vertical="center"/>
    </xf>
    <xf numFmtId="0" fontId="39" fillId="0" borderId="39" xfId="0" applyFont="1" applyBorder="1" applyAlignment="1">
      <alignment horizontal="center" vertical="center" wrapText="1"/>
    </xf>
    <xf numFmtId="0" fontId="39" fillId="0" borderId="41" xfId="0" applyFont="1" applyBorder="1" applyAlignment="1">
      <alignment horizontal="center" vertical="center" wrapText="1"/>
    </xf>
    <xf numFmtId="0" fontId="39" fillId="0" borderId="42" xfId="0" applyFont="1" applyBorder="1" applyAlignment="1">
      <alignment horizontal="center" vertical="center" wrapText="1"/>
    </xf>
    <xf numFmtId="0" fontId="39" fillId="0" borderId="43" xfId="0" applyFont="1" applyBorder="1" applyAlignment="1">
      <alignment horizontal="center" vertical="center" wrapText="1"/>
    </xf>
    <xf numFmtId="0" fontId="39" fillId="0" borderId="44" xfId="0" applyFont="1" applyBorder="1" applyAlignment="1">
      <alignment horizontal="center" vertical="center" wrapText="1"/>
    </xf>
    <xf numFmtId="0" fontId="39" fillId="0" borderId="46" xfId="0" applyFont="1" applyBorder="1" applyAlignment="1">
      <alignment horizontal="center" vertical="center" wrapText="1"/>
    </xf>
    <xf numFmtId="0" fontId="31" fillId="0" borderId="39" xfId="0" applyFont="1" applyBorder="1" applyAlignment="1">
      <alignment horizontal="center" vertical="center" wrapText="1"/>
    </xf>
    <xf numFmtId="0" fontId="31" fillId="0" borderId="40" xfId="0" applyFont="1" applyBorder="1" applyAlignment="1">
      <alignment horizontal="center" vertical="center"/>
    </xf>
    <xf numFmtId="0" fontId="31" fillId="0" borderId="41" xfId="0" applyFont="1" applyBorder="1" applyAlignment="1">
      <alignment horizontal="center" vertical="center"/>
    </xf>
    <xf numFmtId="0" fontId="31" fillId="0" borderId="42" xfId="0" applyFont="1" applyBorder="1" applyAlignment="1">
      <alignment horizontal="center" vertical="center"/>
    </xf>
    <xf numFmtId="0" fontId="31" fillId="0" borderId="43" xfId="0" applyFont="1" applyBorder="1" applyAlignment="1">
      <alignment horizontal="center" vertical="center"/>
    </xf>
    <xf numFmtId="0" fontId="31" fillId="0" borderId="44" xfId="0" applyFont="1" applyBorder="1" applyAlignment="1">
      <alignment horizontal="center" vertical="center"/>
    </xf>
    <xf numFmtId="0" fontId="31" fillId="0" borderId="45" xfId="0" applyFont="1" applyBorder="1" applyAlignment="1">
      <alignment horizontal="center" vertical="center"/>
    </xf>
    <xf numFmtId="0" fontId="31" fillId="0" borderId="46" xfId="0" applyFont="1" applyBorder="1" applyAlignment="1">
      <alignment horizontal="center" vertical="center"/>
    </xf>
    <xf numFmtId="0" fontId="36" fillId="15" borderId="0" xfId="0" applyFont="1" applyFill="1"/>
    <xf numFmtId="0" fontId="31" fillId="18" borderId="0" xfId="0" applyFont="1" applyFill="1" applyBorder="1" applyAlignment="1">
      <alignment horizontal="center" vertical="center"/>
    </xf>
    <xf numFmtId="0" fontId="32" fillId="19" borderId="35" xfId="0" applyFont="1" applyFill="1" applyBorder="1" applyAlignment="1">
      <alignment horizontal="center" vertical="center"/>
    </xf>
    <xf numFmtId="164" fontId="0" fillId="0" borderId="36" xfId="0" applyNumberFormat="1" applyBorder="1" applyAlignment="1">
      <alignment horizontal="center" vertical="center"/>
    </xf>
    <xf numFmtId="0" fontId="32" fillId="19" borderId="37" xfId="0" applyFont="1" applyFill="1" applyBorder="1" applyAlignment="1">
      <alignment horizontal="center" vertical="center"/>
    </xf>
    <xf numFmtId="164" fontId="0" fillId="0" borderId="38" xfId="0" applyNumberFormat="1" applyBorder="1" applyAlignment="1">
      <alignment horizontal="center" vertical="center"/>
    </xf>
    <xf numFmtId="0" fontId="38" fillId="23" borderId="47" xfId="0" applyFont="1" applyFill="1" applyBorder="1" applyAlignment="1">
      <alignment horizontal="center"/>
    </xf>
    <xf numFmtId="0" fontId="38" fillId="23" borderId="48" xfId="0" applyFont="1" applyFill="1" applyBorder="1" applyAlignment="1">
      <alignment horizontal="center"/>
    </xf>
    <xf numFmtId="0" fontId="38" fillId="23" borderId="49" xfId="0" applyFont="1" applyFill="1" applyBorder="1" applyAlignment="1">
      <alignment horizontal="center"/>
    </xf>
    <xf numFmtId="2" fontId="16" fillId="15" borderId="50" xfId="0" applyNumberFormat="1" applyFont="1" applyFill="1" applyBorder="1" applyAlignment="1">
      <alignment horizontal="center" vertical="center"/>
    </xf>
    <xf numFmtId="2" fontId="15" fillId="15" borderId="51" xfId="0" applyNumberFormat="1" applyFont="1" applyFill="1" applyBorder="1" applyAlignment="1">
      <alignment horizontal="center" vertical="center"/>
    </xf>
    <xf numFmtId="2" fontId="11" fillId="15" borderId="51" xfId="0" applyNumberFormat="1" applyFont="1" applyFill="1" applyBorder="1" applyAlignment="1">
      <alignment horizontal="center" vertical="center"/>
    </xf>
    <xf numFmtId="2" fontId="16" fillId="2" borderId="52" xfId="0" applyNumberFormat="1" applyFont="1" applyFill="1" applyBorder="1" applyAlignment="1">
      <alignment horizontal="center" vertical="center"/>
    </xf>
    <xf numFmtId="9" fontId="12" fillId="9" borderId="35" xfId="1" applyFont="1" applyFill="1" applyBorder="1" applyAlignment="1">
      <alignment horizontal="center" vertical="center"/>
    </xf>
    <xf numFmtId="1" fontId="12" fillId="9" borderId="36" xfId="1" applyNumberFormat="1" applyFont="1" applyFill="1" applyBorder="1" applyAlignment="1">
      <alignment horizontal="center" vertical="center"/>
    </xf>
    <xf numFmtId="9" fontId="12" fillId="9" borderId="37" xfId="1" applyFont="1" applyFill="1" applyBorder="1" applyAlignment="1">
      <alignment horizontal="center" vertical="center"/>
    </xf>
    <xf numFmtId="1" fontId="12" fillId="9" borderId="38" xfId="1" applyNumberFormat="1" applyFont="1" applyFill="1" applyBorder="1" applyAlignment="1">
      <alignment horizontal="center" vertical="center"/>
    </xf>
    <xf numFmtId="165" fontId="20" fillId="7" borderId="50" xfId="0" applyNumberFormat="1" applyFont="1" applyFill="1" applyBorder="1" applyAlignment="1">
      <alignment horizontal="center" vertical="center"/>
    </xf>
    <xf numFmtId="9" fontId="20" fillId="7" borderId="51" xfId="1" applyFont="1" applyFill="1" applyBorder="1" applyAlignment="1">
      <alignment horizontal="center" vertical="center"/>
    </xf>
    <xf numFmtId="2" fontId="20" fillId="7" borderId="51" xfId="1" applyNumberFormat="1" applyFont="1" applyFill="1" applyBorder="1" applyAlignment="1">
      <alignment horizontal="center" vertical="center"/>
    </xf>
    <xf numFmtId="165" fontId="20" fillId="7" borderId="51" xfId="0" applyNumberFormat="1" applyFont="1" applyFill="1" applyBorder="1" applyAlignment="1">
      <alignment horizontal="center" vertical="center"/>
    </xf>
    <xf numFmtId="2" fontId="20" fillId="7" borderId="52" xfId="0" applyNumberFormat="1" applyFont="1" applyFill="1" applyBorder="1" applyAlignment="1">
      <alignment horizontal="center" vertical="center"/>
    </xf>
    <xf numFmtId="2" fontId="20" fillId="7" borderId="50" xfId="1" applyNumberFormat="1" applyFont="1" applyFill="1" applyBorder="1" applyAlignment="1">
      <alignment horizontal="center" vertical="center"/>
    </xf>
    <xf numFmtId="165" fontId="20" fillId="7" borderId="52" xfId="0" applyNumberFormat="1" applyFont="1" applyFill="1" applyBorder="1" applyAlignment="1">
      <alignment horizontal="center" vertical="center"/>
    </xf>
    <xf numFmtId="0" fontId="30" fillId="0" borderId="0" xfId="0" applyFont="1" applyBorder="1"/>
    <xf numFmtId="2" fontId="30" fillId="0" borderId="0" xfId="0" applyNumberFormat="1" applyFont="1" applyBorder="1"/>
    <xf numFmtId="0" fontId="38" fillId="0" borderId="0" xfId="0" applyFont="1" applyBorder="1" applyAlignment="1">
      <alignment horizontal="center" vertical="center"/>
    </xf>
    <xf numFmtId="164" fontId="30" fillId="0" borderId="0" xfId="0" applyNumberFormat="1" applyFont="1" applyBorder="1" applyAlignment="1">
      <alignment horizontal="center" vertical="center"/>
    </xf>
    <xf numFmtId="1" fontId="30" fillId="0" borderId="0" xfId="0" applyNumberFormat="1" applyFont="1" applyBorder="1" applyAlignment="1">
      <alignment horizontal="center" vertical="center"/>
    </xf>
    <xf numFmtId="9" fontId="30" fillId="0" borderId="0" xfId="0" applyNumberFormat="1" applyFont="1" applyBorder="1" applyAlignment="1">
      <alignment horizontal="center" vertical="center"/>
    </xf>
    <xf numFmtId="2" fontId="16" fillId="15" borderId="51" xfId="0" applyNumberFormat="1" applyFont="1" applyFill="1" applyBorder="1" applyAlignment="1">
      <alignment horizontal="center" vertical="center"/>
    </xf>
  </cellXfs>
  <cellStyles count="2">
    <cellStyle name="Normal" xfId="0" builtinId="0"/>
    <cellStyle name="Porcentaje" xfId="1" builtinId="5"/>
  </cellStyles>
  <dxfs count="5440">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00B0F0"/>
        </patternFill>
      </fill>
    </dxf>
    <dxf>
      <font>
        <b/>
        <i val="0"/>
      </font>
      <fill>
        <patternFill>
          <bgColor rgb="FF00B0F0"/>
        </patternFill>
      </fill>
    </dxf>
    <dxf>
      <font>
        <b/>
        <i val="0"/>
      </font>
      <fill>
        <patternFill>
          <bgColor rgb="FFFFFF00"/>
        </patternFill>
      </fill>
    </dxf>
    <dxf>
      <font>
        <b/>
        <i val="0"/>
      </font>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color auto="1"/>
      </font>
      <fill>
        <patternFill>
          <bgColor rgb="FFFF00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ill>
        <patternFill>
          <bgColor rgb="FFFFFF0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00B0F0"/>
        </patternFill>
      </fill>
    </dxf>
    <dxf>
      <font>
        <b/>
        <i val="0"/>
      </font>
      <fill>
        <patternFill>
          <bgColor rgb="FF00B0F0"/>
        </patternFill>
      </fill>
    </dxf>
    <dxf>
      <fill>
        <patternFill>
          <bgColor rgb="FFFFFF00"/>
        </patternFill>
      </fill>
    </dxf>
    <dxf>
      <font>
        <color auto="1"/>
      </font>
      <fill>
        <patternFill>
          <bgColor rgb="FFFF0000"/>
        </patternFill>
      </fill>
    </dxf>
    <dxf>
      <font>
        <b/>
        <i val="0"/>
      </font>
      <fill>
        <patternFill>
          <bgColor rgb="FF00B0F0"/>
        </patternFill>
      </fill>
    </dxf>
    <dxf>
      <fill>
        <patternFill>
          <bgColor theme="1" tint="0.34998626667073579"/>
        </patternFill>
      </fill>
    </dxf>
    <dxf>
      <fill>
        <patternFill>
          <bgColor theme="9" tint="0.59996337778862885"/>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5" tint="0.59996337778862885"/>
        </patternFill>
      </fill>
    </dxf>
    <dxf>
      <fill>
        <patternFill>
          <bgColor rgb="FFFFFF00"/>
        </patternFill>
      </fill>
    </dxf>
    <dxf>
      <fill>
        <patternFill patternType="none">
          <bgColor auto="1"/>
        </patternFill>
      </fill>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rgb="FFFF000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ont>
        <color rgb="FFFF0000"/>
      </font>
    </dxf>
    <dxf>
      <fill>
        <patternFill>
          <bgColor rgb="FFFFFF00"/>
        </patternFill>
      </fill>
    </dxf>
    <dxf>
      <fill>
        <patternFill>
          <bgColor rgb="FFFFFF00"/>
        </patternFill>
      </fill>
    </dxf>
    <dxf>
      <font>
        <color auto="1"/>
      </font>
      <fill>
        <patternFill>
          <bgColor rgb="FFFF00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ont>
        <color rgb="FFFF0000"/>
      </font>
    </dxf>
    <dxf>
      <fill>
        <patternFill>
          <bgColor rgb="FFFFFF00"/>
        </patternFill>
      </fill>
    </dxf>
    <dxf>
      <font>
        <b/>
        <i val="0"/>
      </font>
      <fill>
        <patternFill>
          <bgColor rgb="FF00B0F0"/>
        </patternFill>
      </fill>
    </dxf>
    <dxf>
      <font>
        <b/>
        <i val="0"/>
      </font>
      <fill>
        <patternFill>
          <bgColor rgb="FF00B0F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rgb="FFFFFF00"/>
        </patternFill>
      </fill>
    </dxf>
    <dxf>
      <fill>
        <patternFill>
          <bgColor theme="1" tint="0.34998626667073579"/>
        </patternFill>
      </fill>
    </dxf>
    <dxf>
      <fill>
        <patternFill>
          <bgColor rgb="FF00B0F0"/>
        </patternFill>
      </fill>
    </dxf>
    <dxf>
      <fill>
        <patternFill>
          <bgColor rgb="FF00B0F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ill>
        <patternFill>
          <bgColor rgb="FFFFFF00"/>
        </patternFill>
      </fill>
    </dxf>
    <dxf>
      <font>
        <color rgb="FFFF0000"/>
      </font>
    </dxf>
    <dxf>
      <fill>
        <patternFill>
          <bgColor rgb="FFFFFF00"/>
        </patternFill>
      </fill>
    </dxf>
    <dxf>
      <fill>
        <patternFill>
          <bgColor theme="1" tint="0.34998626667073579"/>
        </patternFill>
      </fill>
    </dxf>
    <dxf>
      <font>
        <b/>
        <i val="0"/>
      </font>
      <fill>
        <patternFill>
          <bgColor rgb="FF00B0F0"/>
        </patternFill>
      </fill>
    </dxf>
    <dxf>
      <font>
        <b/>
        <i val="0"/>
      </font>
      <fill>
        <patternFill>
          <bgColor rgb="FF00B0F0"/>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1" tint="0.34998626667073579"/>
        </patternFill>
      </fill>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theme="1" tint="0.34998626667073579"/>
        </patternFill>
      </fill>
    </dxf>
    <dxf>
      <fill>
        <patternFill>
          <bgColor rgb="FFFFFF00"/>
        </patternFill>
      </fill>
    </dxf>
    <dxf>
      <font>
        <color auto="1"/>
      </font>
      <fill>
        <patternFill>
          <bgColor rgb="FFFF00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00B0F0"/>
        </patternFill>
      </fill>
    </dxf>
    <dxf>
      <fill>
        <patternFill>
          <bgColor theme="1" tint="0.34998626667073579"/>
        </patternFill>
      </fill>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rgb="FFFFFF00"/>
        </patternFill>
      </fill>
    </dxf>
    <dxf>
      <fill>
        <patternFill>
          <bgColor rgb="FF00B0F0"/>
        </patternFill>
      </fill>
    </dxf>
    <dxf>
      <fill>
        <patternFill>
          <bgColor rgb="FF00B0F0"/>
        </patternFill>
      </fill>
    </dxf>
    <dxf>
      <font>
        <color auto="1"/>
      </font>
      <fill>
        <patternFill>
          <bgColor rgb="FFFF0000"/>
        </patternFill>
      </fill>
    </dxf>
    <dxf>
      <fill>
        <patternFill>
          <bgColor theme="1" tint="0.34998626667073579"/>
        </patternFill>
      </fill>
    </dxf>
    <dxf>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ont>
        <b/>
        <i val="0"/>
      </font>
      <fill>
        <patternFill>
          <bgColor rgb="FF00B0F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rgb="FFFFFF00"/>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ill>
        <patternFill>
          <bgColor rgb="FFFFFF00"/>
        </patternFill>
      </fill>
    </dxf>
    <dxf>
      <fill>
        <patternFill>
          <bgColor theme="1" tint="0.34998626667073579"/>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ill>
        <patternFill>
          <bgColor theme="8" tint="0.39994506668294322"/>
        </patternFill>
      </fill>
      <border>
        <left style="thin">
          <color theme="1"/>
        </left>
        <right style="thin">
          <color theme="1"/>
        </right>
        <top style="thin">
          <color theme="1"/>
        </top>
        <bottom style="thin">
          <color theme="1"/>
        </bottom>
      </border>
    </dxf>
    <dxf>
      <fill>
        <patternFill>
          <bgColor theme="9" tint="0.59996337778862885"/>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b/>
        <i val="0"/>
      </font>
      <fill>
        <patternFill>
          <bgColor rgb="FFFFFF00"/>
        </patternFill>
      </fill>
    </dxf>
    <dxf>
      <fill>
        <patternFill>
          <bgColor theme="1" tint="0.34998626667073579"/>
        </patternFill>
      </fill>
    </dxf>
    <dxf>
      <fill>
        <patternFill>
          <bgColor theme="8" tint="0.39994506668294322"/>
        </patternFill>
      </fill>
      <border>
        <left style="thin">
          <color theme="1"/>
        </left>
        <right style="thin">
          <color theme="1"/>
        </right>
        <top style="thin">
          <color theme="1"/>
        </top>
        <bottom style="thin">
          <color theme="1"/>
        </bottom>
      </border>
    </dxf>
    <dxf>
      <font>
        <color rgb="FFFF0000"/>
      </font>
    </dxf>
    <dxf>
      <font>
        <color rgb="FFFF0000"/>
      </font>
    </dxf>
    <dxf>
      <fill>
        <patternFill>
          <bgColor rgb="FFFFFF00"/>
        </patternFill>
      </fill>
    </dxf>
    <dxf>
      <font>
        <color rgb="FFFF0000"/>
      </font>
    </dxf>
    <dxf>
      <fill>
        <patternFill>
          <bgColor rgb="FFFFFF00"/>
        </patternFill>
      </fill>
    </dxf>
    <dxf>
      <font>
        <color rgb="FFFF0000"/>
      </font>
    </dxf>
    <dxf>
      <fill>
        <patternFill>
          <bgColor rgb="FFFFFF00"/>
        </patternFill>
      </fill>
    </dxf>
    <dxf>
      <font>
        <color rgb="FFFF0000"/>
      </font>
    </dxf>
    <dxf>
      <fill>
        <patternFill>
          <bgColor rgb="FFFFFF00"/>
        </patternFill>
      </fill>
    </dxf>
    <dxf>
      <font>
        <color rgb="FFFF0000"/>
      </font>
    </dxf>
    <dxf>
      <fill>
        <patternFill>
          <bgColor rgb="FFFFFF00"/>
        </patternFill>
      </fill>
    </dxf>
    <dxf>
      <font>
        <color rgb="FFFF0000"/>
      </font>
    </dxf>
    <dxf>
      <fill>
        <patternFill>
          <bgColor rgb="FFFFFF00"/>
        </patternFill>
      </fill>
    </dxf>
    <dxf>
      <fill>
        <patternFill>
          <bgColor rgb="FFFF0000"/>
        </patternFill>
      </fill>
    </dxf>
    <dxf>
      <fill>
        <patternFill>
          <bgColor theme="5" tint="0.59996337778862885"/>
        </patternFill>
      </fill>
    </dxf>
    <dxf>
      <fill>
        <patternFill>
          <bgColor rgb="FFFFFF00"/>
        </patternFill>
      </fill>
    </dxf>
    <dxf>
      <fill>
        <patternFill patternType="none">
          <bgColor auto="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BFBFBF"/>
      <rgbColor rgb="FF808080"/>
      <rgbColor rgb="FF9999FF"/>
      <rgbColor rgb="FF993366"/>
      <rgbColor rgb="FFE7E6E6"/>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FF"/>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2F75B5"/>
            </a:solidFill>
            <a:ln w="15875">
              <a:solidFill>
                <a:srgbClr val="003366"/>
              </a:solidFill>
            </a:ln>
          </c:spPr>
          <c:invertIfNegative val="0"/>
          <c:cat>
            <c:strLit>
              <c:ptCount val="5"/>
              <c:pt idx="0">
                <c:v>1º PARCIAL (15%)</c:v>
              </c:pt>
              <c:pt idx="1">
                <c:v>2º PARCIAL (15%)</c:v>
              </c:pt>
              <c:pt idx="2">
                <c:v>MATLAB (15%)</c:v>
              </c:pt>
              <c:pt idx="3">
                <c:v>ACT COMP (15%)</c:v>
              </c:pt>
              <c:pt idx="4">
                <c:v>EX FINAL (40%)</c:v>
              </c:pt>
            </c:strLit>
          </c:cat>
          <c:val>
            <c:numLit>
              <c:formatCode>General</c:formatCode>
              <c:ptCount val="5"/>
              <c:pt idx="0">
                <c:v>5.2226041666666676</c:v>
              </c:pt>
              <c:pt idx="1">
                <c:v>4.9510526315789454</c:v>
              </c:pt>
              <c:pt idx="2">
                <c:v>5.4078947368421053</c:v>
              </c:pt>
              <c:pt idx="3">
                <c:v>5.7315789473684209</c:v>
              </c:pt>
              <c:pt idx="4">
                <c:v>5.3813829787234022</c:v>
              </c:pt>
            </c:numLit>
          </c:val>
          <c:extLst>
            <c:ext xmlns:c16="http://schemas.microsoft.com/office/drawing/2014/chart" uri="{C3380CC4-5D6E-409C-BE32-E72D297353CC}">
              <c16:uniqueId val="{00000001-29D5-4A19-9CE0-405E8F8FCA69}"/>
            </c:ext>
          </c:extLst>
        </c:ser>
        <c:dLbls>
          <c:showLegendKey val="0"/>
          <c:showVal val="0"/>
          <c:showCatName val="0"/>
          <c:showSerName val="0"/>
          <c:showPercent val="0"/>
          <c:showBubbleSize val="0"/>
        </c:dLbls>
        <c:gapWidth val="150"/>
        <c:axId val="1412016783"/>
        <c:axId val="1412022543"/>
      </c:barChart>
      <c:catAx>
        <c:axId val="1412016783"/>
        <c:scaling>
          <c:orientation val="minMax"/>
        </c:scaling>
        <c:delete val="0"/>
        <c:axPos val="b"/>
        <c:numFmt formatCode="General" sourceLinked="1"/>
        <c:majorTickMark val="out"/>
        <c:minorTickMark val="none"/>
        <c:tickLblPos val="nextTo"/>
        <c:spPr>
          <a:ln w="19050">
            <a:solidFill>
              <a:srgbClr val="000000"/>
            </a:solidFill>
          </a:ln>
        </c:spPr>
        <c:crossAx val="1412022543"/>
        <c:crosses val="autoZero"/>
        <c:auto val="1"/>
        <c:lblAlgn val="ctr"/>
        <c:lblOffset val="100"/>
        <c:noMultiLvlLbl val="0"/>
      </c:catAx>
      <c:valAx>
        <c:axId val="1412022543"/>
        <c:scaling>
          <c:orientation val="minMax"/>
          <c:max val="10"/>
          <c:min val="0"/>
        </c:scaling>
        <c:delete val="0"/>
        <c:axPos val="l"/>
        <c:majorGridlines>
          <c:spPr>
            <a:ln>
              <a:solidFill>
                <a:srgbClr val="C8C8C8"/>
              </a:solidFill>
            </a:ln>
          </c:spPr>
        </c:majorGridlines>
        <c:numFmt formatCode="General" sourceLinked="1"/>
        <c:majorTickMark val="out"/>
        <c:minorTickMark val="none"/>
        <c:tickLblPos val="nextTo"/>
        <c:spPr>
          <a:ln w="19050">
            <a:solidFill>
              <a:srgbClr val="000000"/>
            </a:solidFill>
          </a:ln>
        </c:spPr>
        <c:crossAx val="1412016783"/>
        <c:crosses val="autoZero"/>
        <c:crossBetween val="between"/>
        <c:majorUnit val="1"/>
      </c:valAx>
      <c:spPr>
        <a:solidFill>
          <a:srgbClr val="F2F2F2"/>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Histograma de Calificaciones Finales</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B4B4"/>
              </a:solidFill>
              <a:ln w="12700">
                <a:solidFill>
                  <a:srgbClr val="003366"/>
                </a:solidFill>
              </a:ln>
            </c:spPr>
            <c:extLst>
              <c:ext xmlns:c16="http://schemas.microsoft.com/office/drawing/2014/chart" uri="{C3380CC4-5D6E-409C-BE32-E72D297353CC}">
                <c16:uniqueId val="{00000001-5E71-45F2-8AB2-E8764F60DF5C}"/>
              </c:ext>
            </c:extLst>
          </c:dPt>
          <c:dPt>
            <c:idx val="1"/>
            <c:invertIfNegative val="0"/>
            <c:bubble3D val="0"/>
            <c:spPr>
              <a:solidFill>
                <a:srgbClr val="FFB4B4"/>
              </a:solidFill>
              <a:ln w="12700">
                <a:solidFill>
                  <a:srgbClr val="003366"/>
                </a:solidFill>
              </a:ln>
            </c:spPr>
            <c:extLst>
              <c:ext xmlns:c16="http://schemas.microsoft.com/office/drawing/2014/chart" uri="{C3380CC4-5D6E-409C-BE32-E72D297353CC}">
                <c16:uniqueId val="{00000002-5E71-45F2-8AB2-E8764F60DF5C}"/>
              </c:ext>
            </c:extLst>
          </c:dPt>
          <c:dPt>
            <c:idx val="2"/>
            <c:invertIfNegative val="0"/>
            <c:bubble3D val="0"/>
            <c:spPr>
              <a:solidFill>
                <a:srgbClr val="FFB4B4"/>
              </a:solidFill>
              <a:ln w="12700">
                <a:solidFill>
                  <a:srgbClr val="003366"/>
                </a:solidFill>
              </a:ln>
            </c:spPr>
            <c:extLst>
              <c:ext xmlns:c16="http://schemas.microsoft.com/office/drawing/2014/chart" uri="{C3380CC4-5D6E-409C-BE32-E72D297353CC}">
                <c16:uniqueId val="{00000003-5E71-45F2-8AB2-E8764F60DF5C}"/>
              </c:ext>
            </c:extLst>
          </c:dPt>
          <c:dPt>
            <c:idx val="3"/>
            <c:invertIfNegative val="0"/>
            <c:bubble3D val="0"/>
            <c:spPr>
              <a:solidFill>
                <a:srgbClr val="FFC000"/>
              </a:solidFill>
              <a:ln w="12700">
                <a:solidFill>
                  <a:srgbClr val="003366"/>
                </a:solidFill>
              </a:ln>
            </c:spPr>
            <c:extLst>
              <c:ext xmlns:c16="http://schemas.microsoft.com/office/drawing/2014/chart" uri="{C3380CC4-5D6E-409C-BE32-E72D297353CC}">
                <c16:uniqueId val="{00000004-5E71-45F2-8AB2-E8764F60DF5C}"/>
              </c:ext>
            </c:extLst>
          </c:dPt>
          <c:dPt>
            <c:idx val="4"/>
            <c:invertIfNegative val="0"/>
            <c:bubble3D val="0"/>
            <c:spPr>
              <a:solidFill>
                <a:srgbClr val="FFC000"/>
              </a:solidFill>
              <a:ln w="12700">
                <a:solidFill>
                  <a:srgbClr val="003366"/>
                </a:solidFill>
              </a:ln>
            </c:spPr>
            <c:extLst>
              <c:ext xmlns:c16="http://schemas.microsoft.com/office/drawing/2014/chart" uri="{C3380CC4-5D6E-409C-BE32-E72D297353CC}">
                <c16:uniqueId val="{00000005-5E71-45F2-8AB2-E8764F60DF5C}"/>
              </c:ext>
            </c:extLst>
          </c:dPt>
          <c:dPt>
            <c:idx val="5"/>
            <c:invertIfNegative val="0"/>
            <c:bubble3D val="0"/>
            <c:spPr>
              <a:solidFill>
                <a:srgbClr val="A9D08E"/>
              </a:solidFill>
              <a:ln w="12700">
                <a:solidFill>
                  <a:srgbClr val="003366"/>
                </a:solidFill>
              </a:ln>
            </c:spPr>
            <c:extLst>
              <c:ext xmlns:c16="http://schemas.microsoft.com/office/drawing/2014/chart" uri="{C3380CC4-5D6E-409C-BE32-E72D297353CC}">
                <c16:uniqueId val="{00000006-5E71-45F2-8AB2-E8764F60DF5C}"/>
              </c:ext>
            </c:extLst>
          </c:dPt>
          <c:dPt>
            <c:idx val="6"/>
            <c:invertIfNegative val="0"/>
            <c:bubble3D val="0"/>
            <c:spPr>
              <a:solidFill>
                <a:srgbClr val="A9D08E"/>
              </a:solidFill>
              <a:ln w="12700">
                <a:solidFill>
                  <a:srgbClr val="003366"/>
                </a:solidFill>
              </a:ln>
            </c:spPr>
            <c:extLst>
              <c:ext xmlns:c16="http://schemas.microsoft.com/office/drawing/2014/chart" uri="{C3380CC4-5D6E-409C-BE32-E72D297353CC}">
                <c16:uniqueId val="{00000007-5E71-45F2-8AB2-E8764F60DF5C}"/>
              </c:ext>
            </c:extLst>
          </c:dPt>
          <c:dPt>
            <c:idx val="7"/>
            <c:invertIfNegative val="0"/>
            <c:bubble3D val="0"/>
            <c:spPr>
              <a:solidFill>
                <a:srgbClr val="9BC2E6"/>
              </a:solidFill>
              <a:ln w="12700">
                <a:solidFill>
                  <a:srgbClr val="003366"/>
                </a:solidFill>
              </a:ln>
            </c:spPr>
            <c:extLst>
              <c:ext xmlns:c16="http://schemas.microsoft.com/office/drawing/2014/chart" uri="{C3380CC4-5D6E-409C-BE32-E72D297353CC}">
                <c16:uniqueId val="{00000008-5E71-45F2-8AB2-E8764F60DF5C}"/>
              </c:ext>
            </c:extLst>
          </c:dPt>
          <c:dPt>
            <c:idx val="8"/>
            <c:invertIfNegative val="0"/>
            <c:bubble3D val="0"/>
            <c:spPr>
              <a:solidFill>
                <a:srgbClr val="9BC2E6"/>
              </a:solidFill>
              <a:ln w="12700">
                <a:solidFill>
                  <a:srgbClr val="003366"/>
                </a:solidFill>
              </a:ln>
            </c:spPr>
            <c:extLst>
              <c:ext xmlns:c16="http://schemas.microsoft.com/office/drawing/2014/chart" uri="{C3380CC4-5D6E-409C-BE32-E72D297353CC}">
                <c16:uniqueId val="{00000009-5E71-45F2-8AB2-E8764F60DF5C}"/>
              </c:ext>
            </c:extLst>
          </c:dPt>
          <c:dPt>
            <c:idx val="9"/>
            <c:invertIfNegative val="0"/>
            <c:bubble3D val="0"/>
            <c:spPr>
              <a:solidFill>
                <a:srgbClr val="9BC2E6"/>
              </a:solidFill>
              <a:ln w="12700">
                <a:solidFill>
                  <a:srgbClr val="003366"/>
                </a:solidFill>
              </a:ln>
            </c:spPr>
            <c:extLst>
              <c:ext xmlns:c16="http://schemas.microsoft.com/office/drawing/2014/chart" uri="{C3380CC4-5D6E-409C-BE32-E72D297353CC}">
                <c16:uniqueId val="{0000000A-5E71-45F2-8AB2-E8764F60DF5C}"/>
              </c:ext>
            </c:extLst>
          </c:dPt>
          <c:dLbls>
            <c:spPr>
              <a:noFill/>
              <a:ln>
                <a:noFill/>
              </a:ln>
              <a:effectLst/>
            </c:spPr>
            <c:txPr>
              <a:bodyPr wrap="square" lIns="38100" tIns="19050" rIns="38100" bIns="19050" anchor="ctr">
                <a:spAutoFit/>
              </a:bodyPr>
              <a:lstStyle/>
              <a:p>
                <a:pPr>
                  <a:defRPr sz="1000" b="1">
                    <a:solidFill>
                      <a:srgbClr val="282828"/>
                    </a:solidFill>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
              <c:pt idx="0">
                <c:v>0-1</c:v>
              </c:pt>
              <c:pt idx="1">
                <c:v>1-2</c:v>
              </c:pt>
              <c:pt idx="2">
                <c:v>2-3</c:v>
              </c:pt>
              <c:pt idx="3">
                <c:v>3-4</c:v>
              </c:pt>
              <c:pt idx="4">
                <c:v>4-5</c:v>
              </c:pt>
              <c:pt idx="5">
                <c:v>5-6</c:v>
              </c:pt>
              <c:pt idx="6">
                <c:v>6-7</c:v>
              </c:pt>
              <c:pt idx="7">
                <c:v>7-8</c:v>
              </c:pt>
              <c:pt idx="8">
                <c:v>8-9</c:v>
              </c:pt>
              <c:pt idx="9">
                <c:v>9-10</c:v>
              </c:pt>
            </c:strLit>
          </c:cat>
          <c:val>
            <c:numLit>
              <c:formatCode>General</c:formatCode>
              <c:ptCount val="10"/>
              <c:pt idx="0">
                <c:v>1</c:v>
              </c:pt>
              <c:pt idx="1">
                <c:v>3</c:v>
              </c:pt>
              <c:pt idx="2">
                <c:v>3</c:v>
              </c:pt>
              <c:pt idx="3">
                <c:v>10</c:v>
              </c:pt>
              <c:pt idx="4">
                <c:v>16</c:v>
              </c:pt>
              <c:pt idx="5">
                <c:v>25</c:v>
              </c:pt>
              <c:pt idx="6">
                <c:v>24</c:v>
              </c:pt>
              <c:pt idx="7">
                <c:v>8</c:v>
              </c:pt>
              <c:pt idx="8">
                <c:v>3</c:v>
              </c:pt>
              <c:pt idx="9">
                <c:v>0</c:v>
              </c:pt>
            </c:numLit>
          </c:val>
          <c:extLst>
            <c:ext xmlns:c16="http://schemas.microsoft.com/office/drawing/2014/chart" uri="{C3380CC4-5D6E-409C-BE32-E72D297353CC}">
              <c16:uniqueId val="{00000000-5E71-45F2-8AB2-E8764F60DF5C}"/>
            </c:ext>
          </c:extLst>
        </c:ser>
        <c:dLbls>
          <c:showLegendKey val="0"/>
          <c:showVal val="0"/>
          <c:showCatName val="0"/>
          <c:showSerName val="0"/>
          <c:showPercent val="0"/>
          <c:showBubbleSize val="0"/>
        </c:dLbls>
        <c:gapWidth val="10"/>
        <c:axId val="891596911"/>
        <c:axId val="891586351"/>
      </c:barChart>
      <c:catAx>
        <c:axId val="891596911"/>
        <c:scaling>
          <c:orientation val="minMax"/>
        </c:scaling>
        <c:delete val="0"/>
        <c:axPos val="b"/>
        <c:numFmt formatCode="General" sourceLinked="1"/>
        <c:majorTickMark val="out"/>
        <c:minorTickMark val="none"/>
        <c:tickLblPos val="nextTo"/>
        <c:spPr>
          <a:ln>
            <a:solidFill>
              <a:srgbClr val="000000"/>
            </a:solidFill>
          </a:ln>
        </c:spPr>
        <c:crossAx val="891586351"/>
        <c:crosses val="autoZero"/>
        <c:auto val="1"/>
        <c:lblAlgn val="ctr"/>
        <c:lblOffset val="100"/>
        <c:noMultiLvlLbl val="0"/>
      </c:catAx>
      <c:valAx>
        <c:axId val="891586351"/>
        <c:scaling>
          <c:orientation val="minMax"/>
        </c:scaling>
        <c:delete val="0"/>
        <c:axPos val="l"/>
        <c:majorGridlines>
          <c:spPr>
            <a:ln>
              <a:solidFill>
                <a:srgbClr val="D2D2D2"/>
              </a:solidFill>
            </a:ln>
          </c:spPr>
        </c:majorGridlines>
        <c:numFmt formatCode="General" sourceLinked="1"/>
        <c:majorTickMark val="out"/>
        <c:minorTickMark val="none"/>
        <c:tickLblPos val="nextTo"/>
        <c:spPr>
          <a:ln>
            <a:solidFill>
              <a:srgbClr val="000000"/>
            </a:solidFill>
          </a:ln>
        </c:spPr>
        <c:crossAx val="891596911"/>
        <c:crosses val="autoZero"/>
        <c:crossBetween val="between"/>
      </c:valAx>
      <c:spPr>
        <a:solidFill>
          <a:srgbClr val="F2F2F2"/>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a:noFill/>
            </a:ln>
          </c:spPr>
          <c:marker>
            <c:symbol val="circle"/>
            <c:size val="7"/>
            <c:spPr>
              <a:solidFill>
                <a:srgbClr val="2F75B5"/>
              </a:solidFill>
            </c:spPr>
          </c:marker>
          <c:xVal>
            <c:numLit>
              <c:formatCode>General</c:formatCode>
              <c:ptCount val="93"/>
              <c:pt idx="0">
                <c:v>9</c:v>
              </c:pt>
              <c:pt idx="1">
                <c:v>3.5</c:v>
              </c:pt>
              <c:pt idx="2">
                <c:v>5.6</c:v>
              </c:pt>
              <c:pt idx="3">
                <c:v>6</c:v>
              </c:pt>
              <c:pt idx="4">
                <c:v>8</c:v>
              </c:pt>
              <c:pt idx="5">
                <c:v>8</c:v>
              </c:pt>
              <c:pt idx="6">
                <c:v>3</c:v>
              </c:pt>
              <c:pt idx="7">
                <c:v>3.15</c:v>
              </c:pt>
              <c:pt idx="8">
                <c:v>5.35</c:v>
              </c:pt>
              <c:pt idx="9">
                <c:v>3</c:v>
              </c:pt>
              <c:pt idx="10">
                <c:v>6</c:v>
              </c:pt>
              <c:pt idx="11">
                <c:v>4.3</c:v>
              </c:pt>
              <c:pt idx="12">
                <c:v>6.65</c:v>
              </c:pt>
              <c:pt idx="13">
                <c:v>5.55</c:v>
              </c:pt>
              <c:pt idx="14">
                <c:v>7.4</c:v>
              </c:pt>
              <c:pt idx="15">
                <c:v>6.5</c:v>
              </c:pt>
              <c:pt idx="16">
                <c:v>2.4</c:v>
              </c:pt>
              <c:pt idx="17">
                <c:v>4</c:v>
              </c:pt>
              <c:pt idx="18">
                <c:v>0.35</c:v>
              </c:pt>
              <c:pt idx="19">
                <c:v>5.05</c:v>
              </c:pt>
              <c:pt idx="20">
                <c:v>7.1</c:v>
              </c:pt>
              <c:pt idx="21">
                <c:v>5.9</c:v>
              </c:pt>
              <c:pt idx="22">
                <c:v>5.85</c:v>
              </c:pt>
              <c:pt idx="23">
                <c:v>7.6</c:v>
              </c:pt>
              <c:pt idx="24">
                <c:v>7.95</c:v>
              </c:pt>
              <c:pt idx="25">
                <c:v>7.5</c:v>
              </c:pt>
              <c:pt idx="26">
                <c:v>4.45</c:v>
              </c:pt>
              <c:pt idx="27">
                <c:v>5.05</c:v>
              </c:pt>
              <c:pt idx="28">
                <c:v>4.7</c:v>
              </c:pt>
              <c:pt idx="29">
                <c:v>6.45</c:v>
              </c:pt>
              <c:pt idx="30">
                <c:v>6.25</c:v>
              </c:pt>
              <c:pt idx="31">
                <c:v>4.3499999999999996</c:v>
              </c:pt>
              <c:pt idx="32">
                <c:v>0</c:v>
              </c:pt>
              <c:pt idx="33">
                <c:v>6.85</c:v>
              </c:pt>
              <c:pt idx="34">
                <c:v>2.85</c:v>
              </c:pt>
              <c:pt idx="35">
                <c:v>3.6</c:v>
              </c:pt>
              <c:pt idx="36">
                <c:v>0.7</c:v>
              </c:pt>
              <c:pt idx="37">
                <c:v>9.35</c:v>
              </c:pt>
              <c:pt idx="38">
                <c:v>6.5</c:v>
              </c:pt>
              <c:pt idx="39">
                <c:v>6.7</c:v>
              </c:pt>
              <c:pt idx="40">
                <c:v>6.65</c:v>
              </c:pt>
              <c:pt idx="41">
                <c:v>5.65</c:v>
              </c:pt>
              <c:pt idx="42">
                <c:v>6.95</c:v>
              </c:pt>
              <c:pt idx="43">
                <c:v>5.75</c:v>
              </c:pt>
              <c:pt idx="44">
                <c:v>3.85</c:v>
              </c:pt>
              <c:pt idx="45">
                <c:v>7.7</c:v>
              </c:pt>
              <c:pt idx="46">
                <c:v>6.2</c:v>
              </c:pt>
              <c:pt idx="47">
                <c:v>1.45</c:v>
              </c:pt>
              <c:pt idx="48">
                <c:v>6.05</c:v>
              </c:pt>
              <c:pt idx="49">
                <c:v>6.9</c:v>
              </c:pt>
              <c:pt idx="50">
                <c:v>6.5</c:v>
              </c:pt>
              <c:pt idx="51">
                <c:v>7.5</c:v>
              </c:pt>
              <c:pt idx="52">
                <c:v>6.55</c:v>
              </c:pt>
              <c:pt idx="53">
                <c:v>0.65</c:v>
              </c:pt>
              <c:pt idx="54">
                <c:v>4.9000000000000004</c:v>
              </c:pt>
              <c:pt idx="55">
                <c:v>5.35</c:v>
              </c:pt>
              <c:pt idx="56">
                <c:v>6.5</c:v>
              </c:pt>
              <c:pt idx="57">
                <c:v>3.55</c:v>
              </c:pt>
              <c:pt idx="58">
                <c:v>4.75</c:v>
              </c:pt>
              <c:pt idx="59">
                <c:v>6.45</c:v>
              </c:pt>
              <c:pt idx="60">
                <c:v>6.9</c:v>
              </c:pt>
              <c:pt idx="61">
                <c:v>4.55</c:v>
              </c:pt>
              <c:pt idx="62">
                <c:v>6.45</c:v>
              </c:pt>
              <c:pt idx="63">
                <c:v>5.05</c:v>
              </c:pt>
              <c:pt idx="64">
                <c:v>7.85</c:v>
              </c:pt>
              <c:pt idx="65">
                <c:v>6.15</c:v>
              </c:pt>
              <c:pt idx="66">
                <c:v>1.1000000000000001</c:v>
              </c:pt>
              <c:pt idx="67">
                <c:v>5.65</c:v>
              </c:pt>
              <c:pt idx="68">
                <c:v>5.8</c:v>
              </c:pt>
              <c:pt idx="69">
                <c:v>3.7</c:v>
              </c:pt>
              <c:pt idx="70">
                <c:v>7.95</c:v>
              </c:pt>
              <c:pt idx="71">
                <c:v>6.4</c:v>
              </c:pt>
              <c:pt idx="72">
                <c:v>7.95</c:v>
              </c:pt>
              <c:pt idx="73">
                <c:v>6.6</c:v>
              </c:pt>
              <c:pt idx="74">
                <c:v>7.3</c:v>
              </c:pt>
              <c:pt idx="75">
                <c:v>7.8</c:v>
              </c:pt>
              <c:pt idx="76">
                <c:v>4</c:v>
              </c:pt>
              <c:pt idx="77">
                <c:v>0.6</c:v>
              </c:pt>
              <c:pt idx="78">
                <c:v>6.7</c:v>
              </c:pt>
              <c:pt idx="79">
                <c:v>5.2</c:v>
              </c:pt>
              <c:pt idx="80">
                <c:v>8.8000000000000007</c:v>
              </c:pt>
              <c:pt idx="81">
                <c:v>7.1</c:v>
              </c:pt>
              <c:pt idx="82">
                <c:v>7.9</c:v>
              </c:pt>
              <c:pt idx="83">
                <c:v>6.45</c:v>
              </c:pt>
              <c:pt idx="84">
                <c:v>1.25</c:v>
              </c:pt>
              <c:pt idx="85">
                <c:v>3.25</c:v>
              </c:pt>
              <c:pt idx="86">
                <c:v>6.5</c:v>
              </c:pt>
              <c:pt idx="87">
                <c:v>8.4</c:v>
              </c:pt>
              <c:pt idx="88">
                <c:v>2.15</c:v>
              </c:pt>
              <c:pt idx="89">
                <c:v>5.7</c:v>
              </c:pt>
              <c:pt idx="90">
                <c:v>6.1</c:v>
              </c:pt>
              <c:pt idx="91">
                <c:v>4.25</c:v>
              </c:pt>
              <c:pt idx="92">
                <c:v>1</c:v>
              </c:pt>
            </c:numLit>
          </c:xVal>
          <c:yVal>
            <c:numLit>
              <c:formatCode>General</c:formatCode>
              <c:ptCount val="93"/>
              <c:pt idx="0">
                <c:v>9</c:v>
              </c:pt>
              <c:pt idx="1">
                <c:v>2.2000000000000002</c:v>
              </c:pt>
              <c:pt idx="2">
                <c:v>4</c:v>
              </c:pt>
              <c:pt idx="3">
                <c:v>2.5</c:v>
              </c:pt>
              <c:pt idx="4">
                <c:v>1</c:v>
              </c:pt>
              <c:pt idx="5">
                <c:v>1</c:v>
              </c:pt>
              <c:pt idx="6">
                <c:v>10</c:v>
              </c:pt>
              <c:pt idx="7">
                <c:v>3.5</c:v>
              </c:pt>
              <c:pt idx="8">
                <c:v>5.55</c:v>
              </c:pt>
              <c:pt idx="9">
                <c:v>4</c:v>
              </c:pt>
              <c:pt idx="10">
                <c:v>5.5</c:v>
              </c:pt>
              <c:pt idx="11">
                <c:v>6.7</c:v>
              </c:pt>
              <c:pt idx="12">
                <c:v>7.9</c:v>
              </c:pt>
              <c:pt idx="13">
                <c:v>1</c:v>
              </c:pt>
              <c:pt idx="14">
                <c:v>6.25</c:v>
              </c:pt>
              <c:pt idx="15">
                <c:v>8.5</c:v>
              </c:pt>
              <c:pt idx="16">
                <c:v>4</c:v>
              </c:pt>
              <c:pt idx="17">
                <c:v>3.6</c:v>
              </c:pt>
              <c:pt idx="18">
                <c:v>2</c:v>
              </c:pt>
              <c:pt idx="19">
                <c:v>6.25</c:v>
              </c:pt>
              <c:pt idx="20">
                <c:v>7</c:v>
              </c:pt>
              <c:pt idx="21">
                <c:v>7.4</c:v>
              </c:pt>
              <c:pt idx="22">
                <c:v>9.5</c:v>
              </c:pt>
              <c:pt idx="23">
                <c:v>3.5</c:v>
              </c:pt>
              <c:pt idx="24">
                <c:v>6.25</c:v>
              </c:pt>
              <c:pt idx="25">
                <c:v>5.5</c:v>
              </c:pt>
              <c:pt idx="26">
                <c:v>6</c:v>
              </c:pt>
              <c:pt idx="27">
                <c:v>6.3</c:v>
              </c:pt>
              <c:pt idx="28">
                <c:v>7.5</c:v>
              </c:pt>
              <c:pt idx="29">
                <c:v>7.25</c:v>
              </c:pt>
              <c:pt idx="30">
                <c:v>8.5</c:v>
              </c:pt>
              <c:pt idx="31">
                <c:v>7</c:v>
              </c:pt>
              <c:pt idx="32">
                <c:v>0</c:v>
              </c:pt>
              <c:pt idx="33">
                <c:v>8</c:v>
              </c:pt>
              <c:pt idx="34">
                <c:v>3.5</c:v>
              </c:pt>
              <c:pt idx="35">
                <c:v>0.75</c:v>
              </c:pt>
              <c:pt idx="36">
                <c:v>1</c:v>
              </c:pt>
              <c:pt idx="37">
                <c:v>9.5</c:v>
              </c:pt>
              <c:pt idx="38">
                <c:v>6.5</c:v>
              </c:pt>
              <c:pt idx="39">
                <c:v>9</c:v>
              </c:pt>
              <c:pt idx="40">
                <c:v>7</c:v>
              </c:pt>
              <c:pt idx="41">
                <c:v>9.0500000000000007</c:v>
              </c:pt>
              <c:pt idx="42">
                <c:v>8.1999999999999993</c:v>
              </c:pt>
              <c:pt idx="43">
                <c:v>7</c:v>
              </c:pt>
              <c:pt idx="44">
                <c:v>3.5</c:v>
              </c:pt>
              <c:pt idx="45">
                <c:v>8.25</c:v>
              </c:pt>
              <c:pt idx="46">
                <c:v>5.75</c:v>
              </c:pt>
              <c:pt idx="47">
                <c:v>5.15</c:v>
              </c:pt>
              <c:pt idx="48">
                <c:v>7.9</c:v>
              </c:pt>
              <c:pt idx="49">
                <c:v>8.25</c:v>
              </c:pt>
              <c:pt idx="50">
                <c:v>8</c:v>
              </c:pt>
              <c:pt idx="51">
                <c:v>9.6999999999999993</c:v>
              </c:pt>
              <c:pt idx="52">
                <c:v>6.95</c:v>
              </c:pt>
              <c:pt idx="53">
                <c:v>2.5</c:v>
              </c:pt>
              <c:pt idx="54">
                <c:v>9.9</c:v>
              </c:pt>
              <c:pt idx="55">
                <c:v>1.5</c:v>
              </c:pt>
              <c:pt idx="56">
                <c:v>5.6</c:v>
              </c:pt>
              <c:pt idx="57">
                <c:v>2</c:v>
              </c:pt>
              <c:pt idx="58">
                <c:v>7.6</c:v>
              </c:pt>
              <c:pt idx="59">
                <c:v>4.5</c:v>
              </c:pt>
              <c:pt idx="60">
                <c:v>7.25</c:v>
              </c:pt>
              <c:pt idx="61">
                <c:v>5</c:v>
              </c:pt>
              <c:pt idx="62">
                <c:v>6.7</c:v>
              </c:pt>
              <c:pt idx="63">
                <c:v>6</c:v>
              </c:pt>
              <c:pt idx="64">
                <c:v>5.5</c:v>
              </c:pt>
              <c:pt idx="65">
                <c:v>7.75</c:v>
              </c:pt>
              <c:pt idx="66">
                <c:v>4.75</c:v>
              </c:pt>
              <c:pt idx="67">
                <c:v>5.75</c:v>
              </c:pt>
              <c:pt idx="68">
                <c:v>6.5</c:v>
              </c:pt>
              <c:pt idx="69">
                <c:v>1.25</c:v>
              </c:pt>
              <c:pt idx="70">
                <c:v>2.5</c:v>
              </c:pt>
              <c:pt idx="71">
                <c:v>6</c:v>
              </c:pt>
              <c:pt idx="72">
                <c:v>7.9</c:v>
              </c:pt>
              <c:pt idx="73">
                <c:v>8.6</c:v>
              </c:pt>
              <c:pt idx="74">
                <c:v>6.2</c:v>
              </c:pt>
              <c:pt idx="75">
                <c:v>2.8</c:v>
              </c:pt>
              <c:pt idx="76">
                <c:v>7.3</c:v>
              </c:pt>
              <c:pt idx="77">
                <c:v>0.7</c:v>
              </c:pt>
              <c:pt idx="78">
                <c:v>7</c:v>
              </c:pt>
              <c:pt idx="79">
                <c:v>0.85</c:v>
              </c:pt>
              <c:pt idx="80">
                <c:v>6.75</c:v>
              </c:pt>
              <c:pt idx="81">
                <c:v>6.1</c:v>
              </c:pt>
              <c:pt idx="82">
                <c:v>6.5</c:v>
              </c:pt>
              <c:pt idx="83">
                <c:v>8</c:v>
              </c:pt>
              <c:pt idx="84">
                <c:v>0.25</c:v>
              </c:pt>
              <c:pt idx="85">
                <c:v>5</c:v>
              </c:pt>
              <c:pt idx="86">
                <c:v>7.5</c:v>
              </c:pt>
              <c:pt idx="87">
                <c:v>8.5</c:v>
              </c:pt>
              <c:pt idx="88">
                <c:v>5</c:v>
              </c:pt>
              <c:pt idx="89">
                <c:v>10</c:v>
              </c:pt>
              <c:pt idx="90">
                <c:v>9</c:v>
              </c:pt>
              <c:pt idx="91">
                <c:v>9</c:v>
              </c:pt>
              <c:pt idx="92">
                <c:v>10</c:v>
              </c:pt>
            </c:numLit>
          </c:yVal>
          <c:smooth val="0"/>
          <c:extLst>
            <c:ext xmlns:c16="http://schemas.microsoft.com/office/drawing/2014/chart" uri="{C3380CC4-5D6E-409C-BE32-E72D297353CC}">
              <c16:uniqueId val="{00000000-E4E9-4235-9961-90CDB77B335C}"/>
            </c:ext>
          </c:extLst>
        </c:ser>
        <c:dLbls>
          <c:showLegendKey val="0"/>
          <c:showVal val="0"/>
          <c:showCatName val="0"/>
          <c:showSerName val="0"/>
          <c:showPercent val="0"/>
          <c:showBubbleSize val="0"/>
        </c:dLbls>
        <c:axId val="891600271"/>
        <c:axId val="891586831"/>
      </c:scatterChart>
      <c:valAx>
        <c:axId val="891600271"/>
        <c:scaling>
          <c:orientation val="minMax"/>
          <c:max val="10"/>
          <c:min val="0"/>
        </c:scaling>
        <c:delete val="0"/>
        <c:axPos val="b"/>
        <c:title>
          <c:tx>
            <c:rich>
              <a:bodyPr/>
              <a:lstStyle/>
              <a:p>
                <a:pPr>
                  <a:defRPr/>
                </a:pPr>
                <a:r>
                  <a:rPr lang="es-ES"/>
                  <a:t>Media Exámenes (Teoría)</a:t>
                </a:r>
              </a:p>
            </c:rich>
          </c:tx>
          <c:overlay val="0"/>
        </c:title>
        <c:numFmt formatCode="General" sourceLinked="1"/>
        <c:majorTickMark val="out"/>
        <c:minorTickMark val="none"/>
        <c:tickLblPos val="nextTo"/>
        <c:crossAx val="891586831"/>
        <c:crosses val="autoZero"/>
        <c:crossBetween val="midCat"/>
        <c:majorUnit val="1"/>
      </c:valAx>
      <c:valAx>
        <c:axId val="891586831"/>
        <c:scaling>
          <c:orientation val="minMax"/>
          <c:max val="10"/>
          <c:min val="0"/>
        </c:scaling>
        <c:delete val="0"/>
        <c:axPos val="l"/>
        <c:majorGridlines/>
        <c:title>
          <c:tx>
            <c:rich>
              <a:bodyPr/>
              <a:lstStyle/>
              <a:p>
                <a:pPr>
                  <a:defRPr/>
                </a:pPr>
                <a:r>
                  <a:rPr lang="es-ES"/>
                  <a:t>Prueba Complementaria (Práctica)</a:t>
                </a:r>
              </a:p>
            </c:rich>
          </c:tx>
          <c:overlay val="0"/>
        </c:title>
        <c:numFmt formatCode="General" sourceLinked="1"/>
        <c:majorTickMark val="out"/>
        <c:minorTickMark val="none"/>
        <c:tickLblPos val="nextTo"/>
        <c:crossAx val="891600271"/>
        <c:crosses val="autoZero"/>
        <c:crossBetween val="midCat"/>
        <c:majorUnit val="1"/>
      </c:valAx>
      <c:spPr>
        <a:solidFill>
          <a:srgbClr val="F2F2F2"/>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Histograma de Calificaciones</a:t>
            </a:r>
          </a:p>
        </c:rich>
      </c:tx>
      <c:overlay val="0"/>
    </c:title>
    <c:autoTitleDeleted val="0"/>
    <c:plotArea>
      <c:layout/>
      <c:barChart>
        <c:barDir val="col"/>
        <c:grouping val="clustered"/>
        <c:varyColors val="0"/>
        <c:ser>
          <c:idx val="0"/>
          <c:order val="0"/>
          <c:tx>
            <c:v>Distribución Notas</c:v>
          </c:tx>
          <c:invertIfNegative val="0"/>
          <c:dPt>
            <c:idx val="0"/>
            <c:invertIfNegative val="0"/>
            <c:bubble3D val="0"/>
            <c:spPr>
              <a:solidFill>
                <a:srgbClr val="FFB4B4"/>
              </a:solidFill>
            </c:spPr>
            <c:extLst>
              <c:ext xmlns:c16="http://schemas.microsoft.com/office/drawing/2014/chart" uri="{C3380CC4-5D6E-409C-BE32-E72D297353CC}">
                <c16:uniqueId val="{00000002-028D-44B8-956B-BE0F2646CAAF}"/>
              </c:ext>
            </c:extLst>
          </c:dPt>
          <c:dPt>
            <c:idx val="1"/>
            <c:invertIfNegative val="0"/>
            <c:bubble3D val="0"/>
            <c:spPr>
              <a:solidFill>
                <a:srgbClr val="FFB4B4"/>
              </a:solidFill>
            </c:spPr>
            <c:extLst>
              <c:ext xmlns:c16="http://schemas.microsoft.com/office/drawing/2014/chart" uri="{C3380CC4-5D6E-409C-BE32-E72D297353CC}">
                <c16:uniqueId val="{00000003-028D-44B8-956B-BE0F2646CAAF}"/>
              </c:ext>
            </c:extLst>
          </c:dPt>
          <c:dPt>
            <c:idx val="2"/>
            <c:invertIfNegative val="0"/>
            <c:bubble3D val="0"/>
            <c:spPr>
              <a:solidFill>
                <a:srgbClr val="FFB4B4"/>
              </a:solidFill>
            </c:spPr>
            <c:extLst>
              <c:ext xmlns:c16="http://schemas.microsoft.com/office/drawing/2014/chart" uri="{C3380CC4-5D6E-409C-BE32-E72D297353CC}">
                <c16:uniqueId val="{00000004-028D-44B8-956B-BE0F2646CAAF}"/>
              </c:ext>
            </c:extLst>
          </c:dPt>
          <c:dPt>
            <c:idx val="3"/>
            <c:invertIfNegative val="0"/>
            <c:bubble3D val="0"/>
            <c:spPr>
              <a:solidFill>
                <a:srgbClr val="FFC000"/>
              </a:solidFill>
            </c:spPr>
            <c:extLst>
              <c:ext xmlns:c16="http://schemas.microsoft.com/office/drawing/2014/chart" uri="{C3380CC4-5D6E-409C-BE32-E72D297353CC}">
                <c16:uniqueId val="{00000005-028D-44B8-956B-BE0F2646CAAF}"/>
              </c:ext>
            </c:extLst>
          </c:dPt>
          <c:dPt>
            <c:idx val="4"/>
            <c:invertIfNegative val="0"/>
            <c:bubble3D val="0"/>
            <c:spPr>
              <a:solidFill>
                <a:srgbClr val="FFC000"/>
              </a:solidFill>
            </c:spPr>
            <c:extLst>
              <c:ext xmlns:c16="http://schemas.microsoft.com/office/drawing/2014/chart" uri="{C3380CC4-5D6E-409C-BE32-E72D297353CC}">
                <c16:uniqueId val="{00000006-028D-44B8-956B-BE0F2646CAAF}"/>
              </c:ext>
            </c:extLst>
          </c:dPt>
          <c:dPt>
            <c:idx val="5"/>
            <c:invertIfNegative val="0"/>
            <c:bubble3D val="0"/>
            <c:spPr>
              <a:solidFill>
                <a:srgbClr val="A9D08E"/>
              </a:solidFill>
            </c:spPr>
            <c:extLst>
              <c:ext xmlns:c16="http://schemas.microsoft.com/office/drawing/2014/chart" uri="{C3380CC4-5D6E-409C-BE32-E72D297353CC}">
                <c16:uniqueId val="{00000007-028D-44B8-956B-BE0F2646CAAF}"/>
              </c:ext>
            </c:extLst>
          </c:dPt>
          <c:dPt>
            <c:idx val="6"/>
            <c:invertIfNegative val="0"/>
            <c:bubble3D val="0"/>
            <c:spPr>
              <a:solidFill>
                <a:srgbClr val="A9D08E"/>
              </a:solidFill>
            </c:spPr>
            <c:extLst>
              <c:ext xmlns:c16="http://schemas.microsoft.com/office/drawing/2014/chart" uri="{C3380CC4-5D6E-409C-BE32-E72D297353CC}">
                <c16:uniqueId val="{00000008-028D-44B8-956B-BE0F2646CAAF}"/>
              </c:ext>
            </c:extLst>
          </c:dPt>
          <c:dPt>
            <c:idx val="7"/>
            <c:invertIfNegative val="0"/>
            <c:bubble3D val="0"/>
            <c:spPr>
              <a:solidFill>
                <a:srgbClr val="9BC2E6"/>
              </a:solidFill>
            </c:spPr>
            <c:extLst>
              <c:ext xmlns:c16="http://schemas.microsoft.com/office/drawing/2014/chart" uri="{C3380CC4-5D6E-409C-BE32-E72D297353CC}">
                <c16:uniqueId val="{00000009-028D-44B8-956B-BE0F2646CAAF}"/>
              </c:ext>
            </c:extLst>
          </c:dPt>
          <c:dPt>
            <c:idx val="8"/>
            <c:invertIfNegative val="0"/>
            <c:bubble3D val="0"/>
            <c:spPr>
              <a:solidFill>
                <a:srgbClr val="9BC2E6"/>
              </a:solidFill>
            </c:spPr>
            <c:extLst>
              <c:ext xmlns:c16="http://schemas.microsoft.com/office/drawing/2014/chart" uri="{C3380CC4-5D6E-409C-BE32-E72D297353CC}">
                <c16:uniqueId val="{0000000A-028D-44B8-956B-BE0F2646CAAF}"/>
              </c:ext>
            </c:extLst>
          </c:dPt>
          <c:dPt>
            <c:idx val="9"/>
            <c:invertIfNegative val="0"/>
            <c:bubble3D val="0"/>
            <c:spPr>
              <a:solidFill>
                <a:srgbClr val="9BC2E6"/>
              </a:solidFill>
            </c:spPr>
            <c:extLst>
              <c:ext xmlns:c16="http://schemas.microsoft.com/office/drawing/2014/chart" uri="{C3380CC4-5D6E-409C-BE32-E72D297353CC}">
                <c16:uniqueId val="{0000000B-028D-44B8-956B-BE0F2646CAA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 2º PARCIAL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2º PARCIAL (15%)'!$AA$100:$AA$109</c:f>
              <c:numCache>
                <c:formatCode>General</c:formatCode>
                <c:ptCount val="10"/>
                <c:pt idx="0">
                  <c:v>2</c:v>
                </c:pt>
                <c:pt idx="1">
                  <c:v>5</c:v>
                </c:pt>
                <c:pt idx="2">
                  <c:v>11</c:v>
                </c:pt>
                <c:pt idx="3">
                  <c:v>16</c:v>
                </c:pt>
                <c:pt idx="4">
                  <c:v>11</c:v>
                </c:pt>
                <c:pt idx="5">
                  <c:v>16</c:v>
                </c:pt>
                <c:pt idx="6">
                  <c:v>16</c:v>
                </c:pt>
                <c:pt idx="7">
                  <c:v>12</c:v>
                </c:pt>
                <c:pt idx="8">
                  <c:v>4</c:v>
                </c:pt>
                <c:pt idx="9">
                  <c:v>2</c:v>
                </c:pt>
              </c:numCache>
            </c:numRef>
          </c:val>
          <c:extLst>
            <c:ext xmlns:c16="http://schemas.microsoft.com/office/drawing/2014/chart" uri="{C3380CC4-5D6E-409C-BE32-E72D297353CC}">
              <c16:uniqueId val="{00000001-028D-44B8-956B-BE0F2646CAAF}"/>
            </c:ext>
          </c:extLst>
        </c:ser>
        <c:dLbls>
          <c:showLegendKey val="0"/>
          <c:showVal val="0"/>
          <c:showCatName val="0"/>
          <c:showSerName val="0"/>
          <c:showPercent val="0"/>
          <c:showBubbleSize val="0"/>
        </c:dLbls>
        <c:gapWidth val="10"/>
        <c:axId val="683443488"/>
        <c:axId val="683443008"/>
      </c:barChart>
      <c:lineChart>
        <c:grouping val="standard"/>
        <c:varyColors val="0"/>
        <c:ser>
          <c:idx val="2"/>
          <c:order val="2"/>
          <c:tx>
            <c:v>Curva Normal (Gauss)</c:v>
          </c:tx>
          <c:spPr>
            <a:ln w="31750">
              <a:solidFill>
                <a:srgbClr val="000000"/>
              </a:solidFill>
            </a:ln>
          </c:spPr>
          <c:marker>
            <c:symbol val="none"/>
          </c:marker>
          <c:cat>
            <c:strRef>
              <c:f>'Informe 2º PARCIAL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2º PARCIAL (15%)'!$AC$100:$AC$109</c:f>
              <c:numCache>
                <c:formatCode>General</c:formatCode>
                <c:ptCount val="10"/>
                <c:pt idx="0">
                  <c:v>2.8947557760271545</c:v>
                </c:pt>
                <c:pt idx="1">
                  <c:v>5.7970269499728593</c:v>
                </c:pt>
                <c:pt idx="2">
                  <c:v>9.7588886355382929</c:v>
                </c:pt>
                <c:pt idx="3">
                  <c:v>13.810107434385126</c:v>
                </c:pt>
                <c:pt idx="4">
                  <c:v>16.428405150209677</c:v>
                </c:pt>
                <c:pt idx="5">
                  <c:v>16.428405150209677</c:v>
                </c:pt>
                <c:pt idx="6">
                  <c:v>13.810107434385126</c:v>
                </c:pt>
                <c:pt idx="7">
                  <c:v>9.7588886355382929</c:v>
                </c:pt>
                <c:pt idx="8">
                  <c:v>5.7970269499728593</c:v>
                </c:pt>
                <c:pt idx="9">
                  <c:v>2.8947557760271545</c:v>
                </c:pt>
              </c:numCache>
            </c:numRef>
          </c:val>
          <c:smooth val="1"/>
          <c:extLst>
            <c:ext xmlns:c16="http://schemas.microsoft.com/office/drawing/2014/chart" uri="{C3380CC4-5D6E-409C-BE32-E72D297353CC}">
              <c16:uniqueId val="{0000000D-028D-44B8-956B-BE0F2646CAAF}"/>
            </c:ext>
          </c:extLst>
        </c:ser>
        <c:dLbls>
          <c:showLegendKey val="0"/>
          <c:showVal val="0"/>
          <c:showCatName val="0"/>
          <c:showSerName val="0"/>
          <c:showPercent val="0"/>
          <c:showBubbleSize val="0"/>
        </c:dLbls>
        <c:marker val="1"/>
        <c:smooth val="0"/>
        <c:axId val="683443488"/>
        <c:axId val="683443008"/>
      </c:lineChart>
      <c:lineChart>
        <c:grouping val="standard"/>
        <c:varyColors val="0"/>
        <c:ser>
          <c:idx val="1"/>
          <c:order val="1"/>
          <c:tx>
            <c:v>% Acumulado</c:v>
          </c:tx>
          <c:spPr>
            <a:ln w="19050">
              <a:solidFill>
                <a:srgbClr val="FF6600"/>
              </a:solidFill>
            </a:ln>
          </c:spPr>
          <c:marker>
            <c:symbol val="square"/>
            <c:size val="2"/>
            <c:spPr>
              <a:solidFill>
                <a:srgbClr val="FF6600"/>
              </a:solidFill>
              <a:ln w="19050">
                <a:solidFill>
                  <a:srgbClr val="FF6600"/>
                </a:solidFill>
              </a:ln>
            </c:spPr>
          </c:marker>
          <c:cat>
            <c:strRef>
              <c:f>'Informe 2º PARCIAL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2º PARCIAL (15%)'!$AB$100:$AB$109</c:f>
              <c:numCache>
                <c:formatCode>General</c:formatCode>
                <c:ptCount val="10"/>
                <c:pt idx="0">
                  <c:v>2.1052631578947368E-2</c:v>
                </c:pt>
                <c:pt idx="1">
                  <c:v>7.3684210526315783E-2</c:v>
                </c:pt>
                <c:pt idx="2">
                  <c:v>0.18947368421052632</c:v>
                </c:pt>
                <c:pt idx="3">
                  <c:v>0.35789473684210527</c:v>
                </c:pt>
                <c:pt idx="4">
                  <c:v>0.47368421052631576</c:v>
                </c:pt>
                <c:pt idx="5">
                  <c:v>0.64210526315789473</c:v>
                </c:pt>
                <c:pt idx="6">
                  <c:v>0.81052631578947365</c:v>
                </c:pt>
                <c:pt idx="7">
                  <c:v>0.93684210526315792</c:v>
                </c:pt>
                <c:pt idx="8">
                  <c:v>0.97894736842105268</c:v>
                </c:pt>
                <c:pt idx="9">
                  <c:v>1</c:v>
                </c:pt>
              </c:numCache>
            </c:numRef>
          </c:val>
          <c:smooth val="0"/>
          <c:extLst>
            <c:ext xmlns:c16="http://schemas.microsoft.com/office/drawing/2014/chart" uri="{C3380CC4-5D6E-409C-BE32-E72D297353CC}">
              <c16:uniqueId val="{0000000C-028D-44B8-956B-BE0F2646CAAF}"/>
            </c:ext>
          </c:extLst>
        </c:ser>
        <c:dLbls>
          <c:showLegendKey val="0"/>
          <c:showVal val="0"/>
          <c:showCatName val="0"/>
          <c:showSerName val="0"/>
          <c:showPercent val="0"/>
          <c:showBubbleSize val="0"/>
        </c:dLbls>
        <c:marker val="1"/>
        <c:smooth val="0"/>
        <c:axId val="680192576"/>
        <c:axId val="683445408"/>
      </c:lineChart>
      <c:catAx>
        <c:axId val="683443488"/>
        <c:scaling>
          <c:orientation val="minMax"/>
        </c:scaling>
        <c:delete val="0"/>
        <c:axPos val="b"/>
        <c:numFmt formatCode="General" sourceLinked="1"/>
        <c:majorTickMark val="out"/>
        <c:minorTickMark val="none"/>
        <c:tickLblPos val="nextTo"/>
        <c:crossAx val="683443008"/>
        <c:crosses val="autoZero"/>
        <c:auto val="1"/>
        <c:lblAlgn val="ctr"/>
        <c:lblOffset val="100"/>
        <c:noMultiLvlLbl val="0"/>
      </c:catAx>
      <c:valAx>
        <c:axId val="683443008"/>
        <c:scaling>
          <c:orientation val="minMax"/>
        </c:scaling>
        <c:delete val="0"/>
        <c:axPos val="l"/>
        <c:majorGridlines>
          <c:spPr>
            <a:ln>
              <a:solidFill>
                <a:srgbClr val="D2D2D2"/>
              </a:solidFill>
            </a:ln>
          </c:spPr>
        </c:majorGridlines>
        <c:numFmt formatCode="General" sourceLinked="1"/>
        <c:majorTickMark val="out"/>
        <c:minorTickMark val="none"/>
        <c:tickLblPos val="nextTo"/>
        <c:crossAx val="683443488"/>
        <c:crosses val="autoZero"/>
        <c:crossBetween val="between"/>
      </c:valAx>
      <c:valAx>
        <c:axId val="683445408"/>
        <c:scaling>
          <c:orientation val="minMax"/>
          <c:max val="1"/>
        </c:scaling>
        <c:delete val="0"/>
        <c:axPos val="r"/>
        <c:numFmt formatCode="0%" sourceLinked="0"/>
        <c:majorTickMark val="out"/>
        <c:minorTickMark val="none"/>
        <c:tickLblPos val="nextTo"/>
        <c:crossAx val="680192576"/>
        <c:crosses val="max"/>
        <c:crossBetween val="between"/>
      </c:valAx>
      <c:catAx>
        <c:axId val="680192576"/>
        <c:scaling>
          <c:orientation val="minMax"/>
        </c:scaling>
        <c:delete val="1"/>
        <c:axPos val="b"/>
        <c:numFmt formatCode="General" sourceLinked="1"/>
        <c:majorTickMark val="out"/>
        <c:minorTickMark val="none"/>
        <c:tickLblPos val="nextTo"/>
        <c:crossAx val="683445408"/>
        <c:auto val="1"/>
        <c:lblAlgn val="ctr"/>
        <c:lblOffset val="100"/>
        <c:noMultiLvlLbl val="0"/>
      </c:catAx>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Calidad del Examen</a:t>
            </a:r>
          </a:p>
        </c:rich>
      </c:tx>
      <c:overlay val="0"/>
    </c:title>
    <c:autoTitleDeleted val="0"/>
    <c:plotArea>
      <c:layout/>
      <c:barChart>
        <c:barDir val="bar"/>
        <c:grouping val="clustered"/>
        <c:varyColors val="0"/>
        <c:ser>
          <c:idx val="0"/>
          <c:order val="0"/>
          <c:invertIfNegative val="0"/>
          <c:dPt>
            <c:idx val="0"/>
            <c:invertIfNegative val="0"/>
            <c:bubble3D val="0"/>
            <c:spPr>
              <a:solidFill>
                <a:srgbClr val="9BC2E6"/>
              </a:solidFill>
              <a:ln w="12700">
                <a:solidFill>
                  <a:srgbClr val="2F75B5"/>
                </a:solidFill>
              </a:ln>
            </c:spPr>
            <c:extLst>
              <c:ext xmlns:c16="http://schemas.microsoft.com/office/drawing/2014/chart" uri="{C3380CC4-5D6E-409C-BE32-E72D297353CC}">
                <c16:uniqueId val="{00000002-5DF8-4B52-A78C-503E4F03E273}"/>
              </c:ext>
            </c:extLst>
          </c:dPt>
          <c:dPt>
            <c:idx val="1"/>
            <c:invertIfNegative val="0"/>
            <c:bubble3D val="0"/>
            <c:spPr>
              <a:solidFill>
                <a:srgbClr val="FFC000"/>
              </a:solidFill>
              <a:ln w="12700">
                <a:solidFill>
                  <a:srgbClr val="BF9000"/>
                </a:solidFill>
              </a:ln>
            </c:spPr>
            <c:extLst>
              <c:ext xmlns:c16="http://schemas.microsoft.com/office/drawing/2014/chart" uri="{C3380CC4-5D6E-409C-BE32-E72D297353CC}">
                <c16:uniqueId val="{00000003-5DF8-4B52-A78C-503E4F03E273}"/>
              </c:ext>
            </c:extLst>
          </c:dPt>
          <c:dPt>
            <c:idx val="2"/>
            <c:invertIfNegative val="0"/>
            <c:bubble3D val="0"/>
            <c:spPr>
              <a:solidFill>
                <a:srgbClr val="A9D08E"/>
              </a:solidFill>
              <a:ln w="12700">
                <a:solidFill>
                  <a:srgbClr val="548235"/>
                </a:solidFill>
              </a:ln>
            </c:spPr>
            <c:extLst>
              <c:ext xmlns:c16="http://schemas.microsoft.com/office/drawing/2014/chart" uri="{C3380CC4-5D6E-409C-BE32-E72D297353CC}">
                <c16:uniqueId val="{00000004-5DF8-4B52-A78C-503E4F03E273}"/>
              </c:ext>
            </c:extLst>
          </c:dPt>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Índice Dificultad</c:v>
              </c:pt>
              <c:pt idx="1">
                <c:v>Índice Discriminación</c:v>
              </c:pt>
              <c:pt idx="2">
                <c:v>Coef. Variación</c:v>
              </c:pt>
            </c:strLit>
          </c:cat>
          <c:val>
            <c:numLit>
              <c:formatCode>General</c:formatCode>
              <c:ptCount val="3"/>
              <c:pt idx="0">
                <c:v>0.49510526315789455</c:v>
              </c:pt>
              <c:pt idx="1">
                <c:v>0.52359999999999995</c:v>
              </c:pt>
              <c:pt idx="2">
                <c:v>0.42333539449796642</c:v>
              </c:pt>
            </c:numLit>
          </c:val>
          <c:extLst>
            <c:ext xmlns:c16="http://schemas.microsoft.com/office/drawing/2014/chart" uri="{C3380CC4-5D6E-409C-BE32-E72D297353CC}">
              <c16:uniqueId val="{00000001-5DF8-4B52-A78C-503E4F03E273}"/>
            </c:ext>
          </c:extLst>
        </c:ser>
        <c:dLbls>
          <c:showLegendKey val="0"/>
          <c:showVal val="0"/>
          <c:showCatName val="0"/>
          <c:showSerName val="0"/>
          <c:showPercent val="0"/>
          <c:showBubbleSize val="0"/>
        </c:dLbls>
        <c:gapWidth val="150"/>
        <c:axId val="680193536"/>
        <c:axId val="680190176"/>
      </c:barChart>
      <c:catAx>
        <c:axId val="680193536"/>
        <c:scaling>
          <c:orientation val="minMax"/>
        </c:scaling>
        <c:delete val="0"/>
        <c:axPos val="l"/>
        <c:numFmt formatCode="General" sourceLinked="1"/>
        <c:majorTickMark val="out"/>
        <c:minorTickMark val="none"/>
        <c:tickLblPos val="nextTo"/>
        <c:crossAx val="680190176"/>
        <c:crosses val="autoZero"/>
        <c:auto val="1"/>
        <c:lblAlgn val="ctr"/>
        <c:lblOffset val="100"/>
        <c:noMultiLvlLbl val="0"/>
      </c:catAx>
      <c:valAx>
        <c:axId val="680190176"/>
        <c:scaling>
          <c:orientation val="minMax"/>
        </c:scaling>
        <c:delete val="0"/>
        <c:axPos val="b"/>
        <c:majorGridlines>
          <c:spPr>
            <a:ln>
              <a:solidFill>
                <a:srgbClr val="D2D2D2"/>
              </a:solidFill>
            </a:ln>
          </c:spPr>
        </c:majorGridlines>
        <c:numFmt formatCode="General" sourceLinked="1"/>
        <c:majorTickMark val="out"/>
        <c:minorTickMark val="none"/>
        <c:tickLblPos val="nextTo"/>
        <c:crossAx val="680193536"/>
        <c:crosses val="autoZero"/>
        <c:crossBetween val="between"/>
      </c:valAx>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pPr>
            <a:r>
              <a:rPr lang="es-ES"/>
              <a:t>Análisis de Tendencia Central</a:t>
            </a:r>
          </a:p>
        </c:rich>
      </c:tx>
      <c:overlay val="0"/>
    </c:title>
    <c:autoTitleDeleted val="0"/>
    <c:plotArea>
      <c:layout/>
      <c:barChart>
        <c:barDir val="col"/>
        <c:grouping val="clustered"/>
        <c:varyColors val="0"/>
        <c:ser>
          <c:idx val="0"/>
          <c:order val="0"/>
          <c:tx>
            <c:v>Tendencia</c:v>
          </c:tx>
          <c:invertIfNegative val="0"/>
          <c:dPt>
            <c:idx val="0"/>
            <c:invertIfNegative val="0"/>
            <c:bubble3D val="0"/>
            <c:spPr>
              <a:solidFill>
                <a:srgbClr val="9BC2E6"/>
              </a:solidFill>
              <a:ln w="12700">
                <a:solidFill>
                  <a:srgbClr val="2F75B5"/>
                </a:solidFill>
              </a:ln>
            </c:spPr>
            <c:extLst>
              <c:ext xmlns:c16="http://schemas.microsoft.com/office/drawing/2014/chart" uri="{C3380CC4-5D6E-409C-BE32-E72D297353CC}">
                <c16:uniqueId val="{00000002-7606-4B66-B523-5CD554EA20DA}"/>
              </c:ext>
            </c:extLst>
          </c:dPt>
          <c:dPt>
            <c:idx val="1"/>
            <c:invertIfNegative val="0"/>
            <c:bubble3D val="0"/>
            <c:spPr>
              <a:solidFill>
                <a:srgbClr val="FFC000"/>
              </a:solidFill>
              <a:ln w="12700">
                <a:solidFill>
                  <a:srgbClr val="BF9000"/>
                </a:solidFill>
              </a:ln>
            </c:spPr>
            <c:extLst>
              <c:ext xmlns:c16="http://schemas.microsoft.com/office/drawing/2014/chart" uri="{C3380CC4-5D6E-409C-BE32-E72D297353CC}">
                <c16:uniqueId val="{00000003-7606-4B66-B523-5CD554EA20DA}"/>
              </c:ext>
            </c:extLst>
          </c:dPt>
          <c:dPt>
            <c:idx val="2"/>
            <c:invertIfNegative val="0"/>
            <c:bubble3D val="0"/>
            <c:spPr>
              <a:solidFill>
                <a:srgbClr val="A9D08E"/>
              </a:solidFill>
              <a:ln w="12700">
                <a:solidFill>
                  <a:srgbClr val="548235"/>
                </a:solidFill>
              </a:ln>
            </c:spPr>
            <c:extLst>
              <c:ext xmlns:c16="http://schemas.microsoft.com/office/drawing/2014/chart" uri="{C3380CC4-5D6E-409C-BE32-E72D297353CC}">
                <c16:uniqueId val="{00000004-7606-4B66-B523-5CD554EA20DA}"/>
              </c:ext>
            </c:extLst>
          </c:dPt>
          <c:dLbls>
            <c:numFmt formatCode="0.00" sourceLinked="0"/>
            <c:spPr>
              <a:noFill/>
              <a:ln>
                <a:noFill/>
              </a:ln>
              <a:effectLst/>
            </c:spPr>
            <c:txPr>
              <a:bodyPr wrap="square" lIns="38100" tIns="19050" rIns="38100" bIns="19050" anchor="ctr">
                <a:spAutoFit/>
              </a:bodyPr>
              <a:lstStyle/>
              <a:p>
                <a:pPr>
                  <a:defRPr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Media</c:v>
              </c:pt>
              <c:pt idx="1">
                <c:v>Media Recortada</c:v>
              </c:pt>
              <c:pt idx="2">
                <c:v>Mediana</c:v>
              </c:pt>
            </c:strLit>
          </c:cat>
          <c:val>
            <c:numLit>
              <c:formatCode>General</c:formatCode>
              <c:ptCount val="3"/>
              <c:pt idx="0">
                <c:v>4.9510526315789454</c:v>
              </c:pt>
              <c:pt idx="1">
                <c:v>4.9373563218390792</c:v>
              </c:pt>
              <c:pt idx="2">
                <c:v>5.05</c:v>
              </c:pt>
            </c:numLit>
          </c:val>
          <c:extLst>
            <c:ext xmlns:c16="http://schemas.microsoft.com/office/drawing/2014/chart" uri="{C3380CC4-5D6E-409C-BE32-E72D297353CC}">
              <c16:uniqueId val="{00000001-7606-4B66-B523-5CD554EA20DA}"/>
            </c:ext>
          </c:extLst>
        </c:ser>
        <c:dLbls>
          <c:showLegendKey val="0"/>
          <c:showVal val="0"/>
          <c:showCatName val="0"/>
          <c:showSerName val="0"/>
          <c:showPercent val="0"/>
          <c:showBubbleSize val="0"/>
        </c:dLbls>
        <c:gapWidth val="100"/>
        <c:axId val="543816416"/>
        <c:axId val="543814496"/>
      </c:barChart>
      <c:catAx>
        <c:axId val="543816416"/>
        <c:scaling>
          <c:orientation val="minMax"/>
        </c:scaling>
        <c:delete val="0"/>
        <c:axPos val="b"/>
        <c:numFmt formatCode="General" sourceLinked="1"/>
        <c:majorTickMark val="out"/>
        <c:minorTickMark val="none"/>
        <c:tickLblPos val="nextTo"/>
        <c:spPr>
          <a:ln>
            <a:solidFill>
              <a:srgbClr val="969696"/>
            </a:solidFill>
          </a:ln>
        </c:spPr>
        <c:txPr>
          <a:bodyPr/>
          <a:lstStyle/>
          <a:p>
            <a:pPr>
              <a:defRPr sz="900"/>
            </a:pPr>
            <a:endParaRPr lang="es-ES"/>
          </a:p>
        </c:txPr>
        <c:crossAx val="543814496"/>
        <c:crosses val="autoZero"/>
        <c:auto val="1"/>
        <c:lblAlgn val="ctr"/>
        <c:lblOffset val="100"/>
        <c:noMultiLvlLbl val="0"/>
      </c:catAx>
      <c:valAx>
        <c:axId val="543814496"/>
        <c:scaling>
          <c:orientation val="minMax"/>
          <c:max val="10"/>
          <c:min val="0"/>
        </c:scaling>
        <c:delete val="0"/>
        <c:axPos val="l"/>
        <c:majorGridlines>
          <c:spPr>
            <a:ln>
              <a:solidFill>
                <a:srgbClr val="E1E1E1"/>
              </a:solidFill>
            </a:ln>
          </c:spPr>
        </c:majorGridlines>
        <c:numFmt formatCode="0.0" sourceLinked="0"/>
        <c:majorTickMark val="out"/>
        <c:minorTickMark val="none"/>
        <c:tickLblPos val="nextTo"/>
        <c:crossAx val="543816416"/>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8333333333333334E-2"/>
          <c:y val="8.7999999999999995E-2"/>
          <c:w val="0.45833333333333331"/>
          <c:h val="0.88"/>
        </c:manualLayout>
      </c:layout>
      <c:doughnutChart>
        <c:varyColors val="1"/>
        <c:ser>
          <c:idx val="0"/>
          <c:order val="0"/>
          <c:spPr>
            <a:solidFill>
              <a:srgbClr val="4472C4"/>
            </a:solidFill>
            <a:ln>
              <a:noFill/>
            </a:ln>
            <a:effectLst/>
            <a:extLst>
              <a:ext uri="{91240B29-F687-4F45-9708-019B960494DF}">
                <a14:hiddenLine xmlns:a14="http://schemas.microsoft.com/office/drawing/2010/main">
                  <a:noFill/>
                </a14:hiddenLine>
              </a:ext>
            </a:extLst>
          </c:spPr>
          <c:dPt>
            <c:idx val="0"/>
            <c:bubble3D val="0"/>
            <c:spPr>
              <a:solidFill>
                <a:srgbClr val="ED7D3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896A-4886-8AE0-81DEAD3FF114}"/>
              </c:ext>
            </c:extLst>
          </c:dPt>
          <c:dPt>
            <c:idx val="1"/>
            <c:bubble3D val="0"/>
            <c:spPr>
              <a:solidFill>
                <a:srgbClr val="E1E1E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896A-4886-8AE0-81DEAD3FF114}"/>
              </c:ext>
            </c:extLst>
          </c:dPt>
          <c:val>
            <c:numLit>
              <c:formatCode>General</c:formatCode>
              <c:ptCount val="2"/>
              <c:pt idx="0">
                <c:v>0.52631578947368418</c:v>
              </c:pt>
              <c:pt idx="1">
                <c:v>0.47368421052631582</c:v>
              </c:pt>
            </c:numLit>
          </c:val>
          <c:extLst>
            <c:ext xmlns:c16="http://schemas.microsoft.com/office/drawing/2014/chart" uri="{C3380CC4-5D6E-409C-BE32-E72D297353CC}">
              <c16:uniqueId val="{00000001-896A-4886-8AE0-81DEAD3FF114}"/>
            </c:ext>
          </c:extLst>
        </c:ser>
        <c:dLbls>
          <c:showLegendKey val="0"/>
          <c:showVal val="0"/>
          <c:showCatName val="0"/>
          <c:showSerName val="0"/>
          <c:showPercent val="0"/>
          <c:showBubbleSize val="0"/>
          <c:showLeaderLines val="1"/>
        </c:dLbls>
        <c:firstSliceAng val="0"/>
        <c:holeSize val="70"/>
      </c:doughnutChart>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38100">
      <a:solidFill>
        <a:srgbClr val="000000"/>
      </a:solidFill>
    </a:ln>
    <a:extLst>
      <a:ext uri="{909E8E84-426E-40DD-AFC4-6F175D3DCCD1}">
        <a14:hiddenFill xmlns:a14="http://schemas.microsoft.com/office/drawing/2010/main">
          <a:solidFill>
            <a:srgbClr val="FFFFFF"/>
          </a:solidFill>
        </a14:hiddenFill>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8333333333333334E-2"/>
          <c:y val="8.7999999999999995E-2"/>
          <c:w val="0.45833333333333331"/>
          <c:h val="0.88"/>
        </c:manualLayout>
      </c:layout>
      <c:doughnutChart>
        <c:varyColors val="1"/>
        <c:ser>
          <c:idx val="0"/>
          <c:order val="0"/>
          <c:spPr>
            <a:solidFill>
              <a:srgbClr val="4472C4"/>
            </a:solidFill>
            <a:ln>
              <a:noFill/>
            </a:ln>
            <a:effectLst/>
            <a:extLst>
              <a:ext uri="{91240B29-F687-4F45-9708-019B960494DF}">
                <a14:hiddenLine xmlns:a14="http://schemas.microsoft.com/office/drawing/2010/main">
                  <a:noFill/>
                </a14:hiddenLine>
              </a:ext>
            </a:extLst>
          </c:spPr>
          <c:dPt>
            <c:idx val="0"/>
            <c:bubble3D val="0"/>
            <c:spPr>
              <a:solidFill>
                <a:srgbClr val="ED7D3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8378-466A-BDD2-A5125D2971DA}"/>
              </c:ext>
            </c:extLst>
          </c:dPt>
          <c:dPt>
            <c:idx val="1"/>
            <c:bubble3D val="0"/>
            <c:spPr>
              <a:solidFill>
                <a:srgbClr val="E1E1E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8378-466A-BDD2-A5125D2971DA}"/>
              </c:ext>
            </c:extLst>
          </c:dPt>
          <c:val>
            <c:numLit>
              <c:formatCode>General</c:formatCode>
              <c:ptCount val="2"/>
              <c:pt idx="0">
                <c:v>3.1044444444444457</c:v>
              </c:pt>
              <c:pt idx="1">
                <c:v>6.8955555555555543</c:v>
              </c:pt>
            </c:numLit>
          </c:val>
          <c:extLst>
            <c:ext xmlns:c16="http://schemas.microsoft.com/office/drawing/2014/chart" uri="{C3380CC4-5D6E-409C-BE32-E72D297353CC}">
              <c16:uniqueId val="{00000001-8378-466A-BDD2-A5125D2971DA}"/>
            </c:ext>
          </c:extLst>
        </c:ser>
        <c:dLbls>
          <c:showLegendKey val="0"/>
          <c:showVal val="0"/>
          <c:showCatName val="0"/>
          <c:showSerName val="0"/>
          <c:showPercent val="0"/>
          <c:showBubbleSize val="0"/>
          <c:showLeaderLines val="1"/>
        </c:dLbls>
        <c:firstSliceAng val="0"/>
        <c:holeSize val="70"/>
      </c:doughnutChart>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38100">
      <a:solidFill>
        <a:srgbClr val="000000"/>
      </a:solidFill>
    </a:ln>
    <a:extLst>
      <a:ext uri="{909E8E84-426E-40DD-AFC4-6F175D3DCCD1}">
        <a14:hiddenFill xmlns:a14="http://schemas.microsoft.com/office/drawing/2010/main">
          <a:solidFill>
            <a:srgbClr val="FFFFFF"/>
          </a:solidFill>
        </a14:hiddenFill>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rgbClr val="000000"/>
                </a:solidFill>
                <a:latin typeface="+mn-lt"/>
                <a:ea typeface="+mn-ea"/>
                <a:cs typeface="+mn-cs"/>
              </a:defRPr>
            </a:pPr>
            <a:r>
              <a:rPr lang="es-ES" sz="1800" b="1">
                <a:solidFill>
                  <a:srgbClr val="000000"/>
                </a:solidFill>
              </a:rPr>
              <a:t>Distribución de Notas</a:t>
            </a:r>
          </a:p>
        </c:rich>
      </c:tx>
      <c:overlay val="0"/>
      <c:spPr>
        <a:noFill/>
        <a:ln>
          <a:noFill/>
        </a:ln>
        <a:effectLst/>
      </c:spPr>
      <c:txPr>
        <a:bodyPr rot="0" spcFirstLastPara="1" vertOverflow="ellipsis" vert="horz" wrap="square" anchor="ctr" anchorCtr="1"/>
        <a:lstStyle/>
        <a:p>
          <a:pPr>
            <a:defRPr sz="1800" b="1" i="0" u="none" strike="noStrike" kern="1200" spc="0" baseline="0">
              <a:solidFill>
                <a:srgbClr val="000000"/>
              </a:solidFill>
              <a:latin typeface="+mn-lt"/>
              <a:ea typeface="+mn-ea"/>
              <a:cs typeface="+mn-cs"/>
            </a:defRPr>
          </a:pPr>
          <a:endParaRPr lang="es-ES"/>
        </a:p>
      </c:txPr>
    </c:title>
    <c:autoTitleDeleted val="0"/>
    <c:plotArea>
      <c:layout/>
      <c:barChart>
        <c:barDir val="bar"/>
        <c:grouping val="stacked"/>
        <c:varyColors val="0"/>
        <c:ser>
          <c:idx val="0"/>
          <c:order val="0"/>
          <c:spPr>
            <a:noFill/>
            <a:ln>
              <a:noFill/>
            </a:ln>
            <a:effectLst/>
            <a:extLst>
              <a:ext uri="{909E8E84-426E-40DD-AFC4-6F175D3DCCD1}">
                <a14:hiddenFill xmlns:a14="http://schemas.microsoft.com/office/drawing/2010/main">
                  <a:solidFill>
                    <a:srgbClr val="4472C4"/>
                  </a:solidFill>
                </a14:hiddenFill>
              </a:ext>
            </a:extLst>
          </c:spPr>
          <c:invertIfNegative val="0"/>
          <c:errBars>
            <c:errBarType val="minus"/>
            <c:errValType val="cust"/>
            <c:noEndCap val="0"/>
            <c:minus>
              <c:numLit>
                <c:formatCode>General</c:formatCode>
                <c:ptCount val="1"/>
                <c:pt idx="0">
                  <c:v>2.8499999999999996</c:v>
                </c:pt>
              </c:numLit>
            </c:minus>
            <c:spPr>
              <a:noFill/>
              <a:ln w="28575" cap="flat" cmpd="sng" algn="ctr">
                <a:solidFill>
                  <a:srgbClr val="000000"/>
                </a:solidFill>
                <a:round/>
              </a:ln>
              <a:effectLst/>
            </c:spPr>
          </c:errBars>
          <c:val>
            <c:numLit>
              <c:formatCode>General</c:formatCode>
              <c:ptCount val="1"/>
              <c:pt idx="0">
                <c:v>3.3</c:v>
              </c:pt>
            </c:numLit>
          </c:val>
          <c:extLst>
            <c:ext xmlns:c16="http://schemas.microsoft.com/office/drawing/2014/chart" uri="{C3380CC4-5D6E-409C-BE32-E72D297353CC}">
              <c16:uniqueId val="{00000001-1BBC-4A4F-9686-6AA57EC13374}"/>
            </c:ext>
          </c:extLst>
        </c:ser>
        <c:ser>
          <c:idx val="1"/>
          <c:order val="1"/>
          <c:spPr>
            <a:solidFill>
              <a:srgbClr val="B4D2F5"/>
            </a:solidFill>
            <a:ln w="28575">
              <a:solidFill>
                <a:srgbClr val="000000"/>
              </a:solidFill>
            </a:ln>
            <a:effectLst/>
          </c:spPr>
          <c:invertIfNegative val="0"/>
          <c:val>
            <c:numLit>
              <c:formatCode>General</c:formatCode>
              <c:ptCount val="1"/>
              <c:pt idx="0">
                <c:v>1.75</c:v>
              </c:pt>
            </c:numLit>
          </c:val>
          <c:extLst>
            <c:ext xmlns:c16="http://schemas.microsoft.com/office/drawing/2014/chart" uri="{C3380CC4-5D6E-409C-BE32-E72D297353CC}">
              <c16:uniqueId val="{00000002-1BBC-4A4F-9686-6AA57EC13374}"/>
            </c:ext>
          </c:extLst>
        </c:ser>
        <c:ser>
          <c:idx val="2"/>
          <c:order val="2"/>
          <c:spPr>
            <a:solidFill>
              <a:srgbClr val="B4D2F5"/>
            </a:solidFill>
            <a:ln w="28575">
              <a:solidFill>
                <a:srgbClr val="000000"/>
              </a:solidFill>
            </a:ln>
            <a:effectLst/>
          </c:spPr>
          <c:invertIfNegative val="0"/>
          <c:errBars>
            <c:errBarType val="plus"/>
            <c:errValType val="cust"/>
            <c:noEndCap val="0"/>
            <c:plus>
              <c:numLit>
                <c:formatCode>General</c:formatCode>
                <c:ptCount val="1"/>
                <c:pt idx="0">
                  <c:v>3.3</c:v>
                </c:pt>
              </c:numLit>
            </c:plus>
            <c:spPr>
              <a:noFill/>
              <a:ln w="28575" cap="flat" cmpd="sng" algn="ctr">
                <a:solidFill>
                  <a:srgbClr val="000000"/>
                </a:solidFill>
                <a:round/>
              </a:ln>
              <a:effectLst/>
            </c:spPr>
          </c:errBars>
          <c:val>
            <c:numLit>
              <c:formatCode>General</c:formatCode>
              <c:ptCount val="1"/>
              <c:pt idx="0">
                <c:v>1.4000000000000004</c:v>
              </c:pt>
            </c:numLit>
          </c:val>
          <c:extLst>
            <c:ext xmlns:c16="http://schemas.microsoft.com/office/drawing/2014/chart" uri="{C3380CC4-5D6E-409C-BE32-E72D297353CC}">
              <c16:uniqueId val="{00000003-1BBC-4A4F-9686-6AA57EC13374}"/>
            </c:ext>
          </c:extLst>
        </c:ser>
        <c:dLbls>
          <c:showLegendKey val="0"/>
          <c:showVal val="0"/>
          <c:showCatName val="0"/>
          <c:showSerName val="0"/>
          <c:showPercent val="0"/>
          <c:showBubbleSize val="0"/>
        </c:dLbls>
        <c:gapWidth val="150"/>
        <c:overlap val="100"/>
        <c:serLines>
          <c:spPr>
            <a:ln w="28575" cap="flat" cmpd="sng" algn="ctr">
              <a:solidFill>
                <a:srgbClr val="000000"/>
              </a:solidFill>
              <a:round/>
            </a:ln>
            <a:effectLst/>
          </c:spPr>
        </c:serLines>
        <c:axId val="679881744"/>
        <c:axId val="679881264"/>
      </c:barChart>
      <c:catAx>
        <c:axId val="679881744"/>
        <c:scaling>
          <c:orientation val="minMax"/>
        </c:scaling>
        <c:delete val="1"/>
        <c:axPos val="l"/>
        <c:majorTickMark val="none"/>
        <c:minorTickMark val="none"/>
        <c:tickLblPos val="nextTo"/>
        <c:crossAx val="679881264"/>
        <c:crosses val="autoZero"/>
        <c:auto val="1"/>
        <c:lblAlgn val="ctr"/>
        <c:lblOffset val="100"/>
        <c:noMultiLvlLbl val="0"/>
      </c:catAx>
      <c:valAx>
        <c:axId val="67988126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679881744"/>
        <c:crosses val="autoZero"/>
        <c:crossBetween val="between"/>
        <c:majorUnit val="1"/>
      </c:valAx>
      <c:spPr>
        <a:solidFill>
          <a:srgbClr val="FFFFFF"/>
        </a:solid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cap="flat" cmpd="sng" algn="ctr">
      <a:solidFill>
        <a:srgbClr val="000000"/>
      </a:solidFill>
      <a:round/>
    </a:ln>
    <a:effectLst/>
  </c:spPr>
  <c:txPr>
    <a:bodyPr/>
    <a:lstStyle/>
    <a:p>
      <a:pPr>
        <a:defRPr/>
      </a:pPr>
      <a:endParaRPr lang="es-E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Evolución de Notas: Pepe Garcia Garcia</a:t>
            </a:r>
          </a:p>
        </c:rich>
      </c:tx>
      <c:overlay val="0"/>
    </c:title>
    <c:autoTitleDeleted val="0"/>
    <c:plotArea>
      <c:layout/>
      <c:lineChart>
        <c:grouping val="standard"/>
        <c:varyColors val="0"/>
        <c:ser>
          <c:idx val="0"/>
          <c:order val="0"/>
          <c:tx>
            <c:v>Progreso Alumno</c:v>
          </c:tx>
          <c:spPr>
            <a:ln w="22225">
              <a:solidFill>
                <a:srgbClr val="2E75B6"/>
              </a:solidFill>
              <a:prstDash val="dash"/>
            </a:ln>
          </c:spPr>
          <c:marker>
            <c:symbol val="circle"/>
            <c:size val="6"/>
            <c:spPr>
              <a:solidFill>
                <a:srgbClr val="2E75B6"/>
              </a:solidFill>
              <a:ln w="22225">
                <a:solidFill>
                  <a:srgbClr val="2E75B6"/>
                </a:solidFill>
                <a:prstDash val="dash"/>
              </a:ln>
            </c:spPr>
          </c:marker>
          <c:dLbls>
            <c:dLbl>
              <c:idx val="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75-4295-928C-E1334FCDF6A8}"/>
                </c:ext>
              </c:extLst>
            </c:dLbl>
            <c:dLbl>
              <c:idx val="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275-4295-928C-E1334FCDF6A8}"/>
                </c:ext>
              </c:extLst>
            </c:dLbl>
            <c:dLbl>
              <c:idx val="2"/>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275-4295-928C-E1334FCDF6A8}"/>
                </c:ext>
              </c:extLst>
            </c:dLbl>
            <c:dLbl>
              <c:idx val="3"/>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275-4295-928C-E1334FCDF6A8}"/>
                </c:ext>
              </c:extLst>
            </c:dLbl>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275-4295-928C-E1334FCDF6A8}"/>
                </c:ext>
              </c:extLst>
            </c:dLbl>
            <c:numFmt formatCode="0.00" sourceLinked="0"/>
            <c:spPr>
              <a:noFill/>
              <a:ln>
                <a:noFill/>
              </a:ln>
              <a:effectLst/>
            </c:spPr>
            <c:txPr>
              <a:bodyPr wrap="square" lIns="38100" tIns="19050" rIns="38100" bIns="19050" anchor="ctr">
                <a:spAutoFit/>
              </a:bodyPr>
              <a:lstStyle/>
              <a:p>
                <a:pPr>
                  <a:defRPr sz="900" b="1">
                    <a:solidFill>
                      <a:srgbClr val="2E75B6"/>
                    </a:solidFil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 Pepe Garcia Garcia'!$A$3:$E$3</c:f>
              <c:strCache>
                <c:ptCount val="5"/>
                <c:pt idx="0">
                  <c:v>1º PARCIAL (15%)</c:v>
                </c:pt>
                <c:pt idx="1">
                  <c:v>2º PARCIAL (15%)</c:v>
                </c:pt>
                <c:pt idx="2">
                  <c:v>MATLAB (15%)</c:v>
                </c:pt>
                <c:pt idx="3">
                  <c:v>ACT COMP (15%)</c:v>
                </c:pt>
                <c:pt idx="4">
                  <c:v>EX FINAL (40%)</c:v>
                </c:pt>
              </c:strCache>
            </c:strRef>
          </c:cat>
          <c:val>
            <c:numLit>
              <c:formatCode>General</c:formatCode>
              <c:ptCount val="5"/>
              <c:pt idx="0">
                <c:v>4</c:v>
              </c:pt>
              <c:pt idx="1">
                <c:v>3.5</c:v>
              </c:pt>
              <c:pt idx="2">
                <c:v>3.75</c:v>
              </c:pt>
              <c:pt idx="3">
                <c:v>7.6</c:v>
              </c:pt>
              <c:pt idx="4">
                <c:v>4.75</c:v>
              </c:pt>
            </c:numLit>
          </c:val>
          <c:smooth val="0"/>
          <c:extLst>
            <c:ext xmlns:c16="http://schemas.microsoft.com/office/drawing/2014/chart" uri="{C3380CC4-5D6E-409C-BE32-E72D297353CC}">
              <c16:uniqueId val="{00000001-D275-4295-928C-E1334FCDF6A8}"/>
            </c:ext>
          </c:extLst>
        </c:ser>
        <c:ser>
          <c:idx val="1"/>
          <c:order val="1"/>
          <c:tx>
            <c:v>Media Clase</c:v>
          </c:tx>
          <c:spPr>
            <a:ln w="15875">
              <a:solidFill>
                <a:srgbClr val="969696"/>
              </a:solidFill>
            </a:ln>
          </c:spPr>
          <c:marker>
            <c:symbol val="square"/>
            <c:size val="6"/>
            <c:spPr>
              <a:solidFill>
                <a:srgbClr val="808080"/>
              </a:solidFill>
              <a:ln w="15875">
                <a:solidFill>
                  <a:srgbClr val="969696"/>
                </a:solid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75-4295-928C-E1334FCDF6A8}"/>
                </c:ext>
              </c:extLst>
            </c:dLbl>
            <c:dLbl>
              <c:idx val="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275-4295-928C-E1334FCDF6A8}"/>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275-4295-928C-E1334FCDF6A8}"/>
                </c:ext>
              </c:extLst>
            </c:dLbl>
            <c:dLbl>
              <c:idx val="3"/>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275-4295-928C-E1334FCDF6A8}"/>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275-4295-928C-E1334FCDF6A8}"/>
                </c:ext>
              </c:extLst>
            </c:dLbl>
            <c:numFmt formatCode="0.00" sourceLinked="0"/>
            <c:spPr>
              <a:noFill/>
              <a:ln>
                <a:noFill/>
              </a:ln>
              <a:effectLst/>
            </c:spPr>
            <c:txPr>
              <a:bodyPr wrap="square" lIns="38100" tIns="19050" rIns="38100" bIns="19050" anchor="ctr">
                <a:spAutoFit/>
              </a:bodyPr>
              <a:lstStyle/>
              <a:p>
                <a:pPr>
                  <a:defRPr sz="900" b="1">
                    <a:solidFill>
                      <a:srgbClr val="808080"/>
                    </a:solidFil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5"/>
              <c:pt idx="0">
                <c:v>5.2226041666666676</c:v>
              </c:pt>
              <c:pt idx="1">
                <c:v>4.9510526315789454</c:v>
              </c:pt>
              <c:pt idx="2">
                <c:v>5.4078947368421053</c:v>
              </c:pt>
              <c:pt idx="3">
                <c:v>5.7315789473684209</c:v>
              </c:pt>
              <c:pt idx="4">
                <c:v>5.3813829787234022</c:v>
              </c:pt>
            </c:numLit>
          </c:val>
          <c:smooth val="0"/>
          <c:extLst>
            <c:ext xmlns:c16="http://schemas.microsoft.com/office/drawing/2014/chart" uri="{C3380CC4-5D6E-409C-BE32-E72D297353CC}">
              <c16:uniqueId val="{00000002-D275-4295-928C-E1334FCDF6A8}"/>
            </c:ext>
          </c:extLst>
        </c:ser>
        <c:dLbls>
          <c:showLegendKey val="0"/>
          <c:showVal val="0"/>
          <c:showCatName val="0"/>
          <c:showSerName val="0"/>
          <c:showPercent val="0"/>
          <c:showBubbleSize val="0"/>
        </c:dLbls>
        <c:marker val="1"/>
        <c:smooth val="0"/>
        <c:axId val="416415856"/>
        <c:axId val="416400976"/>
      </c:lineChart>
      <c:catAx>
        <c:axId val="416415856"/>
        <c:scaling>
          <c:orientation val="minMax"/>
        </c:scaling>
        <c:delete val="0"/>
        <c:axPos val="b"/>
        <c:numFmt formatCode="General" sourceLinked="1"/>
        <c:majorTickMark val="out"/>
        <c:minorTickMark val="none"/>
        <c:tickLblPos val="nextTo"/>
        <c:spPr>
          <a:ln w="38100">
            <a:solidFill>
              <a:srgbClr val="000000"/>
            </a:solidFill>
          </a:ln>
        </c:spPr>
        <c:crossAx val="416400976"/>
        <c:crosses val="autoZero"/>
        <c:auto val="1"/>
        <c:lblAlgn val="ctr"/>
        <c:lblOffset val="100"/>
        <c:noMultiLvlLbl val="0"/>
      </c:catAx>
      <c:valAx>
        <c:axId val="416400976"/>
        <c:scaling>
          <c:orientation val="minMax"/>
          <c:max val="10"/>
          <c:min val="0"/>
        </c:scaling>
        <c:delete val="0"/>
        <c:axPos val="l"/>
        <c:numFmt formatCode="General" sourceLinked="1"/>
        <c:majorTickMark val="out"/>
        <c:minorTickMark val="none"/>
        <c:tickLblPos val="nextTo"/>
        <c:spPr>
          <a:ln w="38100">
            <a:solidFill>
              <a:srgbClr val="000000"/>
            </a:solidFill>
          </a:ln>
        </c:spPr>
        <c:crossAx val="416415856"/>
        <c:crosses val="autoZero"/>
        <c:crossBetween val="between"/>
      </c:valAx>
      <c:spPr>
        <a:noFill/>
        <a:extLst>
          <a:ext uri="{909E8E84-426E-40DD-AFC4-6F175D3DCCD1}">
            <a14:hiddenFill xmlns:a14="http://schemas.microsoft.com/office/drawing/2010/main">
              <a:solidFill>
                <a:srgbClr val="FFFFFF"/>
              </a:solidFill>
            </a14:hiddenFill>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6350" cap="flat" cmpd="sng" algn="ctr">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s-ES" sz="1200" b="1"/>
              <a:t>Comparativa por Bloques: Alumno vs Clase</a:t>
            </a:r>
          </a:p>
        </c:rich>
      </c:tx>
      <c:overlay val="0"/>
    </c:title>
    <c:autoTitleDeleted val="0"/>
    <c:plotArea>
      <c:layout/>
      <c:barChart>
        <c:barDir val="col"/>
        <c:grouping val="clustered"/>
        <c:varyColors val="0"/>
        <c:ser>
          <c:idx val="0"/>
          <c:order val="0"/>
          <c:tx>
            <c:v>Alumno</c:v>
          </c:tx>
          <c:spPr>
            <a:solidFill>
              <a:srgbClr val="2E75B6"/>
            </a:solidFill>
          </c:spPr>
          <c:invertIfNegative val="0"/>
          <c:dLbls>
            <c:numFmt formatCode="0.00" sourceLinked="0"/>
            <c:spPr>
              <a:noFill/>
              <a:ln>
                <a:noFill/>
              </a:ln>
              <a:effectLst/>
            </c:spPr>
            <c:txPr>
              <a:bodyPr wrap="square" lIns="38100" tIns="19050" rIns="38100" bIns="19050" anchor="ctr">
                <a:spAutoFit/>
              </a:bodyPr>
              <a:lstStyle/>
              <a:p>
                <a:pPr>
                  <a:defRPr sz="900"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Exámenes</c:v>
              </c:pt>
              <c:pt idx="1">
                <c:v>Pruebas Comp.</c:v>
              </c:pt>
            </c:strLit>
          </c:cat>
          <c:val>
            <c:numLit>
              <c:formatCode>General</c:formatCode>
              <c:ptCount val="2"/>
              <c:pt idx="0">
                <c:v>4.083333333333333</c:v>
              </c:pt>
              <c:pt idx="1">
                <c:v>5.6749999999999998</c:v>
              </c:pt>
            </c:numLit>
          </c:val>
          <c:extLst>
            <c:ext xmlns:c16="http://schemas.microsoft.com/office/drawing/2014/chart" uri="{C3380CC4-5D6E-409C-BE32-E72D297353CC}">
              <c16:uniqueId val="{00000001-1BFD-4035-8149-4779C68B5020}"/>
            </c:ext>
          </c:extLst>
        </c:ser>
        <c:ser>
          <c:idx val="1"/>
          <c:order val="1"/>
          <c:tx>
            <c:v>Media Clase</c:v>
          </c:tx>
          <c:spPr>
            <a:solidFill>
              <a:srgbClr val="A5A5A5"/>
            </a:solidFill>
          </c:spPr>
          <c:invertIfNegative val="0"/>
          <c:dLbls>
            <c:numFmt formatCode="0.00" sourceLinked="0"/>
            <c:spPr>
              <a:noFill/>
              <a:ln>
                <a:noFill/>
              </a:ln>
              <a:effectLst/>
            </c:spPr>
            <c:txPr>
              <a:bodyPr wrap="square" lIns="38100" tIns="19050" rIns="38100" bIns="19050" anchor="ctr">
                <a:spAutoFit/>
              </a:bodyPr>
              <a:lstStyle/>
              <a:p>
                <a:pPr>
                  <a:defRPr sz="900"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
              <c:pt idx="0">
                <c:v>5.1850132589896711</c:v>
              </c:pt>
              <c:pt idx="1">
                <c:v>5.5697368421052627</c:v>
              </c:pt>
            </c:numLit>
          </c:val>
          <c:extLst>
            <c:ext xmlns:c16="http://schemas.microsoft.com/office/drawing/2014/chart" uri="{C3380CC4-5D6E-409C-BE32-E72D297353CC}">
              <c16:uniqueId val="{00000002-1BFD-4035-8149-4779C68B5020}"/>
            </c:ext>
          </c:extLst>
        </c:ser>
        <c:dLbls>
          <c:showLegendKey val="0"/>
          <c:showVal val="0"/>
          <c:showCatName val="0"/>
          <c:showSerName val="0"/>
          <c:showPercent val="0"/>
          <c:showBubbleSize val="0"/>
        </c:dLbls>
        <c:gapWidth val="150"/>
        <c:axId val="416402416"/>
        <c:axId val="416409616"/>
      </c:barChart>
      <c:catAx>
        <c:axId val="416402416"/>
        <c:scaling>
          <c:orientation val="minMax"/>
        </c:scaling>
        <c:delete val="0"/>
        <c:axPos val="b"/>
        <c:numFmt formatCode="General" sourceLinked="1"/>
        <c:majorTickMark val="out"/>
        <c:minorTickMark val="none"/>
        <c:tickLblPos val="nextTo"/>
        <c:spPr>
          <a:ln w="12700">
            <a:solidFill>
              <a:srgbClr val="000000"/>
            </a:solidFill>
          </a:ln>
        </c:spPr>
        <c:crossAx val="416409616"/>
        <c:crosses val="autoZero"/>
        <c:auto val="1"/>
        <c:lblAlgn val="ctr"/>
        <c:lblOffset val="100"/>
        <c:noMultiLvlLbl val="0"/>
      </c:catAx>
      <c:valAx>
        <c:axId val="416409616"/>
        <c:scaling>
          <c:orientation val="minMax"/>
          <c:max val="10"/>
          <c:min val="0"/>
        </c:scaling>
        <c:delete val="0"/>
        <c:axPos val="l"/>
        <c:majorGridlines>
          <c:spPr>
            <a:ln>
              <a:solidFill>
                <a:srgbClr val="DCDCDC"/>
              </a:solidFill>
            </a:ln>
          </c:spPr>
        </c:majorGridlines>
        <c:numFmt formatCode="General" sourceLinked="1"/>
        <c:majorTickMark val="out"/>
        <c:minorTickMark val="none"/>
        <c:tickLblPos val="nextTo"/>
        <c:spPr>
          <a:ln w="12700">
            <a:solidFill>
              <a:srgbClr val="000000"/>
            </a:solidFill>
          </a:ln>
        </c:spPr>
        <c:crossAx val="416402416"/>
        <c:crosses val="autoZero"/>
        <c:crossBetween val="between"/>
        <c:majorUnit val="2"/>
      </c:valAx>
      <c:spPr>
        <a:solidFill>
          <a:srgbClr val="FFFFFF"/>
        </a:solidFill>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BEBEB"/>
    </a:solidFill>
    <a:ln w="38100">
      <a:solidFill>
        <a:srgbClr val="000000"/>
      </a:solid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s-ES" sz="1100" b="1"/>
              <a:t>Media Parciales vs Final</a:t>
            </a:r>
          </a:p>
        </c:rich>
      </c:tx>
      <c:overlay val="0"/>
    </c:title>
    <c:autoTitleDeleted val="0"/>
    <c:plotArea>
      <c:layout>
        <c:manualLayout>
          <c:xMode val="edge"/>
          <c:yMode val="edge"/>
          <c:x val="0.11176470588235295"/>
          <c:y val="8.461538461538462E-2"/>
          <c:w val="0.79411764705882348"/>
          <c:h val="0.75"/>
        </c:manualLayout>
      </c:layout>
      <c:barChart>
        <c:barDir val="col"/>
        <c:grouping val="clustered"/>
        <c:varyColors val="0"/>
        <c:ser>
          <c:idx val="0"/>
          <c:order val="0"/>
          <c:tx>
            <c:v>Media Parciales</c:v>
          </c:tx>
          <c:spPr>
            <a:solidFill>
              <a:srgbClr val="2E75B6"/>
            </a:solidFill>
          </c:spPr>
          <c:invertIfNegative val="0"/>
          <c:dLbls>
            <c:numFmt formatCode="0.00" sourceLinked="0"/>
            <c:spPr>
              <a:noFill/>
              <a:ln>
                <a:noFill/>
              </a:ln>
              <a:effectLst/>
            </c:spPr>
            <c:txPr>
              <a:bodyPr wrap="square" lIns="38100" tIns="19050" rIns="38100" bIns="19050" anchor="ctr">
                <a:spAutoFit/>
              </a:bodyPr>
              <a:lstStyle/>
              <a:p>
                <a:pPr>
                  <a:defRPr sz="1000"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strLit>
          </c:cat>
          <c:val>
            <c:numLit>
              <c:formatCode>General</c:formatCode>
              <c:ptCount val="1"/>
              <c:pt idx="0">
                <c:v>3.75</c:v>
              </c:pt>
            </c:numLit>
          </c:val>
          <c:extLst>
            <c:ext xmlns:c16="http://schemas.microsoft.com/office/drawing/2014/chart" uri="{C3380CC4-5D6E-409C-BE32-E72D297353CC}">
              <c16:uniqueId val="{00000001-8E06-471E-BDF8-B7CDB7AFE4E3}"/>
            </c:ext>
          </c:extLst>
        </c:ser>
        <c:ser>
          <c:idx val="1"/>
          <c:order val="1"/>
          <c:tx>
            <c:v>Examen Final</c:v>
          </c:tx>
          <c:spPr>
            <a:solidFill>
              <a:srgbClr val="A5A5A5"/>
            </a:solidFill>
          </c:spPr>
          <c:invertIfNegative val="0"/>
          <c:dLbls>
            <c:numFmt formatCode="0.00" sourceLinked="0"/>
            <c:spPr>
              <a:noFill/>
              <a:ln>
                <a:noFill/>
              </a:ln>
              <a:effectLst/>
            </c:spPr>
            <c:txPr>
              <a:bodyPr wrap="square" lIns="38100" tIns="19050" rIns="38100" bIns="19050" anchor="ctr">
                <a:spAutoFit/>
              </a:bodyPr>
              <a:lstStyle/>
              <a:p>
                <a:pPr>
                  <a:defRPr sz="1000"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
              <c:pt idx="0">
                <c:v>4.75</c:v>
              </c:pt>
            </c:numLit>
          </c:val>
          <c:extLst>
            <c:ext xmlns:c16="http://schemas.microsoft.com/office/drawing/2014/chart" uri="{C3380CC4-5D6E-409C-BE32-E72D297353CC}">
              <c16:uniqueId val="{00000002-8E06-471E-BDF8-B7CDB7AFE4E3}"/>
            </c:ext>
          </c:extLst>
        </c:ser>
        <c:dLbls>
          <c:showLegendKey val="0"/>
          <c:showVal val="0"/>
          <c:showCatName val="0"/>
          <c:showSerName val="0"/>
          <c:showPercent val="0"/>
          <c:showBubbleSize val="0"/>
        </c:dLbls>
        <c:gapWidth val="200"/>
        <c:axId val="416425936"/>
        <c:axId val="416429776"/>
      </c:barChart>
      <c:catAx>
        <c:axId val="416425936"/>
        <c:scaling>
          <c:orientation val="minMax"/>
        </c:scaling>
        <c:delete val="0"/>
        <c:axPos val="b"/>
        <c:numFmt formatCode="General" sourceLinked="1"/>
        <c:majorTickMark val="out"/>
        <c:minorTickMark val="none"/>
        <c:tickLblPos val="none"/>
        <c:spPr>
          <a:ln w="12700">
            <a:solidFill>
              <a:srgbClr val="000000"/>
            </a:solidFill>
          </a:ln>
        </c:spPr>
        <c:crossAx val="416429776"/>
        <c:crosses val="autoZero"/>
        <c:auto val="1"/>
        <c:lblAlgn val="ctr"/>
        <c:lblOffset val="100"/>
        <c:noMultiLvlLbl val="0"/>
      </c:catAx>
      <c:valAx>
        <c:axId val="416429776"/>
        <c:scaling>
          <c:orientation val="minMax"/>
          <c:max val="10"/>
          <c:min val="0"/>
        </c:scaling>
        <c:delete val="0"/>
        <c:axPos val="l"/>
        <c:majorGridlines>
          <c:spPr>
            <a:ln>
              <a:solidFill>
                <a:srgbClr val="DCDCDC"/>
              </a:solidFill>
            </a:ln>
          </c:spPr>
        </c:majorGridlines>
        <c:numFmt formatCode="General" sourceLinked="1"/>
        <c:majorTickMark val="out"/>
        <c:minorTickMark val="none"/>
        <c:tickLblPos val="nextTo"/>
        <c:spPr>
          <a:ln w="12700">
            <a:solidFill>
              <a:srgbClr val="000000"/>
            </a:solidFill>
          </a:ln>
        </c:spPr>
        <c:crossAx val="416425936"/>
        <c:crosses val="autoZero"/>
        <c:crossBetween val="between"/>
        <c:majorUnit val="2"/>
      </c:valAx>
      <c:spPr>
        <a:solidFill>
          <a:srgbClr val="FFFFFF"/>
        </a:solidFill>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BEBEB"/>
    </a:solidFill>
    <a:ln w="38100">
      <a:solidFill>
        <a:srgbClr val="000000"/>
      </a:solid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Histograma de Calificaciones</a:t>
            </a:r>
          </a:p>
        </c:rich>
      </c:tx>
      <c:overlay val="0"/>
    </c:title>
    <c:autoTitleDeleted val="0"/>
    <c:plotArea>
      <c:layout/>
      <c:barChart>
        <c:barDir val="col"/>
        <c:grouping val="clustered"/>
        <c:varyColors val="0"/>
        <c:ser>
          <c:idx val="0"/>
          <c:order val="0"/>
          <c:tx>
            <c:v>Distribución Notas</c:v>
          </c:tx>
          <c:invertIfNegative val="0"/>
          <c:dPt>
            <c:idx val="0"/>
            <c:invertIfNegative val="0"/>
            <c:bubble3D val="0"/>
            <c:spPr>
              <a:solidFill>
                <a:srgbClr val="FFB4B4"/>
              </a:solidFill>
            </c:spPr>
            <c:extLst>
              <c:ext xmlns:c16="http://schemas.microsoft.com/office/drawing/2014/chart" uri="{C3380CC4-5D6E-409C-BE32-E72D297353CC}">
                <c16:uniqueId val="{00000002-20A1-4C4D-BB55-0B081FFA56AC}"/>
              </c:ext>
            </c:extLst>
          </c:dPt>
          <c:dPt>
            <c:idx val="1"/>
            <c:invertIfNegative val="0"/>
            <c:bubble3D val="0"/>
            <c:spPr>
              <a:solidFill>
                <a:srgbClr val="FFB4B4"/>
              </a:solidFill>
            </c:spPr>
            <c:extLst>
              <c:ext xmlns:c16="http://schemas.microsoft.com/office/drawing/2014/chart" uri="{C3380CC4-5D6E-409C-BE32-E72D297353CC}">
                <c16:uniqueId val="{00000003-20A1-4C4D-BB55-0B081FFA56AC}"/>
              </c:ext>
            </c:extLst>
          </c:dPt>
          <c:dPt>
            <c:idx val="2"/>
            <c:invertIfNegative val="0"/>
            <c:bubble3D val="0"/>
            <c:spPr>
              <a:solidFill>
                <a:srgbClr val="FFB4B4"/>
              </a:solidFill>
            </c:spPr>
            <c:extLst>
              <c:ext xmlns:c16="http://schemas.microsoft.com/office/drawing/2014/chart" uri="{C3380CC4-5D6E-409C-BE32-E72D297353CC}">
                <c16:uniqueId val="{00000004-20A1-4C4D-BB55-0B081FFA56AC}"/>
              </c:ext>
            </c:extLst>
          </c:dPt>
          <c:dPt>
            <c:idx val="3"/>
            <c:invertIfNegative val="0"/>
            <c:bubble3D val="0"/>
            <c:spPr>
              <a:solidFill>
                <a:srgbClr val="FFC000"/>
              </a:solidFill>
            </c:spPr>
            <c:extLst>
              <c:ext xmlns:c16="http://schemas.microsoft.com/office/drawing/2014/chart" uri="{C3380CC4-5D6E-409C-BE32-E72D297353CC}">
                <c16:uniqueId val="{00000005-20A1-4C4D-BB55-0B081FFA56AC}"/>
              </c:ext>
            </c:extLst>
          </c:dPt>
          <c:dPt>
            <c:idx val="4"/>
            <c:invertIfNegative val="0"/>
            <c:bubble3D val="0"/>
            <c:spPr>
              <a:solidFill>
                <a:srgbClr val="FFC000"/>
              </a:solidFill>
            </c:spPr>
            <c:extLst>
              <c:ext xmlns:c16="http://schemas.microsoft.com/office/drawing/2014/chart" uri="{C3380CC4-5D6E-409C-BE32-E72D297353CC}">
                <c16:uniqueId val="{00000006-20A1-4C4D-BB55-0B081FFA56AC}"/>
              </c:ext>
            </c:extLst>
          </c:dPt>
          <c:dPt>
            <c:idx val="5"/>
            <c:invertIfNegative val="0"/>
            <c:bubble3D val="0"/>
            <c:spPr>
              <a:solidFill>
                <a:srgbClr val="A9D08E"/>
              </a:solidFill>
            </c:spPr>
            <c:extLst>
              <c:ext xmlns:c16="http://schemas.microsoft.com/office/drawing/2014/chart" uri="{C3380CC4-5D6E-409C-BE32-E72D297353CC}">
                <c16:uniqueId val="{00000007-20A1-4C4D-BB55-0B081FFA56AC}"/>
              </c:ext>
            </c:extLst>
          </c:dPt>
          <c:dPt>
            <c:idx val="6"/>
            <c:invertIfNegative val="0"/>
            <c:bubble3D val="0"/>
            <c:spPr>
              <a:solidFill>
                <a:srgbClr val="A9D08E"/>
              </a:solidFill>
            </c:spPr>
            <c:extLst>
              <c:ext xmlns:c16="http://schemas.microsoft.com/office/drawing/2014/chart" uri="{C3380CC4-5D6E-409C-BE32-E72D297353CC}">
                <c16:uniqueId val="{00000008-20A1-4C4D-BB55-0B081FFA56AC}"/>
              </c:ext>
            </c:extLst>
          </c:dPt>
          <c:dPt>
            <c:idx val="7"/>
            <c:invertIfNegative val="0"/>
            <c:bubble3D val="0"/>
            <c:spPr>
              <a:solidFill>
                <a:srgbClr val="9BC2E6"/>
              </a:solidFill>
            </c:spPr>
            <c:extLst>
              <c:ext xmlns:c16="http://schemas.microsoft.com/office/drawing/2014/chart" uri="{C3380CC4-5D6E-409C-BE32-E72D297353CC}">
                <c16:uniqueId val="{00000009-20A1-4C4D-BB55-0B081FFA56AC}"/>
              </c:ext>
            </c:extLst>
          </c:dPt>
          <c:dPt>
            <c:idx val="8"/>
            <c:invertIfNegative val="0"/>
            <c:bubble3D val="0"/>
            <c:spPr>
              <a:solidFill>
                <a:srgbClr val="9BC2E6"/>
              </a:solidFill>
            </c:spPr>
            <c:extLst>
              <c:ext xmlns:c16="http://schemas.microsoft.com/office/drawing/2014/chart" uri="{C3380CC4-5D6E-409C-BE32-E72D297353CC}">
                <c16:uniqueId val="{0000000A-20A1-4C4D-BB55-0B081FFA56AC}"/>
              </c:ext>
            </c:extLst>
          </c:dPt>
          <c:dPt>
            <c:idx val="9"/>
            <c:invertIfNegative val="0"/>
            <c:bubble3D val="0"/>
            <c:spPr>
              <a:solidFill>
                <a:srgbClr val="9BC2E6"/>
              </a:solidFill>
            </c:spPr>
            <c:extLst>
              <c:ext xmlns:c16="http://schemas.microsoft.com/office/drawing/2014/chart" uri="{C3380CC4-5D6E-409C-BE32-E72D297353CC}">
                <c16:uniqueId val="{0000000B-20A1-4C4D-BB55-0B081FFA56A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'Informe ACT COMP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ACT COMP (15%)'!$AA$100:$AA$109</c:f>
              <c:numCache>
                <c:formatCode>General</c:formatCode>
                <c:ptCount val="10"/>
                <c:pt idx="0">
                  <c:v>6</c:v>
                </c:pt>
                <c:pt idx="1">
                  <c:v>6</c:v>
                </c:pt>
                <c:pt idx="2">
                  <c:v>7</c:v>
                </c:pt>
                <c:pt idx="3">
                  <c:v>6</c:v>
                </c:pt>
                <c:pt idx="4">
                  <c:v>5</c:v>
                </c:pt>
                <c:pt idx="5">
                  <c:v>11</c:v>
                </c:pt>
                <c:pt idx="6">
                  <c:v>16</c:v>
                </c:pt>
                <c:pt idx="7">
                  <c:v>16</c:v>
                </c:pt>
                <c:pt idx="8">
                  <c:v>10</c:v>
                </c:pt>
                <c:pt idx="9">
                  <c:v>12</c:v>
                </c:pt>
              </c:numCache>
            </c:numRef>
          </c:val>
          <c:extLst>
            <c:ext xmlns:c16="http://schemas.microsoft.com/office/drawing/2014/chart" uri="{C3380CC4-5D6E-409C-BE32-E72D297353CC}">
              <c16:uniqueId val="{00000001-20A1-4C4D-BB55-0B081FFA56AC}"/>
            </c:ext>
          </c:extLst>
        </c:ser>
        <c:dLbls>
          <c:showLegendKey val="0"/>
          <c:showVal val="0"/>
          <c:showCatName val="0"/>
          <c:showSerName val="0"/>
          <c:showPercent val="0"/>
          <c:showBubbleSize val="0"/>
        </c:dLbls>
        <c:gapWidth val="10"/>
        <c:axId val="548778032"/>
        <c:axId val="548778512"/>
      </c:barChart>
      <c:lineChart>
        <c:grouping val="standard"/>
        <c:varyColors val="0"/>
        <c:ser>
          <c:idx val="2"/>
          <c:order val="2"/>
          <c:tx>
            <c:v>Curva Normal (Gauss)</c:v>
          </c:tx>
          <c:spPr>
            <a:ln w="31750">
              <a:solidFill>
                <a:srgbClr val="000000"/>
              </a:solidFill>
            </a:ln>
          </c:spPr>
          <c:marker>
            <c:symbol val="none"/>
          </c:marker>
          <c:cat>
            <c:strRef>
              <c:f>'Informe ACT COMP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ACT COMP (15%)'!$AC$100:$AC$109</c:f>
              <c:numCache>
                <c:formatCode>General</c:formatCode>
                <c:ptCount val="10"/>
                <c:pt idx="0">
                  <c:v>2.8947557760271545</c:v>
                </c:pt>
                <c:pt idx="1">
                  <c:v>5.7970269499728593</c:v>
                </c:pt>
                <c:pt idx="2">
                  <c:v>9.7588886355382929</c:v>
                </c:pt>
                <c:pt idx="3">
                  <c:v>13.810107434385126</c:v>
                </c:pt>
                <c:pt idx="4">
                  <c:v>16.428405150209677</c:v>
                </c:pt>
                <c:pt idx="5">
                  <c:v>16.428405150209677</c:v>
                </c:pt>
                <c:pt idx="6">
                  <c:v>13.810107434385126</c:v>
                </c:pt>
                <c:pt idx="7">
                  <c:v>9.7588886355382929</c:v>
                </c:pt>
                <c:pt idx="8">
                  <c:v>5.7970269499728593</c:v>
                </c:pt>
                <c:pt idx="9">
                  <c:v>2.8947557760271545</c:v>
                </c:pt>
              </c:numCache>
            </c:numRef>
          </c:val>
          <c:smooth val="1"/>
          <c:extLst>
            <c:ext xmlns:c16="http://schemas.microsoft.com/office/drawing/2014/chart" uri="{C3380CC4-5D6E-409C-BE32-E72D297353CC}">
              <c16:uniqueId val="{0000000D-20A1-4C4D-BB55-0B081FFA56AC}"/>
            </c:ext>
          </c:extLst>
        </c:ser>
        <c:dLbls>
          <c:showLegendKey val="0"/>
          <c:showVal val="0"/>
          <c:showCatName val="0"/>
          <c:showSerName val="0"/>
          <c:showPercent val="0"/>
          <c:showBubbleSize val="0"/>
        </c:dLbls>
        <c:marker val="1"/>
        <c:smooth val="0"/>
        <c:axId val="548778032"/>
        <c:axId val="548778512"/>
      </c:lineChart>
      <c:lineChart>
        <c:grouping val="standard"/>
        <c:varyColors val="0"/>
        <c:ser>
          <c:idx val="1"/>
          <c:order val="1"/>
          <c:tx>
            <c:v>% Acumulado</c:v>
          </c:tx>
          <c:spPr>
            <a:ln w="19050">
              <a:solidFill>
                <a:srgbClr val="FF6600"/>
              </a:solidFill>
            </a:ln>
          </c:spPr>
          <c:marker>
            <c:symbol val="square"/>
            <c:size val="2"/>
            <c:spPr>
              <a:solidFill>
                <a:srgbClr val="FF6600"/>
              </a:solidFill>
              <a:ln w="19050">
                <a:solidFill>
                  <a:srgbClr val="FF6600"/>
                </a:solidFill>
              </a:ln>
            </c:spPr>
          </c:marker>
          <c:cat>
            <c:strRef>
              <c:f>'Informe ACT COMP (15%)'!$Z$100:$Z$109</c:f>
              <c:strCache>
                <c:ptCount val="10"/>
                <c:pt idx="0">
                  <c:v>0-1</c:v>
                </c:pt>
                <c:pt idx="1">
                  <c:v>1-2</c:v>
                </c:pt>
                <c:pt idx="2">
                  <c:v>2-3</c:v>
                </c:pt>
                <c:pt idx="3">
                  <c:v>3-4</c:v>
                </c:pt>
                <c:pt idx="4">
                  <c:v>4-5</c:v>
                </c:pt>
                <c:pt idx="5">
                  <c:v>5-6</c:v>
                </c:pt>
                <c:pt idx="6">
                  <c:v>6-7</c:v>
                </c:pt>
                <c:pt idx="7">
                  <c:v>7-8</c:v>
                </c:pt>
                <c:pt idx="8">
                  <c:v>8-9</c:v>
                </c:pt>
                <c:pt idx="9">
                  <c:v>9-10</c:v>
                </c:pt>
              </c:strCache>
            </c:strRef>
          </c:cat>
          <c:val>
            <c:numRef>
              <c:f>'Informe ACT COMP (15%)'!$AB$100:$AB$109</c:f>
              <c:numCache>
                <c:formatCode>General</c:formatCode>
                <c:ptCount val="10"/>
                <c:pt idx="0">
                  <c:v>6.3157894736842107E-2</c:v>
                </c:pt>
                <c:pt idx="1">
                  <c:v>0.12631578947368421</c:v>
                </c:pt>
                <c:pt idx="2">
                  <c:v>0.2</c:v>
                </c:pt>
                <c:pt idx="3">
                  <c:v>0.26315789473684209</c:v>
                </c:pt>
                <c:pt idx="4">
                  <c:v>0.31578947368421051</c:v>
                </c:pt>
                <c:pt idx="5">
                  <c:v>0.43157894736842106</c:v>
                </c:pt>
                <c:pt idx="6">
                  <c:v>0.6</c:v>
                </c:pt>
                <c:pt idx="7">
                  <c:v>0.76842105263157889</c:v>
                </c:pt>
                <c:pt idx="8">
                  <c:v>0.87368421052631584</c:v>
                </c:pt>
                <c:pt idx="9">
                  <c:v>1</c:v>
                </c:pt>
              </c:numCache>
            </c:numRef>
          </c:val>
          <c:smooth val="0"/>
          <c:extLst>
            <c:ext xmlns:c16="http://schemas.microsoft.com/office/drawing/2014/chart" uri="{C3380CC4-5D6E-409C-BE32-E72D297353CC}">
              <c16:uniqueId val="{0000000C-20A1-4C4D-BB55-0B081FFA56AC}"/>
            </c:ext>
          </c:extLst>
        </c:ser>
        <c:dLbls>
          <c:showLegendKey val="0"/>
          <c:showVal val="0"/>
          <c:showCatName val="0"/>
          <c:showSerName val="0"/>
          <c:showPercent val="0"/>
          <c:showBubbleSize val="0"/>
        </c:dLbls>
        <c:marker val="1"/>
        <c:smooth val="0"/>
        <c:axId val="548760752"/>
        <c:axId val="548777072"/>
      </c:lineChart>
      <c:catAx>
        <c:axId val="548778032"/>
        <c:scaling>
          <c:orientation val="minMax"/>
        </c:scaling>
        <c:delete val="0"/>
        <c:axPos val="b"/>
        <c:numFmt formatCode="General" sourceLinked="1"/>
        <c:majorTickMark val="out"/>
        <c:minorTickMark val="none"/>
        <c:tickLblPos val="nextTo"/>
        <c:crossAx val="548778512"/>
        <c:crosses val="autoZero"/>
        <c:auto val="1"/>
        <c:lblAlgn val="ctr"/>
        <c:lblOffset val="100"/>
        <c:noMultiLvlLbl val="0"/>
      </c:catAx>
      <c:valAx>
        <c:axId val="548778512"/>
        <c:scaling>
          <c:orientation val="minMax"/>
        </c:scaling>
        <c:delete val="0"/>
        <c:axPos val="l"/>
        <c:majorGridlines>
          <c:spPr>
            <a:ln>
              <a:solidFill>
                <a:srgbClr val="D2D2D2"/>
              </a:solidFill>
            </a:ln>
          </c:spPr>
        </c:majorGridlines>
        <c:numFmt formatCode="General" sourceLinked="1"/>
        <c:majorTickMark val="out"/>
        <c:minorTickMark val="none"/>
        <c:tickLblPos val="nextTo"/>
        <c:crossAx val="548778032"/>
        <c:crosses val="autoZero"/>
        <c:crossBetween val="between"/>
      </c:valAx>
      <c:valAx>
        <c:axId val="548777072"/>
        <c:scaling>
          <c:orientation val="minMax"/>
          <c:max val="1"/>
        </c:scaling>
        <c:delete val="0"/>
        <c:axPos val="r"/>
        <c:numFmt formatCode="0%" sourceLinked="0"/>
        <c:majorTickMark val="out"/>
        <c:minorTickMark val="none"/>
        <c:tickLblPos val="nextTo"/>
        <c:crossAx val="548760752"/>
        <c:crosses val="max"/>
        <c:crossBetween val="between"/>
      </c:valAx>
      <c:catAx>
        <c:axId val="548760752"/>
        <c:scaling>
          <c:orientation val="minMax"/>
        </c:scaling>
        <c:delete val="1"/>
        <c:axPos val="b"/>
        <c:numFmt formatCode="General" sourceLinked="1"/>
        <c:majorTickMark val="out"/>
        <c:minorTickMark val="none"/>
        <c:tickLblPos val="nextTo"/>
        <c:crossAx val="548777072"/>
        <c:auto val="1"/>
        <c:lblAlgn val="ctr"/>
        <c:lblOffset val="100"/>
        <c:noMultiLvlLbl val="0"/>
      </c:catAx>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Calidad del Examen</a:t>
            </a:r>
          </a:p>
        </c:rich>
      </c:tx>
      <c:overlay val="0"/>
    </c:title>
    <c:autoTitleDeleted val="0"/>
    <c:plotArea>
      <c:layout/>
      <c:barChart>
        <c:barDir val="bar"/>
        <c:grouping val="clustered"/>
        <c:varyColors val="0"/>
        <c:ser>
          <c:idx val="0"/>
          <c:order val="0"/>
          <c:invertIfNegative val="0"/>
          <c:dPt>
            <c:idx val="0"/>
            <c:invertIfNegative val="0"/>
            <c:bubble3D val="0"/>
            <c:spPr>
              <a:solidFill>
                <a:srgbClr val="9BC2E6"/>
              </a:solidFill>
              <a:ln w="12700">
                <a:solidFill>
                  <a:srgbClr val="2F75B5"/>
                </a:solidFill>
              </a:ln>
            </c:spPr>
            <c:extLst>
              <c:ext xmlns:c16="http://schemas.microsoft.com/office/drawing/2014/chart" uri="{C3380CC4-5D6E-409C-BE32-E72D297353CC}">
                <c16:uniqueId val="{00000002-3255-4070-9339-B965D4B89D0F}"/>
              </c:ext>
            </c:extLst>
          </c:dPt>
          <c:dPt>
            <c:idx val="1"/>
            <c:invertIfNegative val="0"/>
            <c:bubble3D val="0"/>
            <c:spPr>
              <a:solidFill>
                <a:srgbClr val="FFC000"/>
              </a:solidFill>
              <a:ln w="12700">
                <a:solidFill>
                  <a:srgbClr val="BF9000"/>
                </a:solidFill>
              </a:ln>
            </c:spPr>
            <c:extLst>
              <c:ext xmlns:c16="http://schemas.microsoft.com/office/drawing/2014/chart" uri="{C3380CC4-5D6E-409C-BE32-E72D297353CC}">
                <c16:uniqueId val="{00000003-3255-4070-9339-B965D4B89D0F}"/>
              </c:ext>
            </c:extLst>
          </c:dPt>
          <c:dPt>
            <c:idx val="2"/>
            <c:invertIfNegative val="0"/>
            <c:bubble3D val="0"/>
            <c:spPr>
              <a:solidFill>
                <a:srgbClr val="A9D08E"/>
              </a:solidFill>
              <a:ln w="12700">
                <a:solidFill>
                  <a:srgbClr val="548235"/>
                </a:solidFill>
              </a:ln>
            </c:spPr>
            <c:extLst>
              <c:ext xmlns:c16="http://schemas.microsoft.com/office/drawing/2014/chart" uri="{C3380CC4-5D6E-409C-BE32-E72D297353CC}">
                <c16:uniqueId val="{00000004-3255-4070-9339-B965D4B89D0F}"/>
              </c:ext>
            </c:extLst>
          </c:dPt>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Índice Dificultad</c:v>
              </c:pt>
              <c:pt idx="1">
                <c:v>Índice Discriminación</c:v>
              </c:pt>
              <c:pt idx="2">
                <c:v>Coef. Variación</c:v>
              </c:pt>
            </c:strLit>
          </c:cat>
          <c:val>
            <c:numLit>
              <c:formatCode>General</c:formatCode>
              <c:ptCount val="3"/>
              <c:pt idx="0">
                <c:v>0.57315789473684209</c:v>
              </c:pt>
              <c:pt idx="1">
                <c:v>0.69140000000000013</c:v>
              </c:pt>
              <c:pt idx="2">
                <c:v>0.47699902767219099</c:v>
              </c:pt>
            </c:numLit>
          </c:val>
          <c:extLst>
            <c:ext xmlns:c16="http://schemas.microsoft.com/office/drawing/2014/chart" uri="{C3380CC4-5D6E-409C-BE32-E72D297353CC}">
              <c16:uniqueId val="{00000001-3255-4070-9339-B965D4B89D0F}"/>
            </c:ext>
          </c:extLst>
        </c:ser>
        <c:dLbls>
          <c:showLegendKey val="0"/>
          <c:showVal val="0"/>
          <c:showCatName val="0"/>
          <c:showSerName val="0"/>
          <c:showPercent val="0"/>
          <c:showBubbleSize val="0"/>
        </c:dLbls>
        <c:gapWidth val="150"/>
        <c:axId val="548781392"/>
        <c:axId val="548781872"/>
      </c:barChart>
      <c:catAx>
        <c:axId val="548781392"/>
        <c:scaling>
          <c:orientation val="minMax"/>
        </c:scaling>
        <c:delete val="0"/>
        <c:axPos val="l"/>
        <c:numFmt formatCode="General" sourceLinked="1"/>
        <c:majorTickMark val="out"/>
        <c:minorTickMark val="none"/>
        <c:tickLblPos val="nextTo"/>
        <c:crossAx val="548781872"/>
        <c:crosses val="autoZero"/>
        <c:auto val="1"/>
        <c:lblAlgn val="ctr"/>
        <c:lblOffset val="100"/>
        <c:noMultiLvlLbl val="0"/>
      </c:catAx>
      <c:valAx>
        <c:axId val="548781872"/>
        <c:scaling>
          <c:orientation val="minMax"/>
        </c:scaling>
        <c:delete val="0"/>
        <c:axPos val="b"/>
        <c:majorGridlines>
          <c:spPr>
            <a:ln>
              <a:solidFill>
                <a:srgbClr val="D2D2D2"/>
              </a:solidFill>
            </a:ln>
          </c:spPr>
        </c:majorGridlines>
        <c:numFmt formatCode="General" sourceLinked="1"/>
        <c:majorTickMark val="out"/>
        <c:minorTickMark val="none"/>
        <c:tickLblPos val="nextTo"/>
        <c:crossAx val="548781392"/>
        <c:crosses val="autoZero"/>
        <c:crossBetween val="between"/>
      </c:valAx>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pPr>
            <a:r>
              <a:rPr lang="es-ES"/>
              <a:t>Análisis de Tendencia Central</a:t>
            </a:r>
          </a:p>
        </c:rich>
      </c:tx>
      <c:overlay val="0"/>
    </c:title>
    <c:autoTitleDeleted val="0"/>
    <c:plotArea>
      <c:layout/>
      <c:barChart>
        <c:barDir val="col"/>
        <c:grouping val="clustered"/>
        <c:varyColors val="0"/>
        <c:ser>
          <c:idx val="0"/>
          <c:order val="0"/>
          <c:tx>
            <c:v>Tendencia</c:v>
          </c:tx>
          <c:invertIfNegative val="0"/>
          <c:dPt>
            <c:idx val="0"/>
            <c:invertIfNegative val="0"/>
            <c:bubble3D val="0"/>
            <c:spPr>
              <a:solidFill>
                <a:srgbClr val="9BC2E6"/>
              </a:solidFill>
              <a:ln w="12700">
                <a:solidFill>
                  <a:srgbClr val="2F75B5"/>
                </a:solidFill>
              </a:ln>
            </c:spPr>
            <c:extLst>
              <c:ext xmlns:c16="http://schemas.microsoft.com/office/drawing/2014/chart" uri="{C3380CC4-5D6E-409C-BE32-E72D297353CC}">
                <c16:uniqueId val="{00000002-A1C2-44B3-9575-6FAC36DDFF77}"/>
              </c:ext>
            </c:extLst>
          </c:dPt>
          <c:dPt>
            <c:idx val="1"/>
            <c:invertIfNegative val="0"/>
            <c:bubble3D val="0"/>
            <c:spPr>
              <a:solidFill>
                <a:srgbClr val="FFC000"/>
              </a:solidFill>
              <a:ln w="12700">
                <a:solidFill>
                  <a:srgbClr val="BF9000"/>
                </a:solidFill>
              </a:ln>
            </c:spPr>
            <c:extLst>
              <c:ext xmlns:c16="http://schemas.microsoft.com/office/drawing/2014/chart" uri="{C3380CC4-5D6E-409C-BE32-E72D297353CC}">
                <c16:uniqueId val="{00000003-A1C2-44B3-9575-6FAC36DDFF77}"/>
              </c:ext>
            </c:extLst>
          </c:dPt>
          <c:dPt>
            <c:idx val="2"/>
            <c:invertIfNegative val="0"/>
            <c:bubble3D val="0"/>
            <c:spPr>
              <a:solidFill>
                <a:srgbClr val="A9D08E"/>
              </a:solidFill>
              <a:ln w="12700">
                <a:solidFill>
                  <a:srgbClr val="548235"/>
                </a:solidFill>
              </a:ln>
            </c:spPr>
            <c:extLst>
              <c:ext xmlns:c16="http://schemas.microsoft.com/office/drawing/2014/chart" uri="{C3380CC4-5D6E-409C-BE32-E72D297353CC}">
                <c16:uniqueId val="{00000004-A1C2-44B3-9575-6FAC36DDFF77}"/>
              </c:ext>
            </c:extLst>
          </c:dPt>
          <c:dLbls>
            <c:numFmt formatCode="0.00" sourceLinked="0"/>
            <c:spPr>
              <a:noFill/>
              <a:ln>
                <a:noFill/>
              </a:ln>
              <a:effectLst/>
            </c:spPr>
            <c:txPr>
              <a:bodyPr wrap="square" lIns="38100" tIns="19050" rIns="38100" bIns="19050" anchor="ctr">
                <a:spAutoFit/>
              </a:bodyPr>
              <a:lstStyle/>
              <a:p>
                <a:pPr>
                  <a:defRPr b="1"/>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Media</c:v>
              </c:pt>
              <c:pt idx="1">
                <c:v>Media Recortada</c:v>
              </c:pt>
              <c:pt idx="2">
                <c:v>Mediana</c:v>
              </c:pt>
            </c:strLit>
          </c:cat>
          <c:val>
            <c:numLit>
              <c:formatCode>General</c:formatCode>
              <c:ptCount val="3"/>
              <c:pt idx="0">
                <c:v>5.7315789473684209</c:v>
              </c:pt>
              <c:pt idx="1">
                <c:v>5.7804597701149429</c:v>
              </c:pt>
              <c:pt idx="2">
                <c:v>6.25</c:v>
              </c:pt>
            </c:numLit>
          </c:val>
          <c:extLst>
            <c:ext xmlns:c16="http://schemas.microsoft.com/office/drawing/2014/chart" uri="{C3380CC4-5D6E-409C-BE32-E72D297353CC}">
              <c16:uniqueId val="{00000001-A1C2-44B3-9575-6FAC36DDFF77}"/>
            </c:ext>
          </c:extLst>
        </c:ser>
        <c:dLbls>
          <c:showLegendKey val="0"/>
          <c:showVal val="0"/>
          <c:showCatName val="0"/>
          <c:showSerName val="0"/>
          <c:showPercent val="0"/>
          <c:showBubbleSize val="0"/>
        </c:dLbls>
        <c:gapWidth val="100"/>
        <c:axId val="944950832"/>
        <c:axId val="944957552"/>
      </c:barChart>
      <c:catAx>
        <c:axId val="944950832"/>
        <c:scaling>
          <c:orientation val="minMax"/>
        </c:scaling>
        <c:delete val="0"/>
        <c:axPos val="b"/>
        <c:numFmt formatCode="General" sourceLinked="1"/>
        <c:majorTickMark val="out"/>
        <c:minorTickMark val="none"/>
        <c:tickLblPos val="nextTo"/>
        <c:spPr>
          <a:ln>
            <a:solidFill>
              <a:srgbClr val="969696"/>
            </a:solidFill>
          </a:ln>
        </c:spPr>
        <c:txPr>
          <a:bodyPr/>
          <a:lstStyle/>
          <a:p>
            <a:pPr>
              <a:defRPr sz="900"/>
            </a:pPr>
            <a:endParaRPr lang="es-ES"/>
          </a:p>
        </c:txPr>
        <c:crossAx val="944957552"/>
        <c:crosses val="autoZero"/>
        <c:auto val="1"/>
        <c:lblAlgn val="ctr"/>
        <c:lblOffset val="100"/>
        <c:noMultiLvlLbl val="0"/>
      </c:catAx>
      <c:valAx>
        <c:axId val="944957552"/>
        <c:scaling>
          <c:orientation val="minMax"/>
          <c:max val="10"/>
          <c:min val="0"/>
        </c:scaling>
        <c:delete val="0"/>
        <c:axPos val="l"/>
        <c:majorGridlines>
          <c:spPr>
            <a:ln>
              <a:solidFill>
                <a:srgbClr val="E1E1E1"/>
              </a:solidFill>
            </a:ln>
          </c:spPr>
        </c:majorGridlines>
        <c:numFmt formatCode="0.0" sourceLinked="0"/>
        <c:majorTickMark val="out"/>
        <c:minorTickMark val="none"/>
        <c:tickLblPos val="nextTo"/>
        <c:crossAx val="944950832"/>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a:solidFill>
        <a:srgbClr val="000000"/>
      </a:solid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8333333333333334E-2"/>
          <c:y val="8.7999999999999995E-2"/>
          <c:w val="0.45833333333333331"/>
          <c:h val="0.88"/>
        </c:manualLayout>
      </c:layout>
      <c:doughnutChart>
        <c:varyColors val="1"/>
        <c:ser>
          <c:idx val="0"/>
          <c:order val="0"/>
          <c:spPr>
            <a:solidFill>
              <a:srgbClr val="4472C4"/>
            </a:solidFill>
            <a:ln>
              <a:noFill/>
            </a:ln>
            <a:effectLst/>
            <a:extLst>
              <a:ext uri="{91240B29-F687-4F45-9708-019B960494DF}">
                <a14:hiddenLine xmlns:a14="http://schemas.microsoft.com/office/drawing/2010/main">
                  <a:noFill/>
                </a14:hiddenLine>
              </a:ext>
            </a:extLst>
          </c:spPr>
          <c:dPt>
            <c:idx val="0"/>
            <c:bubble3D val="0"/>
            <c:spPr>
              <a:solidFill>
                <a:srgbClr val="ED7D3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22D0-4465-9282-EDDFC46A7BAE}"/>
              </c:ext>
            </c:extLst>
          </c:dPt>
          <c:dPt>
            <c:idx val="1"/>
            <c:bubble3D val="0"/>
            <c:spPr>
              <a:solidFill>
                <a:srgbClr val="E1E1E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22D0-4465-9282-EDDFC46A7BAE}"/>
              </c:ext>
            </c:extLst>
          </c:dPt>
          <c:val>
            <c:numLit>
              <c:formatCode>General</c:formatCode>
              <c:ptCount val="2"/>
              <c:pt idx="0">
                <c:v>0.68421052631578949</c:v>
              </c:pt>
              <c:pt idx="1">
                <c:v>0.31578947368421051</c:v>
              </c:pt>
            </c:numLit>
          </c:val>
          <c:extLst>
            <c:ext xmlns:c16="http://schemas.microsoft.com/office/drawing/2014/chart" uri="{C3380CC4-5D6E-409C-BE32-E72D297353CC}">
              <c16:uniqueId val="{00000001-22D0-4465-9282-EDDFC46A7BAE}"/>
            </c:ext>
          </c:extLst>
        </c:ser>
        <c:dLbls>
          <c:showLegendKey val="0"/>
          <c:showVal val="0"/>
          <c:showCatName val="0"/>
          <c:showSerName val="0"/>
          <c:showPercent val="0"/>
          <c:showBubbleSize val="0"/>
          <c:showLeaderLines val="1"/>
        </c:dLbls>
        <c:firstSliceAng val="0"/>
        <c:holeSize val="70"/>
      </c:doughnutChart>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38100">
      <a:solidFill>
        <a:srgbClr val="000000"/>
      </a:solidFill>
    </a:ln>
    <a:extLst>
      <a:ext uri="{909E8E84-426E-40DD-AFC4-6F175D3DCCD1}">
        <a14:hiddenFill xmlns:a14="http://schemas.microsoft.com/office/drawing/2010/main">
          <a:solidFill>
            <a:srgbClr val="FFFFFF"/>
          </a:solidFill>
        </a14:hiddenFill>
      </a:ext>
    </a:extLst>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8333333333333334E-2"/>
          <c:y val="8.7999999999999995E-2"/>
          <c:w val="0.45833333333333331"/>
          <c:h val="0.88"/>
        </c:manualLayout>
      </c:layout>
      <c:doughnutChart>
        <c:varyColors val="1"/>
        <c:ser>
          <c:idx val="0"/>
          <c:order val="0"/>
          <c:spPr>
            <a:solidFill>
              <a:srgbClr val="4472C4"/>
            </a:solidFill>
            <a:ln>
              <a:noFill/>
            </a:ln>
            <a:effectLst/>
            <a:extLst>
              <a:ext uri="{91240B29-F687-4F45-9708-019B960494DF}">
                <a14:hiddenLine xmlns:a14="http://schemas.microsoft.com/office/drawing/2010/main">
                  <a:noFill/>
                </a14:hiddenLine>
              </a:ext>
            </a:extLst>
          </c:spPr>
          <c:dPt>
            <c:idx val="0"/>
            <c:bubble3D val="0"/>
            <c:spPr>
              <a:solidFill>
                <a:srgbClr val="ED7D3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581E-4395-A426-41F78B59253A}"/>
              </c:ext>
            </c:extLst>
          </c:dPt>
          <c:dPt>
            <c:idx val="1"/>
            <c:bubble3D val="0"/>
            <c:spPr>
              <a:solidFill>
                <a:srgbClr val="E1E1E1"/>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581E-4395-A426-41F78B59253A}"/>
              </c:ext>
            </c:extLst>
          </c:dPt>
          <c:val>
            <c:numLit>
              <c:formatCode>General</c:formatCode>
              <c:ptCount val="2"/>
              <c:pt idx="0">
                <c:v>2.2849999999999997</c:v>
              </c:pt>
              <c:pt idx="1">
                <c:v>7.7149999999999999</c:v>
              </c:pt>
            </c:numLit>
          </c:val>
          <c:extLst>
            <c:ext xmlns:c16="http://schemas.microsoft.com/office/drawing/2014/chart" uri="{C3380CC4-5D6E-409C-BE32-E72D297353CC}">
              <c16:uniqueId val="{00000001-581E-4395-A426-41F78B59253A}"/>
            </c:ext>
          </c:extLst>
        </c:ser>
        <c:dLbls>
          <c:showLegendKey val="0"/>
          <c:showVal val="0"/>
          <c:showCatName val="0"/>
          <c:showSerName val="0"/>
          <c:showPercent val="0"/>
          <c:showBubbleSize val="0"/>
          <c:showLeaderLines val="1"/>
        </c:dLbls>
        <c:firstSliceAng val="0"/>
        <c:holeSize val="70"/>
      </c:doughnutChart>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38100">
      <a:solidFill>
        <a:srgbClr val="000000"/>
      </a:solidFill>
    </a:ln>
    <a:extLst>
      <a:ext uri="{909E8E84-426E-40DD-AFC4-6F175D3DCCD1}">
        <a14:hiddenFill xmlns:a14="http://schemas.microsoft.com/office/drawing/2010/main">
          <a:solidFill>
            <a:srgbClr val="FFFFFF"/>
          </a:solidFill>
        </a14:hiddenFill>
      </a:ext>
    </a:extLst>
  </c:sp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rgbClr val="000000"/>
                </a:solidFill>
                <a:latin typeface="+mn-lt"/>
                <a:ea typeface="+mn-ea"/>
                <a:cs typeface="+mn-cs"/>
              </a:defRPr>
            </a:pPr>
            <a:r>
              <a:rPr lang="es-ES" sz="1800" b="1">
                <a:solidFill>
                  <a:srgbClr val="000000"/>
                </a:solidFill>
              </a:rPr>
              <a:t>Distribución de Notas</a:t>
            </a:r>
          </a:p>
        </c:rich>
      </c:tx>
      <c:overlay val="0"/>
      <c:spPr>
        <a:noFill/>
        <a:ln>
          <a:noFill/>
        </a:ln>
        <a:effectLst/>
      </c:spPr>
      <c:txPr>
        <a:bodyPr rot="0" spcFirstLastPara="1" vertOverflow="ellipsis" vert="horz" wrap="square" anchor="ctr" anchorCtr="1"/>
        <a:lstStyle/>
        <a:p>
          <a:pPr>
            <a:defRPr sz="1800" b="1" i="0" u="none" strike="noStrike" kern="1200" spc="0" baseline="0">
              <a:solidFill>
                <a:srgbClr val="000000"/>
              </a:solidFill>
              <a:latin typeface="+mn-lt"/>
              <a:ea typeface="+mn-ea"/>
              <a:cs typeface="+mn-cs"/>
            </a:defRPr>
          </a:pPr>
          <a:endParaRPr lang="es-ES"/>
        </a:p>
      </c:txPr>
    </c:title>
    <c:autoTitleDeleted val="0"/>
    <c:plotArea>
      <c:layout/>
      <c:barChart>
        <c:barDir val="bar"/>
        <c:grouping val="stacked"/>
        <c:varyColors val="0"/>
        <c:ser>
          <c:idx val="0"/>
          <c:order val="0"/>
          <c:spPr>
            <a:noFill/>
            <a:ln>
              <a:noFill/>
            </a:ln>
            <a:effectLst/>
            <a:extLst>
              <a:ext uri="{909E8E84-426E-40DD-AFC4-6F175D3DCCD1}">
                <a14:hiddenFill xmlns:a14="http://schemas.microsoft.com/office/drawing/2010/main">
                  <a:solidFill>
                    <a:srgbClr val="4472C4"/>
                  </a:solidFill>
                </a14:hiddenFill>
              </a:ext>
            </a:extLst>
          </c:spPr>
          <c:invertIfNegative val="0"/>
          <c:errBars>
            <c:errBarType val="minus"/>
            <c:errValType val="cust"/>
            <c:noEndCap val="0"/>
            <c:minus>
              <c:numLit>
                <c:formatCode>General</c:formatCode>
                <c:ptCount val="1"/>
                <c:pt idx="0">
                  <c:v>3.5</c:v>
                </c:pt>
              </c:numLit>
            </c:minus>
            <c:spPr>
              <a:noFill/>
              <a:ln w="28575" cap="flat" cmpd="sng" algn="ctr">
                <a:solidFill>
                  <a:srgbClr val="000000"/>
                </a:solidFill>
                <a:round/>
              </a:ln>
              <a:effectLst/>
            </c:spPr>
          </c:errBars>
          <c:val>
            <c:numLit>
              <c:formatCode>General</c:formatCode>
              <c:ptCount val="1"/>
              <c:pt idx="0">
                <c:v>3.5</c:v>
              </c:pt>
            </c:numLit>
          </c:val>
          <c:extLst>
            <c:ext xmlns:c16="http://schemas.microsoft.com/office/drawing/2014/chart" uri="{C3380CC4-5D6E-409C-BE32-E72D297353CC}">
              <c16:uniqueId val="{00000001-3690-4048-A41D-8C111E2413ED}"/>
            </c:ext>
          </c:extLst>
        </c:ser>
        <c:ser>
          <c:idx val="1"/>
          <c:order val="1"/>
          <c:spPr>
            <a:solidFill>
              <a:srgbClr val="B4D2F5"/>
            </a:solidFill>
            <a:ln w="28575">
              <a:solidFill>
                <a:srgbClr val="000000"/>
              </a:solidFill>
            </a:ln>
            <a:effectLst/>
          </c:spPr>
          <c:invertIfNegative val="0"/>
          <c:val>
            <c:numLit>
              <c:formatCode>General</c:formatCode>
              <c:ptCount val="1"/>
              <c:pt idx="0">
                <c:v>2.75</c:v>
              </c:pt>
            </c:numLit>
          </c:val>
          <c:extLst>
            <c:ext xmlns:c16="http://schemas.microsoft.com/office/drawing/2014/chart" uri="{C3380CC4-5D6E-409C-BE32-E72D297353CC}">
              <c16:uniqueId val="{00000002-3690-4048-A41D-8C111E2413ED}"/>
            </c:ext>
          </c:extLst>
        </c:ser>
        <c:ser>
          <c:idx val="2"/>
          <c:order val="2"/>
          <c:spPr>
            <a:solidFill>
              <a:srgbClr val="B4D2F5"/>
            </a:solidFill>
            <a:ln w="28575">
              <a:solidFill>
                <a:srgbClr val="000000"/>
              </a:solidFill>
            </a:ln>
            <a:effectLst/>
          </c:spPr>
          <c:invertIfNegative val="0"/>
          <c:errBars>
            <c:errBarType val="plus"/>
            <c:errValType val="cust"/>
            <c:noEndCap val="0"/>
            <c:plus>
              <c:numLit>
                <c:formatCode>General</c:formatCode>
                <c:ptCount val="1"/>
                <c:pt idx="0">
                  <c:v>2.0999999999999996</c:v>
                </c:pt>
              </c:numLit>
            </c:plus>
            <c:spPr>
              <a:noFill/>
              <a:ln w="28575" cap="flat" cmpd="sng" algn="ctr">
                <a:solidFill>
                  <a:srgbClr val="000000"/>
                </a:solidFill>
                <a:round/>
              </a:ln>
              <a:effectLst/>
            </c:spPr>
          </c:errBars>
          <c:val>
            <c:numLit>
              <c:formatCode>General</c:formatCode>
              <c:ptCount val="1"/>
              <c:pt idx="0">
                <c:v>1.6500000000000004</c:v>
              </c:pt>
            </c:numLit>
          </c:val>
          <c:extLst>
            <c:ext xmlns:c16="http://schemas.microsoft.com/office/drawing/2014/chart" uri="{C3380CC4-5D6E-409C-BE32-E72D297353CC}">
              <c16:uniqueId val="{00000003-3690-4048-A41D-8C111E2413ED}"/>
            </c:ext>
          </c:extLst>
        </c:ser>
        <c:dLbls>
          <c:showLegendKey val="0"/>
          <c:showVal val="0"/>
          <c:showCatName val="0"/>
          <c:showSerName val="0"/>
          <c:showPercent val="0"/>
          <c:showBubbleSize val="0"/>
        </c:dLbls>
        <c:gapWidth val="150"/>
        <c:overlap val="100"/>
        <c:serLines>
          <c:spPr>
            <a:ln w="28575" cap="flat" cmpd="sng" algn="ctr">
              <a:solidFill>
                <a:srgbClr val="000000"/>
              </a:solidFill>
              <a:round/>
            </a:ln>
            <a:effectLst/>
          </c:spPr>
        </c:serLines>
        <c:axId val="684935952"/>
        <c:axId val="684938832"/>
      </c:barChart>
      <c:catAx>
        <c:axId val="684935952"/>
        <c:scaling>
          <c:orientation val="minMax"/>
        </c:scaling>
        <c:delete val="1"/>
        <c:axPos val="l"/>
        <c:majorTickMark val="none"/>
        <c:minorTickMark val="none"/>
        <c:tickLblPos val="nextTo"/>
        <c:crossAx val="684938832"/>
        <c:crosses val="autoZero"/>
        <c:auto val="1"/>
        <c:lblAlgn val="ctr"/>
        <c:lblOffset val="100"/>
        <c:noMultiLvlLbl val="0"/>
      </c:catAx>
      <c:valAx>
        <c:axId val="684938832"/>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684935952"/>
        <c:crosses val="autoZero"/>
        <c:crossBetween val="between"/>
        <c:majorUnit val="1"/>
      </c:valAx>
      <c:spPr>
        <a:solidFill>
          <a:srgbClr val="FFFFFF"/>
        </a:solid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38100" cap="flat" cmpd="sng" algn="ctr">
      <a:solidFill>
        <a:srgbClr val="000000"/>
      </a:solid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127000</xdr:colOff>
          <xdr:row>125</xdr:row>
          <xdr:rowOff>44450</xdr:rowOff>
        </xdr:from>
        <xdr:to>
          <xdr:col>5</xdr:col>
          <xdr:colOff>2540000</xdr:colOff>
          <xdr:row>126</xdr:row>
          <xdr:rowOff>247650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125</xdr:row>
          <xdr:rowOff>50800</xdr:rowOff>
        </xdr:from>
        <xdr:to>
          <xdr:col>6</xdr:col>
          <xdr:colOff>2501900</xdr:colOff>
          <xdr:row>126</xdr:row>
          <xdr:rowOff>254000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125</xdr:row>
          <xdr:rowOff>38100</xdr:rowOff>
        </xdr:from>
        <xdr:to>
          <xdr:col>7</xdr:col>
          <xdr:colOff>2489200</xdr:colOff>
          <xdr:row>126</xdr:row>
          <xdr:rowOff>241300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100-00001A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107950</xdr:colOff>
          <xdr:row>125</xdr:row>
          <xdr:rowOff>38100</xdr:rowOff>
        </xdr:from>
        <xdr:to>
          <xdr:col>4</xdr:col>
          <xdr:colOff>2514600</xdr:colOff>
          <xdr:row>126</xdr:row>
          <xdr:rowOff>241300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125</xdr:row>
          <xdr:rowOff>44450</xdr:rowOff>
        </xdr:from>
        <xdr:to>
          <xdr:col>3</xdr:col>
          <xdr:colOff>2514600</xdr:colOff>
          <xdr:row>126</xdr:row>
          <xdr:rowOff>247650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0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xdr:row>
          <xdr:rowOff>50800</xdr:rowOff>
        </xdr:from>
        <xdr:to>
          <xdr:col>9</xdr:col>
          <xdr:colOff>1708150</xdr:colOff>
          <xdr:row>5</xdr:row>
          <xdr:rowOff>241300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127000</xdr:colOff>
          <xdr:row>6</xdr:row>
          <xdr:rowOff>57150</xdr:rowOff>
        </xdr:from>
        <xdr:to>
          <xdr:col>9</xdr:col>
          <xdr:colOff>1695450</xdr:colOff>
          <xdr:row>6</xdr:row>
          <xdr:rowOff>247650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127000</xdr:colOff>
          <xdr:row>7</xdr:row>
          <xdr:rowOff>44450</xdr:rowOff>
        </xdr:from>
        <xdr:to>
          <xdr:col>9</xdr:col>
          <xdr:colOff>1695450</xdr:colOff>
          <xdr:row>7</xdr:row>
          <xdr:rowOff>234950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xdr:row>
          <xdr:rowOff>50800</xdr:rowOff>
        </xdr:from>
        <xdr:to>
          <xdr:col>9</xdr:col>
          <xdr:colOff>1708150</xdr:colOff>
          <xdr:row>9</xdr:row>
          <xdr:rowOff>241300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xdr:row>
          <xdr:rowOff>50800</xdr:rowOff>
        </xdr:from>
        <xdr:to>
          <xdr:col>9</xdr:col>
          <xdr:colOff>1708150</xdr:colOff>
          <xdr:row>10</xdr:row>
          <xdr:rowOff>241300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xdr:row>
          <xdr:rowOff>50800</xdr:rowOff>
        </xdr:from>
        <xdr:to>
          <xdr:col>9</xdr:col>
          <xdr:colOff>1708150</xdr:colOff>
          <xdr:row>11</xdr:row>
          <xdr:rowOff>241300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xdr:row>
          <xdr:rowOff>50800</xdr:rowOff>
        </xdr:from>
        <xdr:to>
          <xdr:col>9</xdr:col>
          <xdr:colOff>1708150</xdr:colOff>
          <xdr:row>12</xdr:row>
          <xdr:rowOff>241300</xdr:rowOff>
        </xdr:to>
        <xdr:sp macro="" textlink="">
          <xdr:nvSpPr>
            <xdr:cNvPr id="4133" name="Button 37"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13</xdr:row>
          <xdr:rowOff>50800</xdr:rowOff>
        </xdr:from>
        <xdr:to>
          <xdr:col>9</xdr:col>
          <xdr:colOff>1708150</xdr:colOff>
          <xdr:row>13</xdr:row>
          <xdr:rowOff>241300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14</xdr:row>
          <xdr:rowOff>50800</xdr:rowOff>
        </xdr:from>
        <xdr:to>
          <xdr:col>9</xdr:col>
          <xdr:colOff>1708150</xdr:colOff>
          <xdr:row>14</xdr:row>
          <xdr:rowOff>241300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xdr:row>
          <xdr:rowOff>50800</xdr:rowOff>
        </xdr:from>
        <xdr:to>
          <xdr:col>9</xdr:col>
          <xdr:colOff>1708150</xdr:colOff>
          <xdr:row>8</xdr:row>
          <xdr:rowOff>241300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17</xdr:row>
          <xdr:rowOff>50800</xdr:rowOff>
        </xdr:from>
        <xdr:to>
          <xdr:col>9</xdr:col>
          <xdr:colOff>1708150</xdr:colOff>
          <xdr:row>17</xdr:row>
          <xdr:rowOff>241300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18</xdr:row>
          <xdr:rowOff>50800</xdr:rowOff>
        </xdr:from>
        <xdr:to>
          <xdr:col>9</xdr:col>
          <xdr:colOff>1708150</xdr:colOff>
          <xdr:row>18</xdr:row>
          <xdr:rowOff>241300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19</xdr:row>
          <xdr:rowOff>50800</xdr:rowOff>
        </xdr:from>
        <xdr:to>
          <xdr:col>9</xdr:col>
          <xdr:colOff>1708150</xdr:colOff>
          <xdr:row>19</xdr:row>
          <xdr:rowOff>241300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20</xdr:row>
          <xdr:rowOff>50800</xdr:rowOff>
        </xdr:from>
        <xdr:to>
          <xdr:col>9</xdr:col>
          <xdr:colOff>1708150</xdr:colOff>
          <xdr:row>20</xdr:row>
          <xdr:rowOff>241300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21</xdr:row>
          <xdr:rowOff>50800</xdr:rowOff>
        </xdr:from>
        <xdr:to>
          <xdr:col>9</xdr:col>
          <xdr:colOff>1708150</xdr:colOff>
          <xdr:row>21</xdr:row>
          <xdr:rowOff>241300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22</xdr:row>
          <xdr:rowOff>50800</xdr:rowOff>
        </xdr:from>
        <xdr:to>
          <xdr:col>9</xdr:col>
          <xdr:colOff>1708150</xdr:colOff>
          <xdr:row>22</xdr:row>
          <xdr:rowOff>241300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23</xdr:row>
          <xdr:rowOff>50800</xdr:rowOff>
        </xdr:from>
        <xdr:to>
          <xdr:col>9</xdr:col>
          <xdr:colOff>1708150</xdr:colOff>
          <xdr:row>23</xdr:row>
          <xdr:rowOff>241300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24</xdr:row>
          <xdr:rowOff>50800</xdr:rowOff>
        </xdr:from>
        <xdr:to>
          <xdr:col>9</xdr:col>
          <xdr:colOff>1708150</xdr:colOff>
          <xdr:row>24</xdr:row>
          <xdr:rowOff>241300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25</xdr:row>
          <xdr:rowOff>50800</xdr:rowOff>
        </xdr:from>
        <xdr:to>
          <xdr:col>9</xdr:col>
          <xdr:colOff>1708150</xdr:colOff>
          <xdr:row>25</xdr:row>
          <xdr:rowOff>241300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26</xdr:row>
          <xdr:rowOff>50800</xdr:rowOff>
        </xdr:from>
        <xdr:to>
          <xdr:col>9</xdr:col>
          <xdr:colOff>1708150</xdr:colOff>
          <xdr:row>26</xdr:row>
          <xdr:rowOff>241300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27</xdr:row>
          <xdr:rowOff>50800</xdr:rowOff>
        </xdr:from>
        <xdr:to>
          <xdr:col>9</xdr:col>
          <xdr:colOff>1708150</xdr:colOff>
          <xdr:row>27</xdr:row>
          <xdr:rowOff>241300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28</xdr:row>
          <xdr:rowOff>50800</xdr:rowOff>
        </xdr:from>
        <xdr:to>
          <xdr:col>9</xdr:col>
          <xdr:colOff>1708150</xdr:colOff>
          <xdr:row>28</xdr:row>
          <xdr:rowOff>241300</xdr:rowOff>
        </xdr:to>
        <xdr:sp macro="" textlink="">
          <xdr:nvSpPr>
            <xdr:cNvPr id="4148" name="Button 52"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31</xdr:row>
          <xdr:rowOff>50800</xdr:rowOff>
        </xdr:from>
        <xdr:to>
          <xdr:col>9</xdr:col>
          <xdr:colOff>1708150</xdr:colOff>
          <xdr:row>31</xdr:row>
          <xdr:rowOff>241300</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32</xdr:row>
          <xdr:rowOff>50800</xdr:rowOff>
        </xdr:from>
        <xdr:to>
          <xdr:col>9</xdr:col>
          <xdr:colOff>1708150</xdr:colOff>
          <xdr:row>32</xdr:row>
          <xdr:rowOff>241300</xdr:rowOff>
        </xdr:to>
        <xdr:sp macro="" textlink="">
          <xdr:nvSpPr>
            <xdr:cNvPr id="4150" name="Button 54"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33</xdr:row>
          <xdr:rowOff>50800</xdr:rowOff>
        </xdr:from>
        <xdr:to>
          <xdr:col>9</xdr:col>
          <xdr:colOff>1708150</xdr:colOff>
          <xdr:row>33</xdr:row>
          <xdr:rowOff>241300</xdr:rowOff>
        </xdr:to>
        <xdr:sp macro="" textlink="">
          <xdr:nvSpPr>
            <xdr:cNvPr id="4151" name="Button 55"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34</xdr:row>
          <xdr:rowOff>50800</xdr:rowOff>
        </xdr:from>
        <xdr:to>
          <xdr:col>9</xdr:col>
          <xdr:colOff>1708150</xdr:colOff>
          <xdr:row>34</xdr:row>
          <xdr:rowOff>241300</xdr:rowOff>
        </xdr:to>
        <xdr:sp macro="" textlink="">
          <xdr:nvSpPr>
            <xdr:cNvPr id="4152" name="Button 56" hidden="1">
              <a:extLst>
                <a:ext uri="{63B3BB69-23CF-44E3-9099-C40C66FF867C}">
                  <a14:compatExt spid="_x0000_s4152"/>
                </a:ext>
                <a:ext uri="{FF2B5EF4-FFF2-40B4-BE49-F238E27FC236}">
                  <a16:creationId xmlns:a16="http://schemas.microsoft.com/office/drawing/2014/main" id="{00000000-0008-0000-0100-00003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35</xdr:row>
          <xdr:rowOff>50800</xdr:rowOff>
        </xdr:from>
        <xdr:to>
          <xdr:col>9</xdr:col>
          <xdr:colOff>1708150</xdr:colOff>
          <xdr:row>35</xdr:row>
          <xdr:rowOff>241300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100-00003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36</xdr:row>
          <xdr:rowOff>50800</xdr:rowOff>
        </xdr:from>
        <xdr:to>
          <xdr:col>9</xdr:col>
          <xdr:colOff>1708150</xdr:colOff>
          <xdr:row>36</xdr:row>
          <xdr:rowOff>241300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100-00003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37</xdr:row>
          <xdr:rowOff>50800</xdr:rowOff>
        </xdr:from>
        <xdr:to>
          <xdr:col>9</xdr:col>
          <xdr:colOff>1708150</xdr:colOff>
          <xdr:row>37</xdr:row>
          <xdr:rowOff>241300</xdr:rowOff>
        </xdr:to>
        <xdr:sp macro="" textlink="">
          <xdr:nvSpPr>
            <xdr:cNvPr id="4155" name="Button 59" hidden="1">
              <a:extLst>
                <a:ext uri="{63B3BB69-23CF-44E3-9099-C40C66FF867C}">
                  <a14:compatExt spid="_x0000_s4155"/>
                </a:ext>
                <a:ext uri="{FF2B5EF4-FFF2-40B4-BE49-F238E27FC236}">
                  <a16:creationId xmlns:a16="http://schemas.microsoft.com/office/drawing/2014/main" id="{00000000-0008-0000-0100-00003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38</xdr:row>
          <xdr:rowOff>50800</xdr:rowOff>
        </xdr:from>
        <xdr:to>
          <xdr:col>9</xdr:col>
          <xdr:colOff>1708150</xdr:colOff>
          <xdr:row>38</xdr:row>
          <xdr:rowOff>241300</xdr:rowOff>
        </xdr:to>
        <xdr:sp macro="" textlink="">
          <xdr:nvSpPr>
            <xdr:cNvPr id="4156" name="Button 60" hidden="1">
              <a:extLst>
                <a:ext uri="{63B3BB69-23CF-44E3-9099-C40C66FF867C}">
                  <a14:compatExt spid="_x0000_s4156"/>
                </a:ext>
                <a:ext uri="{FF2B5EF4-FFF2-40B4-BE49-F238E27FC236}">
                  <a16:creationId xmlns:a16="http://schemas.microsoft.com/office/drawing/2014/main" id="{00000000-0008-0000-0100-00003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39</xdr:row>
          <xdr:rowOff>50800</xdr:rowOff>
        </xdr:from>
        <xdr:to>
          <xdr:col>9</xdr:col>
          <xdr:colOff>1708150</xdr:colOff>
          <xdr:row>39</xdr:row>
          <xdr:rowOff>241300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100-00003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40</xdr:row>
          <xdr:rowOff>50800</xdr:rowOff>
        </xdr:from>
        <xdr:to>
          <xdr:col>9</xdr:col>
          <xdr:colOff>1708150</xdr:colOff>
          <xdr:row>40</xdr:row>
          <xdr:rowOff>241300</xdr:rowOff>
        </xdr:to>
        <xdr:sp macro="" textlink="">
          <xdr:nvSpPr>
            <xdr:cNvPr id="4158" name="Button 62" hidden="1">
              <a:extLst>
                <a:ext uri="{63B3BB69-23CF-44E3-9099-C40C66FF867C}">
                  <a14:compatExt spid="_x0000_s4158"/>
                </a:ext>
                <a:ext uri="{FF2B5EF4-FFF2-40B4-BE49-F238E27FC236}">
                  <a16:creationId xmlns:a16="http://schemas.microsoft.com/office/drawing/2014/main" id="{00000000-0008-0000-0100-00003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41</xdr:row>
          <xdr:rowOff>50800</xdr:rowOff>
        </xdr:from>
        <xdr:to>
          <xdr:col>9</xdr:col>
          <xdr:colOff>1708150</xdr:colOff>
          <xdr:row>41</xdr:row>
          <xdr:rowOff>241300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42</xdr:row>
          <xdr:rowOff>50800</xdr:rowOff>
        </xdr:from>
        <xdr:to>
          <xdr:col>9</xdr:col>
          <xdr:colOff>1708150</xdr:colOff>
          <xdr:row>42</xdr:row>
          <xdr:rowOff>241300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100-00004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43</xdr:row>
          <xdr:rowOff>50800</xdr:rowOff>
        </xdr:from>
        <xdr:to>
          <xdr:col>9</xdr:col>
          <xdr:colOff>1708150</xdr:colOff>
          <xdr:row>43</xdr:row>
          <xdr:rowOff>241300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100-00004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46</xdr:row>
          <xdr:rowOff>50800</xdr:rowOff>
        </xdr:from>
        <xdr:to>
          <xdr:col>9</xdr:col>
          <xdr:colOff>1708150</xdr:colOff>
          <xdr:row>46</xdr:row>
          <xdr:rowOff>241300</xdr:rowOff>
        </xdr:to>
        <xdr:sp macro="" textlink="">
          <xdr:nvSpPr>
            <xdr:cNvPr id="4162" name="Button 66" hidden="1">
              <a:extLst>
                <a:ext uri="{63B3BB69-23CF-44E3-9099-C40C66FF867C}">
                  <a14:compatExt spid="_x0000_s4162"/>
                </a:ext>
                <a:ext uri="{FF2B5EF4-FFF2-40B4-BE49-F238E27FC236}">
                  <a16:creationId xmlns:a16="http://schemas.microsoft.com/office/drawing/2014/main" id="{00000000-0008-0000-0100-00004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47</xdr:row>
          <xdr:rowOff>50800</xdr:rowOff>
        </xdr:from>
        <xdr:to>
          <xdr:col>9</xdr:col>
          <xdr:colOff>1708150</xdr:colOff>
          <xdr:row>47</xdr:row>
          <xdr:rowOff>241300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100-00004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48</xdr:row>
          <xdr:rowOff>50800</xdr:rowOff>
        </xdr:from>
        <xdr:to>
          <xdr:col>9</xdr:col>
          <xdr:colOff>1708150</xdr:colOff>
          <xdr:row>48</xdr:row>
          <xdr:rowOff>241300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100-00004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50</xdr:row>
          <xdr:rowOff>50800</xdr:rowOff>
        </xdr:from>
        <xdr:to>
          <xdr:col>9</xdr:col>
          <xdr:colOff>1708150</xdr:colOff>
          <xdr:row>50</xdr:row>
          <xdr:rowOff>241300</xdr:rowOff>
        </xdr:to>
        <xdr:sp macro="" textlink="">
          <xdr:nvSpPr>
            <xdr:cNvPr id="4165" name="Button 69" hidden="1">
              <a:extLst>
                <a:ext uri="{63B3BB69-23CF-44E3-9099-C40C66FF867C}">
                  <a14:compatExt spid="_x0000_s4165"/>
                </a:ext>
                <a:ext uri="{FF2B5EF4-FFF2-40B4-BE49-F238E27FC236}">
                  <a16:creationId xmlns:a16="http://schemas.microsoft.com/office/drawing/2014/main" id="{00000000-0008-0000-0100-00004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49</xdr:row>
          <xdr:rowOff>50800</xdr:rowOff>
        </xdr:from>
        <xdr:to>
          <xdr:col>9</xdr:col>
          <xdr:colOff>1708150</xdr:colOff>
          <xdr:row>49</xdr:row>
          <xdr:rowOff>241300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100-00004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51</xdr:row>
          <xdr:rowOff>50800</xdr:rowOff>
        </xdr:from>
        <xdr:to>
          <xdr:col>9</xdr:col>
          <xdr:colOff>1708150</xdr:colOff>
          <xdr:row>51</xdr:row>
          <xdr:rowOff>241300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100-00004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52</xdr:row>
          <xdr:rowOff>50800</xdr:rowOff>
        </xdr:from>
        <xdr:to>
          <xdr:col>9</xdr:col>
          <xdr:colOff>1708150</xdr:colOff>
          <xdr:row>52</xdr:row>
          <xdr:rowOff>241300</xdr:rowOff>
        </xdr:to>
        <xdr:sp macro="" textlink="">
          <xdr:nvSpPr>
            <xdr:cNvPr id="4168" name="Button 72" hidden="1">
              <a:extLst>
                <a:ext uri="{63B3BB69-23CF-44E3-9099-C40C66FF867C}">
                  <a14:compatExt spid="_x0000_s4168"/>
                </a:ext>
                <a:ext uri="{FF2B5EF4-FFF2-40B4-BE49-F238E27FC236}">
                  <a16:creationId xmlns:a16="http://schemas.microsoft.com/office/drawing/2014/main" id="{00000000-0008-0000-0100-00004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53</xdr:row>
          <xdr:rowOff>50800</xdr:rowOff>
        </xdr:from>
        <xdr:to>
          <xdr:col>9</xdr:col>
          <xdr:colOff>1708150</xdr:colOff>
          <xdr:row>53</xdr:row>
          <xdr:rowOff>241300</xdr:rowOff>
        </xdr:to>
        <xdr:sp macro="" textlink="">
          <xdr:nvSpPr>
            <xdr:cNvPr id="4169" name="Button 73" hidden="1">
              <a:extLst>
                <a:ext uri="{63B3BB69-23CF-44E3-9099-C40C66FF867C}">
                  <a14:compatExt spid="_x0000_s4169"/>
                </a:ext>
                <a:ext uri="{FF2B5EF4-FFF2-40B4-BE49-F238E27FC236}">
                  <a16:creationId xmlns:a16="http://schemas.microsoft.com/office/drawing/2014/main" id="{00000000-0008-0000-0100-00004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54</xdr:row>
          <xdr:rowOff>50800</xdr:rowOff>
        </xdr:from>
        <xdr:to>
          <xdr:col>9</xdr:col>
          <xdr:colOff>1708150</xdr:colOff>
          <xdr:row>54</xdr:row>
          <xdr:rowOff>241300</xdr:rowOff>
        </xdr:to>
        <xdr:sp macro="" textlink="">
          <xdr:nvSpPr>
            <xdr:cNvPr id="4170" name="Button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55</xdr:row>
          <xdr:rowOff>50800</xdr:rowOff>
        </xdr:from>
        <xdr:to>
          <xdr:col>9</xdr:col>
          <xdr:colOff>1708150</xdr:colOff>
          <xdr:row>55</xdr:row>
          <xdr:rowOff>241300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56</xdr:row>
          <xdr:rowOff>50800</xdr:rowOff>
        </xdr:from>
        <xdr:to>
          <xdr:col>9</xdr:col>
          <xdr:colOff>1708150</xdr:colOff>
          <xdr:row>56</xdr:row>
          <xdr:rowOff>241300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57</xdr:row>
          <xdr:rowOff>50800</xdr:rowOff>
        </xdr:from>
        <xdr:to>
          <xdr:col>9</xdr:col>
          <xdr:colOff>1708150</xdr:colOff>
          <xdr:row>57</xdr:row>
          <xdr:rowOff>241300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58</xdr:row>
          <xdr:rowOff>50800</xdr:rowOff>
        </xdr:from>
        <xdr:to>
          <xdr:col>9</xdr:col>
          <xdr:colOff>1708150</xdr:colOff>
          <xdr:row>58</xdr:row>
          <xdr:rowOff>241300</xdr:rowOff>
        </xdr:to>
        <xdr:sp macro="" textlink="">
          <xdr:nvSpPr>
            <xdr:cNvPr id="4174" name="Button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61</xdr:row>
          <xdr:rowOff>50800</xdr:rowOff>
        </xdr:from>
        <xdr:to>
          <xdr:col>9</xdr:col>
          <xdr:colOff>1708150</xdr:colOff>
          <xdr:row>61</xdr:row>
          <xdr:rowOff>241300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100-00004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62</xdr:row>
          <xdr:rowOff>50800</xdr:rowOff>
        </xdr:from>
        <xdr:to>
          <xdr:col>9</xdr:col>
          <xdr:colOff>1708150</xdr:colOff>
          <xdr:row>62</xdr:row>
          <xdr:rowOff>241300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63</xdr:row>
          <xdr:rowOff>50800</xdr:rowOff>
        </xdr:from>
        <xdr:to>
          <xdr:col>9</xdr:col>
          <xdr:colOff>1708150</xdr:colOff>
          <xdr:row>63</xdr:row>
          <xdr:rowOff>241300</xdr:rowOff>
        </xdr:to>
        <xdr:sp macro="" textlink="">
          <xdr:nvSpPr>
            <xdr:cNvPr id="4177" name="Button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64</xdr:row>
          <xdr:rowOff>50800</xdr:rowOff>
        </xdr:from>
        <xdr:to>
          <xdr:col>9</xdr:col>
          <xdr:colOff>1708150</xdr:colOff>
          <xdr:row>64</xdr:row>
          <xdr:rowOff>241300</xdr:rowOff>
        </xdr:to>
        <xdr:sp macro="" textlink="">
          <xdr:nvSpPr>
            <xdr:cNvPr id="4178" name="Button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65</xdr:row>
          <xdr:rowOff>50800</xdr:rowOff>
        </xdr:from>
        <xdr:to>
          <xdr:col>9</xdr:col>
          <xdr:colOff>1708150</xdr:colOff>
          <xdr:row>65</xdr:row>
          <xdr:rowOff>241300</xdr:rowOff>
        </xdr:to>
        <xdr:sp macro="" textlink="">
          <xdr:nvSpPr>
            <xdr:cNvPr id="4179" name="Button 83" hidden="1">
              <a:extLst>
                <a:ext uri="{63B3BB69-23CF-44E3-9099-C40C66FF867C}">
                  <a14:compatExt spid="_x0000_s4179"/>
                </a:ext>
                <a:ext uri="{FF2B5EF4-FFF2-40B4-BE49-F238E27FC236}">
                  <a16:creationId xmlns:a16="http://schemas.microsoft.com/office/drawing/2014/main" id="{00000000-0008-0000-0100-00005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66</xdr:row>
          <xdr:rowOff>50800</xdr:rowOff>
        </xdr:from>
        <xdr:to>
          <xdr:col>9</xdr:col>
          <xdr:colOff>1708150</xdr:colOff>
          <xdr:row>66</xdr:row>
          <xdr:rowOff>241300</xdr:rowOff>
        </xdr:to>
        <xdr:sp macro="" textlink="">
          <xdr:nvSpPr>
            <xdr:cNvPr id="4180" name="Button 84" hidden="1">
              <a:extLst>
                <a:ext uri="{63B3BB69-23CF-44E3-9099-C40C66FF867C}">
                  <a14:compatExt spid="_x0000_s4180"/>
                </a:ext>
                <a:ext uri="{FF2B5EF4-FFF2-40B4-BE49-F238E27FC236}">
                  <a16:creationId xmlns:a16="http://schemas.microsoft.com/office/drawing/2014/main" id="{00000000-0008-0000-0100-00005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67</xdr:row>
          <xdr:rowOff>50800</xdr:rowOff>
        </xdr:from>
        <xdr:to>
          <xdr:col>9</xdr:col>
          <xdr:colOff>1708150</xdr:colOff>
          <xdr:row>67</xdr:row>
          <xdr:rowOff>241300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100-00005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68</xdr:row>
          <xdr:rowOff>50800</xdr:rowOff>
        </xdr:from>
        <xdr:to>
          <xdr:col>9</xdr:col>
          <xdr:colOff>1708150</xdr:colOff>
          <xdr:row>68</xdr:row>
          <xdr:rowOff>241300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100-00005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69</xdr:row>
          <xdr:rowOff>50800</xdr:rowOff>
        </xdr:from>
        <xdr:to>
          <xdr:col>9</xdr:col>
          <xdr:colOff>1708150</xdr:colOff>
          <xdr:row>69</xdr:row>
          <xdr:rowOff>241300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1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70</xdr:row>
          <xdr:rowOff>50800</xdr:rowOff>
        </xdr:from>
        <xdr:to>
          <xdr:col>9</xdr:col>
          <xdr:colOff>1708150</xdr:colOff>
          <xdr:row>70</xdr:row>
          <xdr:rowOff>241300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100-00005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71</xdr:row>
          <xdr:rowOff>50800</xdr:rowOff>
        </xdr:from>
        <xdr:to>
          <xdr:col>9</xdr:col>
          <xdr:colOff>1708150</xdr:colOff>
          <xdr:row>71</xdr:row>
          <xdr:rowOff>241300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100-00005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72</xdr:row>
          <xdr:rowOff>50800</xdr:rowOff>
        </xdr:from>
        <xdr:to>
          <xdr:col>9</xdr:col>
          <xdr:colOff>1708150</xdr:colOff>
          <xdr:row>72</xdr:row>
          <xdr:rowOff>241300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73</xdr:row>
          <xdr:rowOff>50800</xdr:rowOff>
        </xdr:from>
        <xdr:to>
          <xdr:col>9</xdr:col>
          <xdr:colOff>1708150</xdr:colOff>
          <xdr:row>73</xdr:row>
          <xdr:rowOff>241300</xdr:rowOff>
        </xdr:to>
        <xdr:sp macro="" textlink="">
          <xdr:nvSpPr>
            <xdr:cNvPr id="4187" name="Button 91" hidden="1">
              <a:extLst>
                <a:ext uri="{63B3BB69-23CF-44E3-9099-C40C66FF867C}">
                  <a14:compatExt spid="_x0000_s4187"/>
                </a:ext>
                <a:ext uri="{FF2B5EF4-FFF2-40B4-BE49-F238E27FC236}">
                  <a16:creationId xmlns:a16="http://schemas.microsoft.com/office/drawing/2014/main" id="{00000000-0008-0000-0100-00005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76</xdr:row>
          <xdr:rowOff>50800</xdr:rowOff>
        </xdr:from>
        <xdr:to>
          <xdr:col>9</xdr:col>
          <xdr:colOff>1708150</xdr:colOff>
          <xdr:row>76</xdr:row>
          <xdr:rowOff>241300</xdr:rowOff>
        </xdr:to>
        <xdr:sp macro="" textlink="">
          <xdr:nvSpPr>
            <xdr:cNvPr id="4188" name="Button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77</xdr:row>
          <xdr:rowOff>50800</xdr:rowOff>
        </xdr:from>
        <xdr:to>
          <xdr:col>9</xdr:col>
          <xdr:colOff>1708150</xdr:colOff>
          <xdr:row>77</xdr:row>
          <xdr:rowOff>241300</xdr:rowOff>
        </xdr:to>
        <xdr:sp macro="" textlink="">
          <xdr:nvSpPr>
            <xdr:cNvPr id="4189" name="Button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78</xdr:row>
          <xdr:rowOff>50800</xdr:rowOff>
        </xdr:from>
        <xdr:to>
          <xdr:col>9</xdr:col>
          <xdr:colOff>1708150</xdr:colOff>
          <xdr:row>78</xdr:row>
          <xdr:rowOff>241300</xdr:rowOff>
        </xdr:to>
        <xdr:sp macro="" textlink="">
          <xdr:nvSpPr>
            <xdr:cNvPr id="4190" name="Button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79</xdr:row>
          <xdr:rowOff>50800</xdr:rowOff>
        </xdr:from>
        <xdr:to>
          <xdr:col>9</xdr:col>
          <xdr:colOff>1708150</xdr:colOff>
          <xdr:row>79</xdr:row>
          <xdr:rowOff>241300</xdr:rowOff>
        </xdr:to>
        <xdr:sp macro="" textlink="">
          <xdr:nvSpPr>
            <xdr:cNvPr id="4191" name="Button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80</xdr:row>
          <xdr:rowOff>50800</xdr:rowOff>
        </xdr:from>
        <xdr:to>
          <xdr:col>9</xdr:col>
          <xdr:colOff>1708150</xdr:colOff>
          <xdr:row>80</xdr:row>
          <xdr:rowOff>241300</xdr:rowOff>
        </xdr:to>
        <xdr:sp macro="" textlink="">
          <xdr:nvSpPr>
            <xdr:cNvPr id="4192" name="Button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81</xdr:row>
          <xdr:rowOff>50800</xdr:rowOff>
        </xdr:from>
        <xdr:to>
          <xdr:col>9</xdr:col>
          <xdr:colOff>1708150</xdr:colOff>
          <xdr:row>81</xdr:row>
          <xdr:rowOff>241300</xdr:rowOff>
        </xdr:to>
        <xdr:sp macro="" textlink="">
          <xdr:nvSpPr>
            <xdr:cNvPr id="4193" name="Button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82</xdr:row>
          <xdr:rowOff>50800</xdr:rowOff>
        </xdr:from>
        <xdr:to>
          <xdr:col>9</xdr:col>
          <xdr:colOff>1708150</xdr:colOff>
          <xdr:row>82</xdr:row>
          <xdr:rowOff>241300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83</xdr:row>
          <xdr:rowOff>50800</xdr:rowOff>
        </xdr:from>
        <xdr:to>
          <xdr:col>9</xdr:col>
          <xdr:colOff>1708150</xdr:colOff>
          <xdr:row>83</xdr:row>
          <xdr:rowOff>241300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100-00006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84</xdr:row>
          <xdr:rowOff>50800</xdr:rowOff>
        </xdr:from>
        <xdr:to>
          <xdr:col>9</xdr:col>
          <xdr:colOff>1708150</xdr:colOff>
          <xdr:row>84</xdr:row>
          <xdr:rowOff>241300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85</xdr:row>
          <xdr:rowOff>50800</xdr:rowOff>
        </xdr:from>
        <xdr:to>
          <xdr:col>9</xdr:col>
          <xdr:colOff>1708150</xdr:colOff>
          <xdr:row>85</xdr:row>
          <xdr:rowOff>241300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100-00006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86</xdr:row>
          <xdr:rowOff>50800</xdr:rowOff>
        </xdr:from>
        <xdr:to>
          <xdr:col>9</xdr:col>
          <xdr:colOff>1708150</xdr:colOff>
          <xdr:row>86</xdr:row>
          <xdr:rowOff>241300</xdr:rowOff>
        </xdr:to>
        <xdr:sp macro="" textlink="">
          <xdr:nvSpPr>
            <xdr:cNvPr id="4199" name="Button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87</xdr:row>
          <xdr:rowOff>50800</xdr:rowOff>
        </xdr:from>
        <xdr:to>
          <xdr:col>9</xdr:col>
          <xdr:colOff>1708150</xdr:colOff>
          <xdr:row>87</xdr:row>
          <xdr:rowOff>241300</xdr:rowOff>
        </xdr:to>
        <xdr:sp macro="" textlink="">
          <xdr:nvSpPr>
            <xdr:cNvPr id="4200" name="Button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92</xdr:row>
          <xdr:rowOff>50800</xdr:rowOff>
        </xdr:from>
        <xdr:to>
          <xdr:col>9</xdr:col>
          <xdr:colOff>1708150</xdr:colOff>
          <xdr:row>92</xdr:row>
          <xdr:rowOff>241300</xdr:rowOff>
        </xdr:to>
        <xdr:sp macro="" textlink="">
          <xdr:nvSpPr>
            <xdr:cNvPr id="4201" name="Button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93</xdr:row>
          <xdr:rowOff>50800</xdr:rowOff>
        </xdr:from>
        <xdr:to>
          <xdr:col>9</xdr:col>
          <xdr:colOff>1708150</xdr:colOff>
          <xdr:row>93</xdr:row>
          <xdr:rowOff>241300</xdr:rowOff>
        </xdr:to>
        <xdr:sp macro="" textlink="">
          <xdr:nvSpPr>
            <xdr:cNvPr id="4202" name="Button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94</xdr:row>
          <xdr:rowOff>50800</xdr:rowOff>
        </xdr:from>
        <xdr:to>
          <xdr:col>9</xdr:col>
          <xdr:colOff>1708150</xdr:colOff>
          <xdr:row>94</xdr:row>
          <xdr:rowOff>241300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95</xdr:row>
          <xdr:rowOff>50800</xdr:rowOff>
        </xdr:from>
        <xdr:to>
          <xdr:col>9</xdr:col>
          <xdr:colOff>1708150</xdr:colOff>
          <xdr:row>95</xdr:row>
          <xdr:rowOff>241300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96</xdr:row>
          <xdr:rowOff>50800</xdr:rowOff>
        </xdr:from>
        <xdr:to>
          <xdr:col>9</xdr:col>
          <xdr:colOff>1708150</xdr:colOff>
          <xdr:row>96</xdr:row>
          <xdr:rowOff>241300</xdr:rowOff>
        </xdr:to>
        <xdr:sp macro="" textlink="">
          <xdr:nvSpPr>
            <xdr:cNvPr id="4205" name="Button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97</xdr:row>
          <xdr:rowOff>50800</xdr:rowOff>
        </xdr:from>
        <xdr:to>
          <xdr:col>9</xdr:col>
          <xdr:colOff>1708150</xdr:colOff>
          <xdr:row>97</xdr:row>
          <xdr:rowOff>241300</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98</xdr:row>
          <xdr:rowOff>50800</xdr:rowOff>
        </xdr:from>
        <xdr:to>
          <xdr:col>9</xdr:col>
          <xdr:colOff>1708150</xdr:colOff>
          <xdr:row>98</xdr:row>
          <xdr:rowOff>241300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99</xdr:row>
          <xdr:rowOff>50800</xdr:rowOff>
        </xdr:from>
        <xdr:to>
          <xdr:col>9</xdr:col>
          <xdr:colOff>1708150</xdr:colOff>
          <xdr:row>99</xdr:row>
          <xdr:rowOff>241300</xdr:rowOff>
        </xdr:to>
        <xdr:sp macro="" textlink="">
          <xdr:nvSpPr>
            <xdr:cNvPr id="4208" name="Button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100</xdr:row>
          <xdr:rowOff>50800</xdr:rowOff>
        </xdr:from>
        <xdr:to>
          <xdr:col>9</xdr:col>
          <xdr:colOff>1708150</xdr:colOff>
          <xdr:row>100</xdr:row>
          <xdr:rowOff>241300</xdr:rowOff>
        </xdr:to>
        <xdr:sp macro="" textlink="">
          <xdr:nvSpPr>
            <xdr:cNvPr id="4209" name="Button 113" hidden="1">
              <a:extLst>
                <a:ext uri="{63B3BB69-23CF-44E3-9099-C40C66FF867C}">
                  <a14:compatExt spid="_x0000_s4209"/>
                </a:ext>
                <a:ext uri="{FF2B5EF4-FFF2-40B4-BE49-F238E27FC236}">
                  <a16:creationId xmlns:a16="http://schemas.microsoft.com/office/drawing/2014/main" id="{00000000-0008-0000-0100-00007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101</xdr:row>
          <xdr:rowOff>50800</xdr:rowOff>
        </xdr:from>
        <xdr:to>
          <xdr:col>9</xdr:col>
          <xdr:colOff>1708150</xdr:colOff>
          <xdr:row>101</xdr:row>
          <xdr:rowOff>241300</xdr:rowOff>
        </xdr:to>
        <xdr:sp macro="" textlink="">
          <xdr:nvSpPr>
            <xdr:cNvPr id="4210" name="Button 114" hidden="1">
              <a:extLst>
                <a:ext uri="{63B3BB69-23CF-44E3-9099-C40C66FF867C}">
                  <a14:compatExt spid="_x0000_s4210"/>
                </a:ext>
                <a:ext uri="{FF2B5EF4-FFF2-40B4-BE49-F238E27FC236}">
                  <a16:creationId xmlns:a16="http://schemas.microsoft.com/office/drawing/2014/main" id="{00000000-0008-0000-0100-00007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102</xdr:row>
          <xdr:rowOff>50800</xdr:rowOff>
        </xdr:from>
        <xdr:to>
          <xdr:col>9</xdr:col>
          <xdr:colOff>1708150</xdr:colOff>
          <xdr:row>102</xdr:row>
          <xdr:rowOff>241300</xdr:rowOff>
        </xdr:to>
        <xdr:sp macro="" textlink="">
          <xdr:nvSpPr>
            <xdr:cNvPr id="4211" name="Button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105</xdr:row>
          <xdr:rowOff>50800</xdr:rowOff>
        </xdr:from>
        <xdr:to>
          <xdr:col>9</xdr:col>
          <xdr:colOff>1708150</xdr:colOff>
          <xdr:row>105</xdr:row>
          <xdr:rowOff>241300</xdr:rowOff>
        </xdr:to>
        <xdr:sp macro="" textlink="">
          <xdr:nvSpPr>
            <xdr:cNvPr id="4212" name="Button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106</xdr:row>
          <xdr:rowOff>50800</xdr:rowOff>
        </xdr:from>
        <xdr:to>
          <xdr:col>9</xdr:col>
          <xdr:colOff>1708150</xdr:colOff>
          <xdr:row>106</xdr:row>
          <xdr:rowOff>241300</xdr:rowOff>
        </xdr:to>
        <xdr:sp macro="" textlink="">
          <xdr:nvSpPr>
            <xdr:cNvPr id="4213" name="Button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107</xdr:row>
          <xdr:rowOff>50800</xdr:rowOff>
        </xdr:from>
        <xdr:to>
          <xdr:col>9</xdr:col>
          <xdr:colOff>1708150</xdr:colOff>
          <xdr:row>107</xdr:row>
          <xdr:rowOff>241300</xdr:rowOff>
        </xdr:to>
        <xdr:sp macro="" textlink="">
          <xdr:nvSpPr>
            <xdr:cNvPr id="4214" name="Button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108</xdr:row>
          <xdr:rowOff>50800</xdr:rowOff>
        </xdr:from>
        <xdr:to>
          <xdr:col>9</xdr:col>
          <xdr:colOff>1708150</xdr:colOff>
          <xdr:row>108</xdr:row>
          <xdr:rowOff>241300</xdr:rowOff>
        </xdr:to>
        <xdr:sp macro="" textlink="">
          <xdr:nvSpPr>
            <xdr:cNvPr id="4215" name="Button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109</xdr:row>
          <xdr:rowOff>50800</xdr:rowOff>
        </xdr:from>
        <xdr:to>
          <xdr:col>9</xdr:col>
          <xdr:colOff>1708150</xdr:colOff>
          <xdr:row>109</xdr:row>
          <xdr:rowOff>241300</xdr:rowOff>
        </xdr:to>
        <xdr:sp macro="" textlink="">
          <xdr:nvSpPr>
            <xdr:cNvPr id="4216" name="Button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110</xdr:row>
          <xdr:rowOff>50800</xdr:rowOff>
        </xdr:from>
        <xdr:to>
          <xdr:col>9</xdr:col>
          <xdr:colOff>1708150</xdr:colOff>
          <xdr:row>110</xdr:row>
          <xdr:rowOff>241300</xdr:rowOff>
        </xdr:to>
        <xdr:sp macro="" textlink="">
          <xdr:nvSpPr>
            <xdr:cNvPr id="4217" name="Button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111</xdr:row>
          <xdr:rowOff>50800</xdr:rowOff>
        </xdr:from>
        <xdr:to>
          <xdr:col>9</xdr:col>
          <xdr:colOff>1708150</xdr:colOff>
          <xdr:row>111</xdr:row>
          <xdr:rowOff>241300</xdr:rowOff>
        </xdr:to>
        <xdr:sp macro="" textlink="">
          <xdr:nvSpPr>
            <xdr:cNvPr id="4218" name="Button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112</xdr:row>
          <xdr:rowOff>50800</xdr:rowOff>
        </xdr:from>
        <xdr:to>
          <xdr:col>9</xdr:col>
          <xdr:colOff>1708150</xdr:colOff>
          <xdr:row>112</xdr:row>
          <xdr:rowOff>241300</xdr:rowOff>
        </xdr:to>
        <xdr:sp macro="" textlink="">
          <xdr:nvSpPr>
            <xdr:cNvPr id="4220" name="Button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113</xdr:row>
          <xdr:rowOff>50800</xdr:rowOff>
        </xdr:from>
        <xdr:to>
          <xdr:col>9</xdr:col>
          <xdr:colOff>1708150</xdr:colOff>
          <xdr:row>113</xdr:row>
          <xdr:rowOff>241300</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114</xdr:row>
          <xdr:rowOff>50800</xdr:rowOff>
        </xdr:from>
        <xdr:to>
          <xdr:col>9</xdr:col>
          <xdr:colOff>1708150</xdr:colOff>
          <xdr:row>114</xdr:row>
          <xdr:rowOff>241300</xdr:rowOff>
        </xdr:to>
        <xdr:sp macro="" textlink="">
          <xdr:nvSpPr>
            <xdr:cNvPr id="4222" name="Button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115</xdr:row>
          <xdr:rowOff>50800</xdr:rowOff>
        </xdr:from>
        <xdr:to>
          <xdr:col>9</xdr:col>
          <xdr:colOff>1708150</xdr:colOff>
          <xdr:row>115</xdr:row>
          <xdr:rowOff>241300</xdr:rowOff>
        </xdr:to>
        <xdr:sp macro="" textlink="">
          <xdr:nvSpPr>
            <xdr:cNvPr id="4224" name="Button 128" hidden="1">
              <a:extLst>
                <a:ext uri="{63B3BB69-23CF-44E3-9099-C40C66FF867C}">
                  <a14:compatExt spid="_x0000_s4224"/>
                </a:ext>
                <a:ext uri="{FF2B5EF4-FFF2-40B4-BE49-F238E27FC236}">
                  <a16:creationId xmlns:a16="http://schemas.microsoft.com/office/drawing/2014/main" id="{00000000-0008-0000-0100-00008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118</xdr:row>
          <xdr:rowOff>50800</xdr:rowOff>
        </xdr:from>
        <xdr:to>
          <xdr:col>9</xdr:col>
          <xdr:colOff>1708150</xdr:colOff>
          <xdr:row>118</xdr:row>
          <xdr:rowOff>241300</xdr:rowOff>
        </xdr:to>
        <xdr:sp macro="" textlink="">
          <xdr:nvSpPr>
            <xdr:cNvPr id="4225" name="Button 129" hidden="1">
              <a:extLst>
                <a:ext uri="{63B3BB69-23CF-44E3-9099-C40C66FF867C}">
                  <a14:compatExt spid="_x0000_s4225"/>
                </a:ext>
                <a:ext uri="{FF2B5EF4-FFF2-40B4-BE49-F238E27FC236}">
                  <a16:creationId xmlns:a16="http://schemas.microsoft.com/office/drawing/2014/main" id="{00000000-0008-0000-0100-00008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119</xdr:row>
          <xdr:rowOff>50800</xdr:rowOff>
        </xdr:from>
        <xdr:to>
          <xdr:col>9</xdr:col>
          <xdr:colOff>1708150</xdr:colOff>
          <xdr:row>119</xdr:row>
          <xdr:rowOff>241300</xdr:rowOff>
        </xdr:to>
        <xdr:sp macro="" textlink="">
          <xdr:nvSpPr>
            <xdr:cNvPr id="4226" name="Button 130" hidden="1">
              <a:extLst>
                <a:ext uri="{63B3BB69-23CF-44E3-9099-C40C66FF867C}">
                  <a14:compatExt spid="_x0000_s4226"/>
                </a:ext>
                <a:ext uri="{FF2B5EF4-FFF2-40B4-BE49-F238E27FC236}">
                  <a16:creationId xmlns:a16="http://schemas.microsoft.com/office/drawing/2014/main" id="{00000000-0008-0000-0100-00008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120</xdr:row>
          <xdr:rowOff>50800</xdr:rowOff>
        </xdr:from>
        <xdr:to>
          <xdr:col>9</xdr:col>
          <xdr:colOff>1708150</xdr:colOff>
          <xdr:row>120</xdr:row>
          <xdr:rowOff>241300</xdr:rowOff>
        </xdr:to>
        <xdr:sp macro="" textlink="">
          <xdr:nvSpPr>
            <xdr:cNvPr id="4227" name="Button 131" hidden="1">
              <a:extLst>
                <a:ext uri="{63B3BB69-23CF-44E3-9099-C40C66FF867C}">
                  <a14:compatExt spid="_x0000_s4227"/>
                </a:ext>
                <a:ext uri="{FF2B5EF4-FFF2-40B4-BE49-F238E27FC236}">
                  <a16:creationId xmlns:a16="http://schemas.microsoft.com/office/drawing/2014/main" id="{00000000-0008-0000-0100-00008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121</xdr:row>
          <xdr:rowOff>50800</xdr:rowOff>
        </xdr:from>
        <xdr:to>
          <xdr:col>9</xdr:col>
          <xdr:colOff>1708150</xdr:colOff>
          <xdr:row>121</xdr:row>
          <xdr:rowOff>241300</xdr:rowOff>
        </xdr:to>
        <xdr:sp macro="" textlink="">
          <xdr:nvSpPr>
            <xdr:cNvPr id="4228" name="Button 132" hidden="1">
              <a:extLst>
                <a:ext uri="{63B3BB69-23CF-44E3-9099-C40C66FF867C}">
                  <a14:compatExt spid="_x0000_s4228"/>
                </a:ext>
                <a:ext uri="{FF2B5EF4-FFF2-40B4-BE49-F238E27FC236}">
                  <a16:creationId xmlns:a16="http://schemas.microsoft.com/office/drawing/2014/main" id="{00000000-0008-0000-0100-000084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122</xdr:row>
          <xdr:rowOff>50800</xdr:rowOff>
        </xdr:from>
        <xdr:to>
          <xdr:col>9</xdr:col>
          <xdr:colOff>1708150</xdr:colOff>
          <xdr:row>122</xdr:row>
          <xdr:rowOff>241300</xdr:rowOff>
        </xdr:to>
        <xdr:sp macro="" textlink="">
          <xdr:nvSpPr>
            <xdr:cNvPr id="4229" name="Button 133" hidden="1">
              <a:extLst>
                <a:ext uri="{63B3BB69-23CF-44E3-9099-C40C66FF867C}">
                  <a14:compatExt spid="_x0000_s4229"/>
                </a:ext>
                <a:ext uri="{FF2B5EF4-FFF2-40B4-BE49-F238E27FC236}">
                  <a16:creationId xmlns:a16="http://schemas.microsoft.com/office/drawing/2014/main" id="{00000000-0008-0000-0100-00008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123</xdr:row>
          <xdr:rowOff>50800</xdr:rowOff>
        </xdr:from>
        <xdr:to>
          <xdr:col>9</xdr:col>
          <xdr:colOff>1708150</xdr:colOff>
          <xdr:row>123</xdr:row>
          <xdr:rowOff>241300</xdr:rowOff>
        </xdr:to>
        <xdr:sp macro="" textlink="">
          <xdr:nvSpPr>
            <xdr:cNvPr id="4230" name="Button 134" hidden="1">
              <a:extLst>
                <a:ext uri="{63B3BB69-23CF-44E3-9099-C40C66FF867C}">
                  <a14:compatExt spid="_x0000_s4230"/>
                </a:ext>
                <a:ext uri="{FF2B5EF4-FFF2-40B4-BE49-F238E27FC236}">
                  <a16:creationId xmlns:a16="http://schemas.microsoft.com/office/drawing/2014/main" id="{00000000-0008-0000-0100-000086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124</xdr:row>
          <xdr:rowOff>50800</xdr:rowOff>
        </xdr:from>
        <xdr:to>
          <xdr:col>9</xdr:col>
          <xdr:colOff>1708150</xdr:colOff>
          <xdr:row>124</xdr:row>
          <xdr:rowOff>241300</xdr:rowOff>
        </xdr:to>
        <xdr:sp macro="" textlink="">
          <xdr:nvSpPr>
            <xdr:cNvPr id="4231" name="Button 135" hidden="1">
              <a:extLst>
                <a:ext uri="{63B3BB69-23CF-44E3-9099-C40C66FF867C}">
                  <a14:compatExt spid="_x0000_s4231"/>
                </a:ext>
                <a:ext uri="{FF2B5EF4-FFF2-40B4-BE49-F238E27FC236}">
                  <a16:creationId xmlns:a16="http://schemas.microsoft.com/office/drawing/2014/main" id="{00000000-0008-0000-0100-00008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400" b="1" i="0" u="none" strike="noStrike" baseline="0">
                  <a:solidFill>
                    <a:srgbClr val="0000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82550</xdr:colOff>
          <xdr:row>125</xdr:row>
          <xdr:rowOff>50800</xdr:rowOff>
        </xdr:from>
        <xdr:to>
          <xdr:col>8</xdr:col>
          <xdr:colOff>2921000</xdr:colOff>
          <xdr:row>126</xdr:row>
          <xdr:rowOff>222250</xdr:rowOff>
        </xdr:to>
        <xdr:sp macro="" textlink="">
          <xdr:nvSpPr>
            <xdr:cNvPr id="4305" name="Button 209" hidden="1">
              <a:extLst>
                <a:ext uri="{63B3BB69-23CF-44E3-9099-C40C66FF867C}">
                  <a14:compatExt spid="_x0000_s4305"/>
                </a:ext>
                <a:ext uri="{FF2B5EF4-FFF2-40B4-BE49-F238E27FC236}">
                  <a16:creationId xmlns:a16="http://schemas.microsoft.com/office/drawing/2014/main" id="{00000000-0008-0000-0100-0000D1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ES" sz="1800" b="1" i="0" u="none" strike="noStrike" baseline="0">
                  <a:solidFill>
                    <a:srgbClr val="000000"/>
                  </a:solidFill>
                  <a:latin typeface="Calibri"/>
                  <a:cs typeface="Calibri"/>
                </a:rPr>
                <a:t>Generar Informe Asignatura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0</xdr:rowOff>
        </xdr:from>
        <xdr:to>
          <xdr:col>10</xdr:col>
          <xdr:colOff>0</xdr:colOff>
          <xdr:row>2</xdr:row>
          <xdr:rowOff>0</xdr:rowOff>
        </xdr:to>
        <xdr:sp macro="" textlink="">
          <xdr:nvSpPr>
            <xdr:cNvPr id="283649" name="BtnVerDatos" hidden="1">
              <a:extLst>
                <a:ext uri="{63B3BB69-23CF-44E3-9099-C40C66FF867C}">
                  <a14:compatExt spid="_x0000_s283649"/>
                </a:ext>
                <a:ext uri="{FF2B5EF4-FFF2-40B4-BE49-F238E27FC236}">
                  <a16:creationId xmlns:a16="http://schemas.microsoft.com/office/drawing/2014/main" id="{00000000-0008-0000-0400-000001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MOSTRAR LISTADO ALUMNOS Y CALIFICACIONES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0</xdr:colOff>
          <xdr:row>2</xdr:row>
          <xdr:rowOff>0</xdr:rowOff>
        </xdr:to>
        <xdr:sp macro="" textlink="">
          <xdr:nvSpPr>
            <xdr:cNvPr id="283650" name="Button 2" hidden="1">
              <a:extLst>
                <a:ext uri="{63B3BB69-23CF-44E3-9099-C40C66FF867C}">
                  <a14:compatExt spid="_x0000_s283650"/>
                </a:ext>
                <a:ext uri="{FF2B5EF4-FFF2-40B4-BE49-F238E27FC236}">
                  <a16:creationId xmlns:a16="http://schemas.microsoft.com/office/drawing/2014/main" id="{00000000-0008-0000-0400-000002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ELIMINAR INFORME Y 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0</xdr:colOff>
          <xdr:row>2</xdr:row>
          <xdr:rowOff>0</xdr:rowOff>
        </xdr:to>
        <xdr:sp macro="" textlink="">
          <xdr:nvSpPr>
            <xdr:cNvPr id="283651" name="Button 3" hidden="1">
              <a:extLst>
                <a:ext uri="{63B3BB69-23CF-44E3-9099-C40C66FF867C}">
                  <a14:compatExt spid="_x0000_s283651"/>
                </a:ext>
                <a:ext uri="{FF2B5EF4-FFF2-40B4-BE49-F238E27FC236}">
                  <a16:creationId xmlns:a16="http://schemas.microsoft.com/office/drawing/2014/main" id="{00000000-0008-0000-0400-000003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ELIMINAR INFORME Y VOLVER</a:t>
              </a:r>
            </a:p>
          </xdr:txBody>
        </xdr:sp>
        <xdr:clientData fPrintsWithSheet="0"/>
      </xdr:twoCellAnchor>
    </mc:Choice>
    <mc:Fallback/>
  </mc:AlternateContent>
  <xdr:twoCellAnchor>
    <xdr:from>
      <xdr:col>3</xdr:col>
      <xdr:colOff>0</xdr:colOff>
      <xdr:row>10</xdr:row>
      <xdr:rowOff>0</xdr:rowOff>
    </xdr:from>
    <xdr:to>
      <xdr:col>13</xdr:col>
      <xdr:colOff>0</xdr:colOff>
      <xdr:row>15</xdr:row>
      <xdr:rowOff>203200</xdr:rowOff>
    </xdr:to>
    <xdr:grpSp>
      <xdr:nvGrpSpPr>
        <xdr:cNvPr id="283750" name="TablaResumenFlotante">
          <a:extLst>
            <a:ext uri="{FF2B5EF4-FFF2-40B4-BE49-F238E27FC236}">
              <a16:creationId xmlns:a16="http://schemas.microsoft.com/office/drawing/2014/main" id="{62057817-D9CD-6350-CA4B-AD67BC5EAA6E}"/>
            </a:ext>
          </a:extLst>
        </xdr:cNvPr>
        <xdr:cNvGrpSpPr/>
      </xdr:nvGrpSpPr>
      <xdr:grpSpPr>
        <a:xfrm>
          <a:off x="762000" y="2431143"/>
          <a:ext cx="7620000" cy="1382486"/>
          <a:chOff x="762000" y="2393950"/>
          <a:chExt cx="7620000" cy="1346200"/>
        </a:xfrm>
      </xdr:grpSpPr>
      <xdr:sp macro="" textlink="">
        <xdr:nvSpPr>
          <xdr:cNvPr id="283718" name="CuadroTexto 283717">
            <a:extLst>
              <a:ext uri="{FF2B5EF4-FFF2-40B4-BE49-F238E27FC236}">
                <a16:creationId xmlns:a16="http://schemas.microsoft.com/office/drawing/2014/main" id="{A5731CBB-1852-ED43-A86A-CEC463879AC4}"/>
              </a:ext>
            </a:extLst>
          </xdr:cNvPr>
          <xdr:cNvSpPr txBox="1"/>
        </xdr:nvSpPr>
        <xdr:spPr>
          <a:xfrm>
            <a:off x="762000" y="2393950"/>
            <a:ext cx="952500" cy="508000"/>
          </a:xfrm>
          <a:prstGeom prst="rect">
            <a:avLst/>
          </a:prstGeom>
          <a:solidFill>
            <a:srgbClr val="B4B4B4"/>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ESTADÍSTICAS</a:t>
            </a:r>
          </a:p>
        </xdr:txBody>
      </xdr:sp>
      <xdr:sp macro="" textlink="">
        <xdr:nvSpPr>
          <xdr:cNvPr id="283719" name="CuadroTexto 283718">
            <a:extLst>
              <a:ext uri="{FF2B5EF4-FFF2-40B4-BE49-F238E27FC236}">
                <a16:creationId xmlns:a16="http://schemas.microsoft.com/office/drawing/2014/main" id="{B1BB497D-6076-C65B-B37A-A576D9CD52AA}"/>
              </a:ext>
            </a:extLst>
          </xdr:cNvPr>
          <xdr:cNvSpPr txBox="1"/>
        </xdr:nvSpPr>
        <xdr:spPr>
          <a:xfrm>
            <a:off x="762000" y="2901950"/>
            <a:ext cx="952500" cy="279400"/>
          </a:xfrm>
          <a:prstGeom prst="rect">
            <a:avLst/>
          </a:prstGeom>
          <a:solidFill>
            <a:srgbClr val="DCDCDC"/>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Nota Media</a:t>
            </a:r>
          </a:p>
        </xdr:txBody>
      </xdr:sp>
      <xdr:sp macro="" textlink="">
        <xdr:nvSpPr>
          <xdr:cNvPr id="283720" name="CuadroTexto 283719">
            <a:extLst>
              <a:ext uri="{FF2B5EF4-FFF2-40B4-BE49-F238E27FC236}">
                <a16:creationId xmlns:a16="http://schemas.microsoft.com/office/drawing/2014/main" id="{DE3673D5-B17E-5D55-59AA-32D34BC08B66}"/>
              </a:ext>
            </a:extLst>
          </xdr:cNvPr>
          <xdr:cNvSpPr txBox="1"/>
        </xdr:nvSpPr>
        <xdr:spPr>
          <a:xfrm>
            <a:off x="762000" y="3181350"/>
            <a:ext cx="952500" cy="279400"/>
          </a:xfrm>
          <a:prstGeom prst="rect">
            <a:avLst/>
          </a:prstGeom>
          <a:solidFill>
            <a:srgbClr val="DCDCDC"/>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Desv. Típica</a:t>
            </a:r>
          </a:p>
        </xdr:txBody>
      </xdr:sp>
      <xdr:sp macro="" textlink="">
        <xdr:nvSpPr>
          <xdr:cNvPr id="283721" name="CuadroTexto 283720">
            <a:extLst>
              <a:ext uri="{FF2B5EF4-FFF2-40B4-BE49-F238E27FC236}">
                <a16:creationId xmlns:a16="http://schemas.microsoft.com/office/drawing/2014/main" id="{B5C98DC5-D96E-6919-6368-988AC877956C}"/>
              </a:ext>
            </a:extLst>
          </xdr:cNvPr>
          <xdr:cNvSpPr txBox="1"/>
        </xdr:nvSpPr>
        <xdr:spPr>
          <a:xfrm>
            <a:off x="762000" y="3460750"/>
            <a:ext cx="952500" cy="279400"/>
          </a:xfrm>
          <a:prstGeom prst="rect">
            <a:avLst/>
          </a:prstGeom>
          <a:solidFill>
            <a:srgbClr val="DCDCDC"/>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 Aprobados</a:t>
            </a:r>
          </a:p>
        </xdr:txBody>
      </xdr:sp>
      <xdr:sp macro="" textlink="">
        <xdr:nvSpPr>
          <xdr:cNvPr id="283722" name="CuadroTexto 283721">
            <a:extLst>
              <a:ext uri="{FF2B5EF4-FFF2-40B4-BE49-F238E27FC236}">
                <a16:creationId xmlns:a16="http://schemas.microsoft.com/office/drawing/2014/main" id="{D70A67F5-396B-01B1-20C3-C19C5B07F993}"/>
              </a:ext>
            </a:extLst>
          </xdr:cNvPr>
          <xdr:cNvSpPr txBox="1"/>
        </xdr:nvSpPr>
        <xdr:spPr>
          <a:xfrm>
            <a:off x="1714500" y="2393950"/>
            <a:ext cx="952500" cy="508000"/>
          </a:xfrm>
          <a:prstGeom prst="rect">
            <a:avLst/>
          </a:prstGeom>
          <a:solidFill>
            <a:srgbClr val="0070C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Total Parciales</a:t>
            </a:r>
          </a:p>
        </xdr:txBody>
      </xdr:sp>
      <xdr:sp macro="" textlink="">
        <xdr:nvSpPr>
          <xdr:cNvPr id="283723" name="CuadroTexto 283722">
            <a:extLst>
              <a:ext uri="{FF2B5EF4-FFF2-40B4-BE49-F238E27FC236}">
                <a16:creationId xmlns:a16="http://schemas.microsoft.com/office/drawing/2014/main" id="{4E30DD5B-26B6-AF81-78C0-443831A8548C}"/>
              </a:ext>
            </a:extLst>
          </xdr:cNvPr>
          <xdr:cNvSpPr txBox="1"/>
        </xdr:nvSpPr>
        <xdr:spPr>
          <a:xfrm>
            <a:off x="1714500" y="2901950"/>
            <a:ext cx="952500" cy="279400"/>
          </a:xfrm>
          <a:prstGeom prst="rect">
            <a:avLst/>
          </a:prstGeom>
          <a:solidFill>
            <a:srgbClr val="5B9BD5"/>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5,09</a:t>
            </a:r>
          </a:p>
        </xdr:txBody>
      </xdr:sp>
      <xdr:sp macro="" textlink="">
        <xdr:nvSpPr>
          <xdr:cNvPr id="283724" name="CuadroTexto 283723">
            <a:extLst>
              <a:ext uri="{FF2B5EF4-FFF2-40B4-BE49-F238E27FC236}">
                <a16:creationId xmlns:a16="http://schemas.microsoft.com/office/drawing/2014/main" id="{38746B09-AA51-80A9-6636-FF0768B0CB45}"/>
              </a:ext>
            </a:extLst>
          </xdr:cNvPr>
          <xdr:cNvSpPr txBox="1"/>
        </xdr:nvSpPr>
        <xdr:spPr>
          <a:xfrm>
            <a:off x="1714500" y="3181350"/>
            <a:ext cx="952500" cy="279400"/>
          </a:xfrm>
          <a:prstGeom prst="rect">
            <a:avLst/>
          </a:prstGeom>
          <a:solidFill>
            <a:srgbClr val="5B9BD5"/>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2,12</a:t>
            </a:r>
          </a:p>
        </xdr:txBody>
      </xdr:sp>
      <xdr:sp macro="" textlink="">
        <xdr:nvSpPr>
          <xdr:cNvPr id="283725" name="CuadroTexto 283724">
            <a:extLst>
              <a:ext uri="{FF2B5EF4-FFF2-40B4-BE49-F238E27FC236}">
                <a16:creationId xmlns:a16="http://schemas.microsoft.com/office/drawing/2014/main" id="{87A03821-8DD6-23B2-CAE3-F57A7ADF3B7B}"/>
              </a:ext>
            </a:extLst>
          </xdr:cNvPr>
          <xdr:cNvSpPr txBox="1"/>
        </xdr:nvSpPr>
        <xdr:spPr>
          <a:xfrm>
            <a:off x="1714500" y="3460750"/>
            <a:ext cx="952500" cy="279400"/>
          </a:xfrm>
          <a:prstGeom prst="rect">
            <a:avLst/>
          </a:prstGeom>
          <a:solidFill>
            <a:srgbClr val="5B9BD5"/>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56%</a:t>
            </a:r>
          </a:p>
        </xdr:txBody>
      </xdr:sp>
      <xdr:sp macro="" textlink="">
        <xdr:nvSpPr>
          <xdr:cNvPr id="283726" name="CuadroTexto 283725">
            <a:extLst>
              <a:ext uri="{FF2B5EF4-FFF2-40B4-BE49-F238E27FC236}">
                <a16:creationId xmlns:a16="http://schemas.microsoft.com/office/drawing/2014/main" id="{2AC08A6F-DEEB-5FF0-CFA2-883FE3DC4AFB}"/>
              </a:ext>
            </a:extLst>
          </xdr:cNvPr>
          <xdr:cNvSpPr txBox="1"/>
        </xdr:nvSpPr>
        <xdr:spPr>
          <a:xfrm>
            <a:off x="2667000" y="2393950"/>
            <a:ext cx="952500" cy="508000"/>
          </a:xfrm>
          <a:prstGeom prst="rect">
            <a:avLst/>
          </a:prstGeom>
          <a:solidFill>
            <a:srgbClr val="0070C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1º PARCIAL (15%)</a:t>
            </a:r>
          </a:p>
        </xdr:txBody>
      </xdr:sp>
      <xdr:sp macro="" textlink="">
        <xdr:nvSpPr>
          <xdr:cNvPr id="283727" name="CuadroTexto 283726">
            <a:extLst>
              <a:ext uri="{FF2B5EF4-FFF2-40B4-BE49-F238E27FC236}">
                <a16:creationId xmlns:a16="http://schemas.microsoft.com/office/drawing/2014/main" id="{B79F051B-08CC-5B13-EC8A-474835B27C63}"/>
              </a:ext>
            </a:extLst>
          </xdr:cNvPr>
          <xdr:cNvSpPr txBox="1"/>
        </xdr:nvSpPr>
        <xdr:spPr>
          <a:xfrm>
            <a:off x="2667000" y="29019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5,22</a:t>
            </a:r>
          </a:p>
        </xdr:txBody>
      </xdr:sp>
      <xdr:sp macro="" textlink="">
        <xdr:nvSpPr>
          <xdr:cNvPr id="283728" name="CuadroTexto 283727">
            <a:extLst>
              <a:ext uri="{FF2B5EF4-FFF2-40B4-BE49-F238E27FC236}">
                <a16:creationId xmlns:a16="http://schemas.microsoft.com/office/drawing/2014/main" id="{039973FE-9559-8F61-BE7B-DDC5B87BC3F6}"/>
              </a:ext>
            </a:extLst>
          </xdr:cNvPr>
          <xdr:cNvSpPr txBox="1"/>
        </xdr:nvSpPr>
        <xdr:spPr>
          <a:xfrm>
            <a:off x="2667000" y="31813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2,15</a:t>
            </a:r>
          </a:p>
        </xdr:txBody>
      </xdr:sp>
      <xdr:sp macro="" textlink="">
        <xdr:nvSpPr>
          <xdr:cNvPr id="283729" name="CuadroTexto 283728">
            <a:extLst>
              <a:ext uri="{FF2B5EF4-FFF2-40B4-BE49-F238E27FC236}">
                <a16:creationId xmlns:a16="http://schemas.microsoft.com/office/drawing/2014/main" id="{3FB13F4E-75F1-3875-026B-3993331582AF}"/>
              </a:ext>
            </a:extLst>
          </xdr:cNvPr>
          <xdr:cNvSpPr txBox="1"/>
        </xdr:nvSpPr>
        <xdr:spPr>
          <a:xfrm>
            <a:off x="2667000" y="34607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59%</a:t>
            </a:r>
          </a:p>
        </xdr:txBody>
      </xdr:sp>
      <xdr:sp macro="" textlink="">
        <xdr:nvSpPr>
          <xdr:cNvPr id="283730" name="CuadroTexto 283729">
            <a:extLst>
              <a:ext uri="{FF2B5EF4-FFF2-40B4-BE49-F238E27FC236}">
                <a16:creationId xmlns:a16="http://schemas.microsoft.com/office/drawing/2014/main" id="{337B5B23-8693-25AC-DC9A-6880E8A715D3}"/>
              </a:ext>
            </a:extLst>
          </xdr:cNvPr>
          <xdr:cNvSpPr txBox="1"/>
        </xdr:nvSpPr>
        <xdr:spPr>
          <a:xfrm>
            <a:off x="3619500" y="2393950"/>
            <a:ext cx="952500" cy="508000"/>
          </a:xfrm>
          <a:prstGeom prst="rect">
            <a:avLst/>
          </a:prstGeom>
          <a:solidFill>
            <a:srgbClr val="0070C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2º PARCIAL (15%)</a:t>
            </a:r>
          </a:p>
        </xdr:txBody>
      </xdr:sp>
      <xdr:sp macro="" textlink="">
        <xdr:nvSpPr>
          <xdr:cNvPr id="283731" name="CuadroTexto 283730">
            <a:extLst>
              <a:ext uri="{FF2B5EF4-FFF2-40B4-BE49-F238E27FC236}">
                <a16:creationId xmlns:a16="http://schemas.microsoft.com/office/drawing/2014/main" id="{3BC2E8D6-F7DB-4AA5-F4E7-31E86ED86391}"/>
              </a:ext>
            </a:extLst>
          </xdr:cNvPr>
          <xdr:cNvSpPr txBox="1"/>
        </xdr:nvSpPr>
        <xdr:spPr>
          <a:xfrm>
            <a:off x="3619500" y="29019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4,95</a:t>
            </a:r>
          </a:p>
        </xdr:txBody>
      </xdr:sp>
      <xdr:sp macro="" textlink="">
        <xdr:nvSpPr>
          <xdr:cNvPr id="283732" name="CuadroTexto 283731">
            <a:extLst>
              <a:ext uri="{FF2B5EF4-FFF2-40B4-BE49-F238E27FC236}">
                <a16:creationId xmlns:a16="http://schemas.microsoft.com/office/drawing/2014/main" id="{19D94B3A-730C-BDEE-954B-25263FEF840F}"/>
              </a:ext>
            </a:extLst>
          </xdr:cNvPr>
          <xdr:cNvSpPr txBox="1"/>
        </xdr:nvSpPr>
        <xdr:spPr>
          <a:xfrm>
            <a:off x="3619500" y="31813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2,08</a:t>
            </a:r>
          </a:p>
        </xdr:txBody>
      </xdr:sp>
      <xdr:sp macro="" textlink="">
        <xdr:nvSpPr>
          <xdr:cNvPr id="283733" name="CuadroTexto 283732">
            <a:extLst>
              <a:ext uri="{FF2B5EF4-FFF2-40B4-BE49-F238E27FC236}">
                <a16:creationId xmlns:a16="http://schemas.microsoft.com/office/drawing/2014/main" id="{2037C99B-7810-AE22-A5B2-A10F2448FAA2}"/>
              </a:ext>
            </a:extLst>
          </xdr:cNvPr>
          <xdr:cNvSpPr txBox="1"/>
        </xdr:nvSpPr>
        <xdr:spPr>
          <a:xfrm>
            <a:off x="3619500" y="3460750"/>
            <a:ext cx="952500" cy="279400"/>
          </a:xfrm>
          <a:prstGeom prst="rect">
            <a:avLst/>
          </a:prstGeom>
          <a:solidFill>
            <a:srgbClr val="DDEBF7"/>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53%</a:t>
            </a:r>
          </a:p>
        </xdr:txBody>
      </xdr:sp>
      <xdr:sp macro="" textlink="">
        <xdr:nvSpPr>
          <xdr:cNvPr id="283734" name="CuadroTexto 283733">
            <a:extLst>
              <a:ext uri="{FF2B5EF4-FFF2-40B4-BE49-F238E27FC236}">
                <a16:creationId xmlns:a16="http://schemas.microsoft.com/office/drawing/2014/main" id="{88147BD9-D1A7-D9C6-7297-4C437B8B110A}"/>
              </a:ext>
            </a:extLst>
          </xdr:cNvPr>
          <xdr:cNvSpPr txBox="1"/>
        </xdr:nvSpPr>
        <xdr:spPr>
          <a:xfrm>
            <a:off x="4572000" y="2393950"/>
            <a:ext cx="952500" cy="508000"/>
          </a:xfrm>
          <a:prstGeom prst="rect">
            <a:avLst/>
          </a:prstGeom>
          <a:solidFill>
            <a:srgbClr val="1F4E2F"/>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Total Actividades</a:t>
            </a:r>
          </a:p>
        </xdr:txBody>
      </xdr:sp>
      <xdr:sp macro="" textlink="">
        <xdr:nvSpPr>
          <xdr:cNvPr id="283735" name="CuadroTexto 283734">
            <a:extLst>
              <a:ext uri="{FF2B5EF4-FFF2-40B4-BE49-F238E27FC236}">
                <a16:creationId xmlns:a16="http://schemas.microsoft.com/office/drawing/2014/main" id="{6FCDC064-9BC3-82E6-714A-7F5F5F2EFA88}"/>
              </a:ext>
            </a:extLst>
          </xdr:cNvPr>
          <xdr:cNvSpPr txBox="1"/>
        </xdr:nvSpPr>
        <xdr:spPr>
          <a:xfrm>
            <a:off x="4572000" y="2901950"/>
            <a:ext cx="952500" cy="279400"/>
          </a:xfrm>
          <a:prstGeom prst="rect">
            <a:avLst/>
          </a:prstGeom>
          <a:solidFill>
            <a:srgbClr val="00B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5,57</a:t>
            </a:r>
          </a:p>
        </xdr:txBody>
      </xdr:sp>
      <xdr:sp macro="" textlink="">
        <xdr:nvSpPr>
          <xdr:cNvPr id="283736" name="CuadroTexto 283735">
            <a:extLst>
              <a:ext uri="{FF2B5EF4-FFF2-40B4-BE49-F238E27FC236}">
                <a16:creationId xmlns:a16="http://schemas.microsoft.com/office/drawing/2014/main" id="{AA5EC56A-7EC2-0FC5-5F70-EB414F47E39D}"/>
              </a:ext>
            </a:extLst>
          </xdr:cNvPr>
          <xdr:cNvSpPr txBox="1"/>
        </xdr:nvSpPr>
        <xdr:spPr>
          <a:xfrm>
            <a:off x="4572000" y="3181350"/>
            <a:ext cx="952500" cy="279400"/>
          </a:xfrm>
          <a:prstGeom prst="rect">
            <a:avLst/>
          </a:prstGeom>
          <a:solidFill>
            <a:srgbClr val="00B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2,55</a:t>
            </a:r>
          </a:p>
        </xdr:txBody>
      </xdr:sp>
      <xdr:sp macro="" textlink="">
        <xdr:nvSpPr>
          <xdr:cNvPr id="283737" name="CuadroTexto 283736">
            <a:extLst>
              <a:ext uri="{FF2B5EF4-FFF2-40B4-BE49-F238E27FC236}">
                <a16:creationId xmlns:a16="http://schemas.microsoft.com/office/drawing/2014/main" id="{DFF8EEBD-A6DC-9E70-43E2-D1BA20AE61CC}"/>
              </a:ext>
            </a:extLst>
          </xdr:cNvPr>
          <xdr:cNvSpPr txBox="1"/>
        </xdr:nvSpPr>
        <xdr:spPr>
          <a:xfrm>
            <a:off x="4572000" y="3460750"/>
            <a:ext cx="952500" cy="279400"/>
          </a:xfrm>
          <a:prstGeom prst="rect">
            <a:avLst/>
          </a:prstGeom>
          <a:solidFill>
            <a:srgbClr val="00B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64%</a:t>
            </a:r>
          </a:p>
        </xdr:txBody>
      </xdr:sp>
      <xdr:sp macro="" textlink="">
        <xdr:nvSpPr>
          <xdr:cNvPr id="283738" name="CuadroTexto 283737">
            <a:extLst>
              <a:ext uri="{FF2B5EF4-FFF2-40B4-BE49-F238E27FC236}">
                <a16:creationId xmlns:a16="http://schemas.microsoft.com/office/drawing/2014/main" id="{DD3E6E75-76BF-19A6-D250-DC9EAE359F39}"/>
              </a:ext>
            </a:extLst>
          </xdr:cNvPr>
          <xdr:cNvSpPr txBox="1"/>
        </xdr:nvSpPr>
        <xdr:spPr>
          <a:xfrm>
            <a:off x="5524500" y="2393950"/>
            <a:ext cx="952500" cy="508000"/>
          </a:xfrm>
          <a:prstGeom prst="rect">
            <a:avLst/>
          </a:prstGeom>
          <a:solidFill>
            <a:srgbClr val="1F4E2F"/>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MATLAB (15%)</a:t>
            </a:r>
          </a:p>
        </xdr:txBody>
      </xdr:sp>
      <xdr:sp macro="" textlink="">
        <xdr:nvSpPr>
          <xdr:cNvPr id="283739" name="CuadroTexto 283738">
            <a:extLst>
              <a:ext uri="{FF2B5EF4-FFF2-40B4-BE49-F238E27FC236}">
                <a16:creationId xmlns:a16="http://schemas.microsoft.com/office/drawing/2014/main" id="{4710E14F-F4E0-F024-E0C9-E13D279CB0E5}"/>
              </a:ext>
            </a:extLst>
          </xdr:cNvPr>
          <xdr:cNvSpPr txBox="1"/>
        </xdr:nvSpPr>
        <xdr:spPr>
          <a:xfrm>
            <a:off x="5524500" y="29019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5,41</a:t>
            </a:r>
          </a:p>
        </xdr:txBody>
      </xdr:sp>
      <xdr:sp macro="" textlink="">
        <xdr:nvSpPr>
          <xdr:cNvPr id="283740" name="CuadroTexto 283739">
            <a:extLst>
              <a:ext uri="{FF2B5EF4-FFF2-40B4-BE49-F238E27FC236}">
                <a16:creationId xmlns:a16="http://schemas.microsoft.com/office/drawing/2014/main" id="{0F392360-91B4-A011-DE37-B654D15C0BC7}"/>
              </a:ext>
            </a:extLst>
          </xdr:cNvPr>
          <xdr:cNvSpPr txBox="1"/>
        </xdr:nvSpPr>
        <xdr:spPr>
          <a:xfrm>
            <a:off x="5524500" y="31813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2,39</a:t>
            </a:r>
          </a:p>
        </xdr:txBody>
      </xdr:sp>
      <xdr:sp macro="" textlink="">
        <xdr:nvSpPr>
          <xdr:cNvPr id="283741" name="CuadroTexto 283740">
            <a:extLst>
              <a:ext uri="{FF2B5EF4-FFF2-40B4-BE49-F238E27FC236}">
                <a16:creationId xmlns:a16="http://schemas.microsoft.com/office/drawing/2014/main" id="{2C4C0EED-31A1-5980-48DB-77F6C8B985EA}"/>
              </a:ext>
            </a:extLst>
          </xdr:cNvPr>
          <xdr:cNvSpPr txBox="1"/>
        </xdr:nvSpPr>
        <xdr:spPr>
          <a:xfrm>
            <a:off x="5524500" y="34607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60%</a:t>
            </a:r>
          </a:p>
        </xdr:txBody>
      </xdr:sp>
      <xdr:sp macro="" textlink="">
        <xdr:nvSpPr>
          <xdr:cNvPr id="283742" name="CuadroTexto 283741">
            <a:extLst>
              <a:ext uri="{FF2B5EF4-FFF2-40B4-BE49-F238E27FC236}">
                <a16:creationId xmlns:a16="http://schemas.microsoft.com/office/drawing/2014/main" id="{856FEBB1-A1E6-267C-20C4-19F20EF5E2E7}"/>
              </a:ext>
            </a:extLst>
          </xdr:cNvPr>
          <xdr:cNvSpPr txBox="1"/>
        </xdr:nvSpPr>
        <xdr:spPr>
          <a:xfrm>
            <a:off x="6477000" y="2393950"/>
            <a:ext cx="952500" cy="508000"/>
          </a:xfrm>
          <a:prstGeom prst="rect">
            <a:avLst/>
          </a:prstGeom>
          <a:solidFill>
            <a:srgbClr val="1F4E2F"/>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ACT COMP (15%)</a:t>
            </a:r>
          </a:p>
        </xdr:txBody>
      </xdr:sp>
      <xdr:sp macro="" textlink="">
        <xdr:nvSpPr>
          <xdr:cNvPr id="283743" name="CuadroTexto 283742">
            <a:extLst>
              <a:ext uri="{FF2B5EF4-FFF2-40B4-BE49-F238E27FC236}">
                <a16:creationId xmlns:a16="http://schemas.microsoft.com/office/drawing/2014/main" id="{D96141DF-18D0-6E5E-D013-3AEB4BBC25DC}"/>
              </a:ext>
            </a:extLst>
          </xdr:cNvPr>
          <xdr:cNvSpPr txBox="1"/>
        </xdr:nvSpPr>
        <xdr:spPr>
          <a:xfrm>
            <a:off x="6477000" y="29019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5,73</a:t>
            </a:r>
          </a:p>
        </xdr:txBody>
      </xdr:sp>
      <xdr:sp macro="" textlink="">
        <xdr:nvSpPr>
          <xdr:cNvPr id="283744" name="CuadroTexto 283743">
            <a:extLst>
              <a:ext uri="{FF2B5EF4-FFF2-40B4-BE49-F238E27FC236}">
                <a16:creationId xmlns:a16="http://schemas.microsoft.com/office/drawing/2014/main" id="{B0F5595A-4274-3EA5-7D80-59FE6ABBE04A}"/>
              </a:ext>
            </a:extLst>
          </xdr:cNvPr>
          <xdr:cNvSpPr txBox="1"/>
        </xdr:nvSpPr>
        <xdr:spPr>
          <a:xfrm>
            <a:off x="6477000" y="31813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2,72</a:t>
            </a:r>
          </a:p>
        </xdr:txBody>
      </xdr:sp>
      <xdr:sp macro="" textlink="">
        <xdr:nvSpPr>
          <xdr:cNvPr id="283745" name="CuadroTexto 283744">
            <a:extLst>
              <a:ext uri="{FF2B5EF4-FFF2-40B4-BE49-F238E27FC236}">
                <a16:creationId xmlns:a16="http://schemas.microsoft.com/office/drawing/2014/main" id="{0D1B6F6F-E33B-D570-0279-817CE1618792}"/>
              </a:ext>
            </a:extLst>
          </xdr:cNvPr>
          <xdr:cNvSpPr txBox="1"/>
        </xdr:nvSpPr>
        <xdr:spPr>
          <a:xfrm>
            <a:off x="6477000" y="3460750"/>
            <a:ext cx="952500" cy="279400"/>
          </a:xfrm>
          <a:prstGeom prst="rect">
            <a:avLst/>
          </a:prstGeom>
          <a:solidFill>
            <a:srgbClr val="92D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69%</a:t>
            </a:r>
          </a:p>
        </xdr:txBody>
      </xdr:sp>
      <xdr:sp macro="" textlink="">
        <xdr:nvSpPr>
          <xdr:cNvPr id="283746" name="CuadroTexto 283745">
            <a:extLst>
              <a:ext uri="{FF2B5EF4-FFF2-40B4-BE49-F238E27FC236}">
                <a16:creationId xmlns:a16="http://schemas.microsoft.com/office/drawing/2014/main" id="{024052AC-5435-4F93-E8C7-449C68DCFD8B}"/>
              </a:ext>
            </a:extLst>
          </xdr:cNvPr>
          <xdr:cNvSpPr txBox="1"/>
        </xdr:nvSpPr>
        <xdr:spPr>
          <a:xfrm>
            <a:off x="7429500" y="2393950"/>
            <a:ext cx="952500" cy="508000"/>
          </a:xfrm>
          <a:prstGeom prst="rect">
            <a:avLst/>
          </a:prstGeom>
          <a:solidFill>
            <a:srgbClr val="50505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FFFFFF"/>
                </a:solidFill>
              </a:rPr>
              <a:t>Examen Final</a:t>
            </a:r>
          </a:p>
        </xdr:txBody>
      </xdr:sp>
      <xdr:sp macro="" textlink="">
        <xdr:nvSpPr>
          <xdr:cNvPr id="283747" name="CuadroTexto 283746">
            <a:extLst>
              <a:ext uri="{FF2B5EF4-FFF2-40B4-BE49-F238E27FC236}">
                <a16:creationId xmlns:a16="http://schemas.microsoft.com/office/drawing/2014/main" id="{D7E2923F-BA79-1B31-0F47-12A747CF5A13}"/>
              </a:ext>
            </a:extLst>
          </xdr:cNvPr>
          <xdr:cNvSpPr txBox="1"/>
        </xdr:nvSpPr>
        <xdr:spPr>
          <a:xfrm>
            <a:off x="7429500" y="2901950"/>
            <a:ext cx="952500" cy="279400"/>
          </a:xfrm>
          <a:prstGeom prst="rect">
            <a:avLst/>
          </a:prstGeom>
          <a:solidFill>
            <a:srgbClr val="FF660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5,38</a:t>
            </a:r>
          </a:p>
        </xdr:txBody>
      </xdr:sp>
      <xdr:sp macro="" textlink="">
        <xdr:nvSpPr>
          <xdr:cNvPr id="283748" name="CuadroTexto 283747">
            <a:extLst>
              <a:ext uri="{FF2B5EF4-FFF2-40B4-BE49-F238E27FC236}">
                <a16:creationId xmlns:a16="http://schemas.microsoft.com/office/drawing/2014/main" id="{1FB0A848-361D-0781-B87B-72C70E0A569A}"/>
              </a:ext>
            </a:extLst>
          </xdr:cNvPr>
          <xdr:cNvSpPr txBox="1"/>
        </xdr:nvSpPr>
        <xdr:spPr>
          <a:xfrm>
            <a:off x="7429500" y="3181350"/>
            <a:ext cx="952500" cy="279400"/>
          </a:xfrm>
          <a:prstGeom prst="rect">
            <a:avLst/>
          </a:prstGeom>
          <a:solidFill>
            <a:srgbClr val="FF660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2,20</a:t>
            </a:r>
          </a:p>
        </xdr:txBody>
      </xdr:sp>
      <xdr:sp macro="" textlink="">
        <xdr:nvSpPr>
          <xdr:cNvPr id="283749" name="CuadroTexto 283748">
            <a:extLst>
              <a:ext uri="{FF2B5EF4-FFF2-40B4-BE49-F238E27FC236}">
                <a16:creationId xmlns:a16="http://schemas.microsoft.com/office/drawing/2014/main" id="{7F644A20-C75C-6EE0-5534-48DB4DCD399B}"/>
              </a:ext>
            </a:extLst>
          </xdr:cNvPr>
          <xdr:cNvSpPr txBox="1"/>
        </xdr:nvSpPr>
        <xdr:spPr>
          <a:xfrm>
            <a:off x="7429500" y="3460750"/>
            <a:ext cx="952500" cy="279400"/>
          </a:xfrm>
          <a:prstGeom prst="rect">
            <a:avLst/>
          </a:prstGeom>
          <a:solidFill>
            <a:srgbClr val="FF6600"/>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vertOverflow="clip" horzOverflow="clip" vert="horz" lIns="25400" rIns="25400" rtlCol="0" anchor="ctr"/>
          <a:lstStyle/>
          <a:p>
            <a:pPr algn="ctr"/>
            <a:r>
              <a:rPr lang="es-ES" sz="800" b="1">
                <a:solidFill>
                  <a:srgbClr val="000000"/>
                </a:solidFill>
              </a:rPr>
              <a:t>67%</a:t>
            </a:r>
          </a:p>
        </xdr:txBody>
      </xdr:sp>
    </xdr:grpSp>
    <xdr:clientData/>
  </xdr:twoCellAnchor>
  <xdr:twoCellAnchor>
    <xdr:from>
      <xdr:col>3</xdr:col>
      <xdr:colOff>0</xdr:colOff>
      <xdr:row>17</xdr:row>
      <xdr:rowOff>0</xdr:rowOff>
    </xdr:from>
    <xdr:to>
      <xdr:col>7</xdr:col>
      <xdr:colOff>0</xdr:colOff>
      <xdr:row>33</xdr:row>
      <xdr:rowOff>0</xdr:rowOff>
    </xdr:to>
    <xdr:graphicFrame macro="">
      <xdr:nvGraphicFramePr>
        <xdr:cNvPr id="283751" name="ContenedorGrafico">
          <a:extLst>
            <a:ext uri="{FF2B5EF4-FFF2-40B4-BE49-F238E27FC236}">
              <a16:creationId xmlns:a16="http://schemas.microsoft.com/office/drawing/2014/main" id="{D659065D-0872-4A79-F39D-FFDE1C028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34</xdr:row>
      <xdr:rowOff>0</xdr:rowOff>
    </xdr:from>
    <xdr:to>
      <xdr:col>7</xdr:col>
      <xdr:colOff>0</xdr:colOff>
      <xdr:row>50</xdr:row>
      <xdr:rowOff>0</xdr:rowOff>
    </xdr:to>
    <xdr:graphicFrame macro="">
      <xdr:nvGraphicFramePr>
        <xdr:cNvPr id="283752" name="HistogramaNotas">
          <a:extLst>
            <a:ext uri="{FF2B5EF4-FFF2-40B4-BE49-F238E27FC236}">
              <a16:creationId xmlns:a16="http://schemas.microsoft.com/office/drawing/2014/main" id="{34203044-3DDD-8FE6-6858-621C425ED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127000</xdr:colOff>
      <xdr:row>17</xdr:row>
      <xdr:rowOff>0</xdr:rowOff>
    </xdr:from>
    <xdr:to>
      <xdr:col>13</xdr:col>
      <xdr:colOff>0</xdr:colOff>
      <xdr:row>33</xdr:row>
      <xdr:rowOff>0</xdr:rowOff>
    </xdr:to>
    <xdr:graphicFrame macro="">
      <xdr:nvGraphicFramePr>
        <xdr:cNvPr id="283753" name="GraficoDispersion">
          <a:extLst>
            <a:ext uri="{FF2B5EF4-FFF2-40B4-BE49-F238E27FC236}">
              <a16:creationId xmlns:a16="http://schemas.microsoft.com/office/drawing/2014/main" id="{06A9B12D-B9E2-5FF3-0876-1794E81D7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51</xdr:row>
      <xdr:rowOff>0</xdr:rowOff>
    </xdr:from>
    <xdr:to>
      <xdr:col>13</xdr:col>
      <xdr:colOff>0</xdr:colOff>
      <xdr:row>70</xdr:row>
      <xdr:rowOff>114300</xdr:rowOff>
    </xdr:to>
    <xdr:grpSp>
      <xdr:nvGrpSpPr>
        <xdr:cNvPr id="283846" name="TablaDudososFlotante">
          <a:extLst>
            <a:ext uri="{FF2B5EF4-FFF2-40B4-BE49-F238E27FC236}">
              <a16:creationId xmlns:a16="http://schemas.microsoft.com/office/drawing/2014/main" id="{0C61B6EF-6673-E87F-8CF2-F08675B396AF}"/>
            </a:ext>
          </a:extLst>
        </xdr:cNvPr>
        <xdr:cNvGrpSpPr/>
      </xdr:nvGrpSpPr>
      <xdr:grpSpPr>
        <a:xfrm>
          <a:off x="762000" y="12101286"/>
          <a:ext cx="7620000" cy="4595585"/>
          <a:chOff x="762000" y="11766550"/>
          <a:chExt cx="7620000" cy="4457700"/>
        </a:xfrm>
      </xdr:grpSpPr>
      <xdr:sp macro="" textlink="">
        <xdr:nvSpPr>
          <xdr:cNvPr id="283754" name="DudCell_83081,71_1">
            <a:extLst>
              <a:ext uri="{FF2B5EF4-FFF2-40B4-BE49-F238E27FC236}">
                <a16:creationId xmlns:a16="http://schemas.microsoft.com/office/drawing/2014/main" id="{A2993AEC-88A5-08EF-299A-37AF886E7BEF}"/>
              </a:ext>
            </a:extLst>
          </xdr:cNvPr>
          <xdr:cNvSpPr/>
        </xdr:nvSpPr>
        <xdr:spPr>
          <a:xfrm>
            <a:off x="762000" y="11766550"/>
            <a:ext cx="7620000" cy="571500"/>
          </a:xfrm>
          <a:prstGeom prst="rect">
            <a:avLst/>
          </a:prstGeom>
          <a:solidFill>
            <a:srgbClr val="4472C4"/>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600" b="1">
                <a:solidFill>
                  <a:srgbClr val="FFFFFF"/>
                </a:solidFill>
              </a:rPr>
              <a:t>ALUMNOS EN REVISIÓN (NOTAS 4.5 - 4.9)</a:t>
            </a:r>
          </a:p>
        </xdr:txBody>
      </xdr:sp>
      <xdr:sp macro="" textlink="">
        <xdr:nvSpPr>
          <xdr:cNvPr id="283756" name="DudCell_83081,84_2">
            <a:extLst>
              <a:ext uri="{FF2B5EF4-FFF2-40B4-BE49-F238E27FC236}">
                <a16:creationId xmlns:a16="http://schemas.microsoft.com/office/drawing/2014/main" id="{F14D8061-34D3-26AA-6E3B-6FFFECAB2911}"/>
              </a:ext>
            </a:extLst>
          </xdr:cNvPr>
          <xdr:cNvSpPr/>
        </xdr:nvSpPr>
        <xdr:spPr>
          <a:xfrm>
            <a:off x="762000" y="12338050"/>
            <a:ext cx="2540000" cy="635000"/>
          </a:xfrm>
          <a:prstGeom prst="rect">
            <a:avLst/>
          </a:prstGeom>
          <a:solidFill>
            <a:srgbClr val="D9E1F2"/>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rgbClr val="000000"/>
                </a:solidFill>
              </a:rPr>
              <a:t>Nombre del alumno</a:t>
            </a:r>
          </a:p>
        </xdr:txBody>
      </xdr:sp>
      <xdr:sp macro="" textlink="">
        <xdr:nvSpPr>
          <xdr:cNvPr id="283758" name="DudCell_83081,91_3">
            <a:extLst>
              <a:ext uri="{FF2B5EF4-FFF2-40B4-BE49-F238E27FC236}">
                <a16:creationId xmlns:a16="http://schemas.microsoft.com/office/drawing/2014/main" id="{24D25EFA-26E4-E83B-DFE4-516688463CF3}"/>
              </a:ext>
            </a:extLst>
          </xdr:cNvPr>
          <xdr:cNvSpPr/>
        </xdr:nvSpPr>
        <xdr:spPr>
          <a:xfrm>
            <a:off x="3302000" y="12338050"/>
            <a:ext cx="1270000" cy="635000"/>
          </a:xfrm>
          <a:prstGeom prst="rect">
            <a:avLst/>
          </a:prstGeom>
          <a:solidFill>
            <a:srgbClr val="D9E1F2"/>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rgbClr val="000000"/>
                </a:solidFill>
              </a:rPr>
              <a:t>Nota media final</a:t>
            </a:r>
          </a:p>
        </xdr:txBody>
      </xdr:sp>
      <xdr:sp macro="" textlink="">
        <xdr:nvSpPr>
          <xdr:cNvPr id="283760" name="DudCell_83081,97_4">
            <a:extLst>
              <a:ext uri="{FF2B5EF4-FFF2-40B4-BE49-F238E27FC236}">
                <a16:creationId xmlns:a16="http://schemas.microsoft.com/office/drawing/2014/main" id="{FFD7119F-F8B2-4956-FD0C-C1B8348760D2}"/>
              </a:ext>
            </a:extLst>
          </xdr:cNvPr>
          <xdr:cNvSpPr/>
        </xdr:nvSpPr>
        <xdr:spPr>
          <a:xfrm>
            <a:off x="4572000" y="12338050"/>
            <a:ext cx="1270000" cy="635000"/>
          </a:xfrm>
          <a:prstGeom prst="rect">
            <a:avLst/>
          </a:prstGeom>
          <a:solidFill>
            <a:srgbClr val="D9E1F2"/>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rgbClr val="000000"/>
                </a:solidFill>
              </a:rPr>
              <a:t>Media exámenes</a:t>
            </a:r>
          </a:p>
        </xdr:txBody>
      </xdr:sp>
      <xdr:sp macro="" textlink="">
        <xdr:nvSpPr>
          <xdr:cNvPr id="283762" name="DudCell_83082,04_5">
            <a:extLst>
              <a:ext uri="{FF2B5EF4-FFF2-40B4-BE49-F238E27FC236}">
                <a16:creationId xmlns:a16="http://schemas.microsoft.com/office/drawing/2014/main" id="{9A2D9BAE-741D-098C-D443-955DE3590957}"/>
              </a:ext>
            </a:extLst>
          </xdr:cNvPr>
          <xdr:cNvSpPr/>
        </xdr:nvSpPr>
        <xdr:spPr>
          <a:xfrm>
            <a:off x="5842000" y="12338050"/>
            <a:ext cx="1270000" cy="635000"/>
          </a:xfrm>
          <a:prstGeom prst="rect">
            <a:avLst/>
          </a:prstGeom>
          <a:solidFill>
            <a:srgbClr val="D9E1F2"/>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rgbClr val="000000"/>
                </a:solidFill>
              </a:rPr>
              <a:t>Media actividades</a:t>
            </a:r>
          </a:p>
        </xdr:txBody>
      </xdr:sp>
      <xdr:sp macro="" textlink="">
        <xdr:nvSpPr>
          <xdr:cNvPr id="283764" name="DudCell_83082,1_6">
            <a:extLst>
              <a:ext uri="{FF2B5EF4-FFF2-40B4-BE49-F238E27FC236}">
                <a16:creationId xmlns:a16="http://schemas.microsoft.com/office/drawing/2014/main" id="{69669631-9A97-2B14-3DB0-DC645D0DE5BE}"/>
              </a:ext>
            </a:extLst>
          </xdr:cNvPr>
          <xdr:cNvSpPr/>
        </xdr:nvSpPr>
        <xdr:spPr>
          <a:xfrm>
            <a:off x="7112000" y="12338050"/>
            <a:ext cx="1270000" cy="635000"/>
          </a:xfrm>
          <a:prstGeom prst="rect">
            <a:avLst/>
          </a:prstGeom>
          <a:solidFill>
            <a:srgbClr val="D9E1F2"/>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rgbClr val="000000"/>
                </a:solidFill>
              </a:rPr>
              <a:t>Impacto actividades</a:t>
            </a:r>
          </a:p>
        </xdr:txBody>
      </xdr:sp>
      <xdr:sp macro="" textlink="">
        <xdr:nvSpPr>
          <xdr:cNvPr id="283766" name="DudCell_83082,17_7">
            <a:extLst>
              <a:ext uri="{FF2B5EF4-FFF2-40B4-BE49-F238E27FC236}">
                <a16:creationId xmlns:a16="http://schemas.microsoft.com/office/drawing/2014/main" id="{7EA67471-C2B8-0242-85DA-BC90A4A5EFE7}"/>
              </a:ext>
            </a:extLst>
          </xdr:cNvPr>
          <xdr:cNvSpPr/>
        </xdr:nvSpPr>
        <xdr:spPr>
          <a:xfrm>
            <a:off x="762000" y="129730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768" name="DudCell_83082,23_8">
            <a:extLst>
              <a:ext uri="{FF2B5EF4-FFF2-40B4-BE49-F238E27FC236}">
                <a16:creationId xmlns:a16="http://schemas.microsoft.com/office/drawing/2014/main" id="{1996226B-3E84-65C7-809A-B5530DB33DB7}"/>
              </a:ext>
            </a:extLst>
          </xdr:cNvPr>
          <xdr:cNvSpPr/>
        </xdr:nvSpPr>
        <xdr:spPr>
          <a:xfrm>
            <a:off x="3302000" y="12973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4,72</a:t>
            </a:r>
          </a:p>
        </xdr:txBody>
      </xdr:sp>
      <xdr:sp macro="" textlink="">
        <xdr:nvSpPr>
          <xdr:cNvPr id="283770" name="DudCell_83082,3_9">
            <a:extLst>
              <a:ext uri="{FF2B5EF4-FFF2-40B4-BE49-F238E27FC236}">
                <a16:creationId xmlns:a16="http://schemas.microsoft.com/office/drawing/2014/main" id="{25D32295-BFFA-5C9B-0873-6F52F7063801}"/>
              </a:ext>
            </a:extLst>
          </xdr:cNvPr>
          <xdr:cNvSpPr/>
        </xdr:nvSpPr>
        <xdr:spPr>
          <a:xfrm>
            <a:off x="4572000" y="12973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4,53</a:t>
            </a:r>
          </a:p>
        </xdr:txBody>
      </xdr:sp>
      <xdr:sp macro="" textlink="">
        <xdr:nvSpPr>
          <xdr:cNvPr id="283772" name="DudCell_83082,37_10">
            <a:extLst>
              <a:ext uri="{FF2B5EF4-FFF2-40B4-BE49-F238E27FC236}">
                <a16:creationId xmlns:a16="http://schemas.microsoft.com/office/drawing/2014/main" id="{6DDE3133-A39E-5311-A0A7-727EAD5D7C90}"/>
              </a:ext>
            </a:extLst>
          </xdr:cNvPr>
          <xdr:cNvSpPr/>
        </xdr:nvSpPr>
        <xdr:spPr>
          <a:xfrm>
            <a:off x="5842000" y="12973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4,25</a:t>
            </a:r>
          </a:p>
        </xdr:txBody>
      </xdr:sp>
      <xdr:sp macro="" textlink="">
        <xdr:nvSpPr>
          <xdr:cNvPr id="283774" name="DudCell_83082,43_11">
            <a:extLst>
              <a:ext uri="{FF2B5EF4-FFF2-40B4-BE49-F238E27FC236}">
                <a16:creationId xmlns:a16="http://schemas.microsoft.com/office/drawing/2014/main" id="{E256800F-F946-945B-81B1-2336772248DB}"/>
              </a:ext>
            </a:extLst>
          </xdr:cNvPr>
          <xdr:cNvSpPr/>
        </xdr:nvSpPr>
        <xdr:spPr>
          <a:xfrm>
            <a:off x="7112000" y="12973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C80000"/>
                </a:solidFill>
              </a:rPr>
              <a:t>-0,28</a:t>
            </a:r>
          </a:p>
        </xdr:txBody>
      </xdr:sp>
      <xdr:sp macro="" textlink="">
        <xdr:nvSpPr>
          <xdr:cNvPr id="283776" name="DudCell_83082,5_12">
            <a:extLst>
              <a:ext uri="{FF2B5EF4-FFF2-40B4-BE49-F238E27FC236}">
                <a16:creationId xmlns:a16="http://schemas.microsoft.com/office/drawing/2014/main" id="{C8385307-9FF1-B390-5988-95AB56A051B4}"/>
              </a:ext>
            </a:extLst>
          </xdr:cNvPr>
          <xdr:cNvSpPr/>
        </xdr:nvSpPr>
        <xdr:spPr>
          <a:xfrm>
            <a:off x="762000" y="133794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778" name="DudCell_83082,56_13">
            <a:extLst>
              <a:ext uri="{FF2B5EF4-FFF2-40B4-BE49-F238E27FC236}">
                <a16:creationId xmlns:a16="http://schemas.microsoft.com/office/drawing/2014/main" id="{D84366D0-2B69-5216-CA3E-FCDA88D8103D}"/>
              </a:ext>
            </a:extLst>
          </xdr:cNvPr>
          <xdr:cNvSpPr/>
        </xdr:nvSpPr>
        <xdr:spPr>
          <a:xfrm>
            <a:off x="3302000" y="13379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4,85</a:t>
            </a:r>
          </a:p>
        </xdr:txBody>
      </xdr:sp>
      <xdr:sp macro="" textlink="">
        <xdr:nvSpPr>
          <xdr:cNvPr id="283780" name="DudCell_83082,63_14">
            <a:extLst>
              <a:ext uri="{FF2B5EF4-FFF2-40B4-BE49-F238E27FC236}">
                <a16:creationId xmlns:a16="http://schemas.microsoft.com/office/drawing/2014/main" id="{E80A340C-8C45-1623-E115-312BB685BCBF}"/>
              </a:ext>
            </a:extLst>
          </xdr:cNvPr>
          <xdr:cNvSpPr/>
        </xdr:nvSpPr>
        <xdr:spPr>
          <a:xfrm>
            <a:off x="4572000" y="13379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2,77</a:t>
            </a:r>
          </a:p>
        </xdr:txBody>
      </xdr:sp>
      <xdr:sp macro="" textlink="">
        <xdr:nvSpPr>
          <xdr:cNvPr id="283782" name="DudCell_83082,7_15">
            <a:extLst>
              <a:ext uri="{FF2B5EF4-FFF2-40B4-BE49-F238E27FC236}">
                <a16:creationId xmlns:a16="http://schemas.microsoft.com/office/drawing/2014/main" id="{C4045EEB-CDC1-6061-0FCC-03DECAE6E375}"/>
              </a:ext>
            </a:extLst>
          </xdr:cNvPr>
          <xdr:cNvSpPr/>
        </xdr:nvSpPr>
        <xdr:spPr>
          <a:xfrm>
            <a:off x="5842000" y="13379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9,50</a:t>
            </a:r>
          </a:p>
        </xdr:txBody>
      </xdr:sp>
      <xdr:sp macro="" textlink="">
        <xdr:nvSpPr>
          <xdr:cNvPr id="283784" name="DudCell_83082,76_16">
            <a:extLst>
              <a:ext uri="{FF2B5EF4-FFF2-40B4-BE49-F238E27FC236}">
                <a16:creationId xmlns:a16="http://schemas.microsoft.com/office/drawing/2014/main" id="{26A26BC1-8616-4A6B-5A30-7B9067ED6806}"/>
              </a:ext>
            </a:extLst>
          </xdr:cNvPr>
          <xdr:cNvSpPr/>
        </xdr:nvSpPr>
        <xdr:spPr>
          <a:xfrm>
            <a:off x="7112000" y="13379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008000"/>
                </a:solidFill>
              </a:rPr>
              <a:t>+6,73</a:t>
            </a:r>
          </a:p>
        </xdr:txBody>
      </xdr:sp>
      <xdr:sp macro="" textlink="">
        <xdr:nvSpPr>
          <xdr:cNvPr id="283786" name="DudCell_83082,83_17">
            <a:extLst>
              <a:ext uri="{FF2B5EF4-FFF2-40B4-BE49-F238E27FC236}">
                <a16:creationId xmlns:a16="http://schemas.microsoft.com/office/drawing/2014/main" id="{5BA7EA2B-2FC3-59E5-F1F9-7DEBC267D25C}"/>
              </a:ext>
            </a:extLst>
          </xdr:cNvPr>
          <xdr:cNvSpPr/>
        </xdr:nvSpPr>
        <xdr:spPr>
          <a:xfrm>
            <a:off x="762000" y="137858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788" name="DudCell_83082,89_18">
            <a:extLst>
              <a:ext uri="{FF2B5EF4-FFF2-40B4-BE49-F238E27FC236}">
                <a16:creationId xmlns:a16="http://schemas.microsoft.com/office/drawing/2014/main" id="{79BFE2AE-BD61-EC67-7A2C-93FC16946C95}"/>
              </a:ext>
            </a:extLst>
          </xdr:cNvPr>
          <xdr:cNvSpPr/>
        </xdr:nvSpPr>
        <xdr:spPr>
          <a:xfrm>
            <a:off x="3302000" y="13785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4,68</a:t>
            </a:r>
          </a:p>
        </xdr:txBody>
      </xdr:sp>
      <xdr:sp macro="" textlink="">
        <xdr:nvSpPr>
          <xdr:cNvPr id="283790" name="DudCell_83082,96_19">
            <a:extLst>
              <a:ext uri="{FF2B5EF4-FFF2-40B4-BE49-F238E27FC236}">
                <a16:creationId xmlns:a16="http://schemas.microsoft.com/office/drawing/2014/main" id="{5C7D652E-AFCC-0F41-6F7D-ADFD2826FE4C}"/>
              </a:ext>
            </a:extLst>
          </xdr:cNvPr>
          <xdr:cNvSpPr/>
        </xdr:nvSpPr>
        <xdr:spPr>
          <a:xfrm>
            <a:off x="4572000" y="13785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4,75</a:t>
            </a:r>
          </a:p>
        </xdr:txBody>
      </xdr:sp>
      <xdr:sp macro="" textlink="">
        <xdr:nvSpPr>
          <xdr:cNvPr id="283792" name="DudCell_83083,02_20">
            <a:extLst>
              <a:ext uri="{FF2B5EF4-FFF2-40B4-BE49-F238E27FC236}">
                <a16:creationId xmlns:a16="http://schemas.microsoft.com/office/drawing/2014/main" id="{10FDE326-F6CE-5FB7-5746-26E1AF490BD2}"/>
              </a:ext>
            </a:extLst>
          </xdr:cNvPr>
          <xdr:cNvSpPr/>
        </xdr:nvSpPr>
        <xdr:spPr>
          <a:xfrm>
            <a:off x="5842000" y="13785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4,03</a:t>
            </a:r>
          </a:p>
        </xdr:txBody>
      </xdr:sp>
      <xdr:sp macro="" textlink="">
        <xdr:nvSpPr>
          <xdr:cNvPr id="283794" name="DudCell_83083,09_21">
            <a:extLst>
              <a:ext uri="{FF2B5EF4-FFF2-40B4-BE49-F238E27FC236}">
                <a16:creationId xmlns:a16="http://schemas.microsoft.com/office/drawing/2014/main" id="{735F4A02-341C-5AD8-C59F-B3F1FC54D47B}"/>
              </a:ext>
            </a:extLst>
          </xdr:cNvPr>
          <xdr:cNvSpPr/>
        </xdr:nvSpPr>
        <xdr:spPr>
          <a:xfrm>
            <a:off x="7112000" y="13785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C80000"/>
                </a:solidFill>
              </a:rPr>
              <a:t>-0,73</a:t>
            </a:r>
          </a:p>
        </xdr:txBody>
      </xdr:sp>
      <xdr:sp macro="" textlink="">
        <xdr:nvSpPr>
          <xdr:cNvPr id="283796" name="DudCell_83083,16_22">
            <a:extLst>
              <a:ext uri="{FF2B5EF4-FFF2-40B4-BE49-F238E27FC236}">
                <a16:creationId xmlns:a16="http://schemas.microsoft.com/office/drawing/2014/main" id="{6CB55E5E-21BD-5DCA-3E6A-8606013D7445}"/>
              </a:ext>
            </a:extLst>
          </xdr:cNvPr>
          <xdr:cNvSpPr/>
        </xdr:nvSpPr>
        <xdr:spPr>
          <a:xfrm>
            <a:off x="762000" y="141922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798" name="DudCell_83083,22_23">
            <a:extLst>
              <a:ext uri="{FF2B5EF4-FFF2-40B4-BE49-F238E27FC236}">
                <a16:creationId xmlns:a16="http://schemas.microsoft.com/office/drawing/2014/main" id="{46A95EA7-4CD5-73E5-9845-14E8F1532172}"/>
              </a:ext>
            </a:extLst>
          </xdr:cNvPr>
          <xdr:cNvSpPr/>
        </xdr:nvSpPr>
        <xdr:spPr>
          <a:xfrm>
            <a:off x="3302000" y="141922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4,81</a:t>
            </a:r>
          </a:p>
        </xdr:txBody>
      </xdr:sp>
      <xdr:sp macro="" textlink="">
        <xdr:nvSpPr>
          <xdr:cNvPr id="283800" name="DudCell_83083,28_24">
            <a:extLst>
              <a:ext uri="{FF2B5EF4-FFF2-40B4-BE49-F238E27FC236}">
                <a16:creationId xmlns:a16="http://schemas.microsoft.com/office/drawing/2014/main" id="{0551AE42-583D-4BEA-48F4-E499A3529204}"/>
              </a:ext>
            </a:extLst>
          </xdr:cNvPr>
          <xdr:cNvSpPr/>
        </xdr:nvSpPr>
        <xdr:spPr>
          <a:xfrm>
            <a:off x="4572000" y="141922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4,60</a:t>
            </a:r>
          </a:p>
        </xdr:txBody>
      </xdr:sp>
      <xdr:sp macro="" textlink="">
        <xdr:nvSpPr>
          <xdr:cNvPr id="283802" name="DudCell_83083,35_25">
            <a:extLst>
              <a:ext uri="{FF2B5EF4-FFF2-40B4-BE49-F238E27FC236}">
                <a16:creationId xmlns:a16="http://schemas.microsoft.com/office/drawing/2014/main" id="{E4A8E57B-C83E-4DFE-CA90-8DC693E0445F}"/>
              </a:ext>
            </a:extLst>
          </xdr:cNvPr>
          <xdr:cNvSpPr/>
        </xdr:nvSpPr>
        <xdr:spPr>
          <a:xfrm>
            <a:off x="5842000" y="141922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4,50</a:t>
            </a:r>
          </a:p>
        </xdr:txBody>
      </xdr:sp>
      <xdr:sp macro="" textlink="">
        <xdr:nvSpPr>
          <xdr:cNvPr id="283804" name="DudCell_83083,41_26">
            <a:extLst>
              <a:ext uri="{FF2B5EF4-FFF2-40B4-BE49-F238E27FC236}">
                <a16:creationId xmlns:a16="http://schemas.microsoft.com/office/drawing/2014/main" id="{98C4C20C-BA2B-5ADB-29DC-CD0B3B2AA447}"/>
              </a:ext>
            </a:extLst>
          </xdr:cNvPr>
          <xdr:cNvSpPr/>
        </xdr:nvSpPr>
        <xdr:spPr>
          <a:xfrm>
            <a:off x="7112000" y="141922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C80000"/>
                </a:solidFill>
              </a:rPr>
              <a:t>-0,10</a:t>
            </a:r>
          </a:p>
        </xdr:txBody>
      </xdr:sp>
      <xdr:sp macro="" textlink="">
        <xdr:nvSpPr>
          <xdr:cNvPr id="283806" name="DudCell_83083,48_27">
            <a:extLst>
              <a:ext uri="{FF2B5EF4-FFF2-40B4-BE49-F238E27FC236}">
                <a16:creationId xmlns:a16="http://schemas.microsoft.com/office/drawing/2014/main" id="{DC11D8CA-5232-3F78-A31A-E384A3269E2A}"/>
              </a:ext>
            </a:extLst>
          </xdr:cNvPr>
          <xdr:cNvSpPr/>
        </xdr:nvSpPr>
        <xdr:spPr>
          <a:xfrm>
            <a:off x="762000" y="145986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808" name="DudCell_83083,54_28">
            <a:extLst>
              <a:ext uri="{FF2B5EF4-FFF2-40B4-BE49-F238E27FC236}">
                <a16:creationId xmlns:a16="http://schemas.microsoft.com/office/drawing/2014/main" id="{73BBFDFB-67F0-53FE-6463-65A796206407}"/>
              </a:ext>
            </a:extLst>
          </xdr:cNvPr>
          <xdr:cNvSpPr/>
        </xdr:nvSpPr>
        <xdr:spPr>
          <a:xfrm>
            <a:off x="3302000" y="145986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4,85</a:t>
            </a:r>
          </a:p>
        </xdr:txBody>
      </xdr:sp>
      <xdr:sp macro="" textlink="">
        <xdr:nvSpPr>
          <xdr:cNvPr id="283810" name="DudCell_83083,61_29">
            <a:extLst>
              <a:ext uri="{FF2B5EF4-FFF2-40B4-BE49-F238E27FC236}">
                <a16:creationId xmlns:a16="http://schemas.microsoft.com/office/drawing/2014/main" id="{0A803BD9-2711-9E59-D10E-55A3E64528D2}"/>
              </a:ext>
            </a:extLst>
          </xdr:cNvPr>
          <xdr:cNvSpPr/>
        </xdr:nvSpPr>
        <xdr:spPr>
          <a:xfrm>
            <a:off x="4572000" y="145986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4,80</a:t>
            </a:r>
          </a:p>
        </xdr:txBody>
      </xdr:sp>
      <xdr:sp macro="" textlink="">
        <xdr:nvSpPr>
          <xdr:cNvPr id="283812" name="DudCell_83083,67_30">
            <a:extLst>
              <a:ext uri="{FF2B5EF4-FFF2-40B4-BE49-F238E27FC236}">
                <a16:creationId xmlns:a16="http://schemas.microsoft.com/office/drawing/2014/main" id="{6E7700B3-B301-92E8-5B03-F158A160287B}"/>
              </a:ext>
            </a:extLst>
          </xdr:cNvPr>
          <xdr:cNvSpPr/>
        </xdr:nvSpPr>
        <xdr:spPr>
          <a:xfrm>
            <a:off x="5842000" y="145986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5,75</a:t>
            </a:r>
          </a:p>
        </xdr:txBody>
      </xdr:sp>
      <xdr:sp macro="" textlink="">
        <xdr:nvSpPr>
          <xdr:cNvPr id="283814" name="DudCell_83083,74_31">
            <a:extLst>
              <a:ext uri="{FF2B5EF4-FFF2-40B4-BE49-F238E27FC236}">
                <a16:creationId xmlns:a16="http://schemas.microsoft.com/office/drawing/2014/main" id="{A5078D38-128F-33C3-EDAB-FE897D1FCA70}"/>
              </a:ext>
            </a:extLst>
          </xdr:cNvPr>
          <xdr:cNvSpPr/>
        </xdr:nvSpPr>
        <xdr:spPr>
          <a:xfrm>
            <a:off x="7112000" y="145986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008000"/>
                </a:solidFill>
              </a:rPr>
              <a:t>+0,95</a:t>
            </a:r>
          </a:p>
        </xdr:txBody>
      </xdr:sp>
      <xdr:sp macro="" textlink="">
        <xdr:nvSpPr>
          <xdr:cNvPr id="283816" name="DudCell_83083,8_32">
            <a:extLst>
              <a:ext uri="{FF2B5EF4-FFF2-40B4-BE49-F238E27FC236}">
                <a16:creationId xmlns:a16="http://schemas.microsoft.com/office/drawing/2014/main" id="{A4415771-C2D4-842E-29BD-C48E3D893C18}"/>
              </a:ext>
            </a:extLst>
          </xdr:cNvPr>
          <xdr:cNvSpPr/>
        </xdr:nvSpPr>
        <xdr:spPr>
          <a:xfrm>
            <a:off x="762000" y="150050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818" name="DudCell_83083,87_33">
            <a:extLst>
              <a:ext uri="{FF2B5EF4-FFF2-40B4-BE49-F238E27FC236}">
                <a16:creationId xmlns:a16="http://schemas.microsoft.com/office/drawing/2014/main" id="{4F02B347-4F02-88C1-5354-A7F901C46C55}"/>
              </a:ext>
            </a:extLst>
          </xdr:cNvPr>
          <xdr:cNvSpPr/>
        </xdr:nvSpPr>
        <xdr:spPr>
          <a:xfrm>
            <a:off x="3302000" y="15005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4,73</a:t>
            </a:r>
          </a:p>
        </xdr:txBody>
      </xdr:sp>
      <xdr:sp macro="" textlink="">
        <xdr:nvSpPr>
          <xdr:cNvPr id="283820" name="DudCell_83083,94_34">
            <a:extLst>
              <a:ext uri="{FF2B5EF4-FFF2-40B4-BE49-F238E27FC236}">
                <a16:creationId xmlns:a16="http://schemas.microsoft.com/office/drawing/2014/main" id="{D0DC43E4-C169-CEF3-B1BA-C6FA161C96CB}"/>
              </a:ext>
            </a:extLst>
          </xdr:cNvPr>
          <xdr:cNvSpPr/>
        </xdr:nvSpPr>
        <xdr:spPr>
          <a:xfrm>
            <a:off x="4572000" y="15005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4,08</a:t>
            </a:r>
          </a:p>
        </xdr:txBody>
      </xdr:sp>
      <xdr:sp macro="" textlink="">
        <xdr:nvSpPr>
          <xdr:cNvPr id="283822" name="DudCell_83084_35">
            <a:extLst>
              <a:ext uri="{FF2B5EF4-FFF2-40B4-BE49-F238E27FC236}">
                <a16:creationId xmlns:a16="http://schemas.microsoft.com/office/drawing/2014/main" id="{0D1075A3-01B2-9EFD-F183-539183F63088}"/>
              </a:ext>
            </a:extLst>
          </xdr:cNvPr>
          <xdr:cNvSpPr/>
        </xdr:nvSpPr>
        <xdr:spPr>
          <a:xfrm>
            <a:off x="5842000" y="15005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5,68</a:t>
            </a:r>
          </a:p>
        </xdr:txBody>
      </xdr:sp>
      <xdr:sp macro="" textlink="">
        <xdr:nvSpPr>
          <xdr:cNvPr id="283824" name="DudCell_83084,06_36">
            <a:extLst>
              <a:ext uri="{FF2B5EF4-FFF2-40B4-BE49-F238E27FC236}">
                <a16:creationId xmlns:a16="http://schemas.microsoft.com/office/drawing/2014/main" id="{2BAFA4FB-FB3B-801A-14AF-9CC5FFAC0278}"/>
              </a:ext>
            </a:extLst>
          </xdr:cNvPr>
          <xdr:cNvSpPr/>
        </xdr:nvSpPr>
        <xdr:spPr>
          <a:xfrm>
            <a:off x="7112000" y="150050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008000"/>
                </a:solidFill>
              </a:rPr>
              <a:t>+1,59</a:t>
            </a:r>
          </a:p>
        </xdr:txBody>
      </xdr:sp>
      <xdr:sp macro="" textlink="">
        <xdr:nvSpPr>
          <xdr:cNvPr id="283826" name="DudCell_83084,13_37">
            <a:extLst>
              <a:ext uri="{FF2B5EF4-FFF2-40B4-BE49-F238E27FC236}">
                <a16:creationId xmlns:a16="http://schemas.microsoft.com/office/drawing/2014/main" id="{8F158EBA-B2D2-9972-9BC6-055942EF001D}"/>
              </a:ext>
            </a:extLst>
          </xdr:cNvPr>
          <xdr:cNvSpPr/>
        </xdr:nvSpPr>
        <xdr:spPr>
          <a:xfrm>
            <a:off x="762000" y="154114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828" name="DudCell_83084,2_38">
            <a:extLst>
              <a:ext uri="{FF2B5EF4-FFF2-40B4-BE49-F238E27FC236}">
                <a16:creationId xmlns:a16="http://schemas.microsoft.com/office/drawing/2014/main" id="{367C0FA6-E739-B669-683D-F77EE053C6D5}"/>
              </a:ext>
            </a:extLst>
          </xdr:cNvPr>
          <xdr:cNvSpPr/>
        </xdr:nvSpPr>
        <xdr:spPr>
          <a:xfrm>
            <a:off x="3302000" y="15411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4,68</a:t>
            </a:r>
          </a:p>
        </xdr:txBody>
      </xdr:sp>
      <xdr:sp macro="" textlink="">
        <xdr:nvSpPr>
          <xdr:cNvPr id="283830" name="DudCell_83084,27_39">
            <a:extLst>
              <a:ext uri="{FF2B5EF4-FFF2-40B4-BE49-F238E27FC236}">
                <a16:creationId xmlns:a16="http://schemas.microsoft.com/office/drawing/2014/main" id="{E2BA3567-E876-07C4-DC6D-FE757845312C}"/>
              </a:ext>
            </a:extLst>
          </xdr:cNvPr>
          <xdr:cNvSpPr/>
        </xdr:nvSpPr>
        <xdr:spPr>
          <a:xfrm>
            <a:off x="4572000" y="15411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5,27</a:t>
            </a:r>
          </a:p>
        </xdr:txBody>
      </xdr:sp>
      <xdr:sp macro="" textlink="">
        <xdr:nvSpPr>
          <xdr:cNvPr id="283832" name="DudCell_83084,33_40">
            <a:extLst>
              <a:ext uri="{FF2B5EF4-FFF2-40B4-BE49-F238E27FC236}">
                <a16:creationId xmlns:a16="http://schemas.microsoft.com/office/drawing/2014/main" id="{16F20C98-7E3E-2E71-8F52-77986064F971}"/>
              </a:ext>
            </a:extLst>
          </xdr:cNvPr>
          <xdr:cNvSpPr/>
        </xdr:nvSpPr>
        <xdr:spPr>
          <a:xfrm>
            <a:off x="5842000" y="15411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4,63</a:t>
            </a:r>
          </a:p>
        </xdr:txBody>
      </xdr:sp>
      <xdr:sp macro="" textlink="">
        <xdr:nvSpPr>
          <xdr:cNvPr id="283834" name="DudCell_83084,39_41">
            <a:extLst>
              <a:ext uri="{FF2B5EF4-FFF2-40B4-BE49-F238E27FC236}">
                <a16:creationId xmlns:a16="http://schemas.microsoft.com/office/drawing/2014/main" id="{23FD5473-D869-4E1F-C6F0-54E21D2F3CA1}"/>
              </a:ext>
            </a:extLst>
          </xdr:cNvPr>
          <xdr:cNvSpPr/>
        </xdr:nvSpPr>
        <xdr:spPr>
          <a:xfrm>
            <a:off x="7112000" y="154114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C80000"/>
                </a:solidFill>
              </a:rPr>
              <a:t>-0,64</a:t>
            </a:r>
          </a:p>
        </xdr:txBody>
      </xdr:sp>
      <xdr:sp macro="" textlink="">
        <xdr:nvSpPr>
          <xdr:cNvPr id="283836" name="DudCell_83084,46_42">
            <a:extLst>
              <a:ext uri="{FF2B5EF4-FFF2-40B4-BE49-F238E27FC236}">
                <a16:creationId xmlns:a16="http://schemas.microsoft.com/office/drawing/2014/main" id="{6513CBD2-1800-D51C-7B32-EEB3DAEEAA5F}"/>
              </a:ext>
            </a:extLst>
          </xdr:cNvPr>
          <xdr:cNvSpPr/>
        </xdr:nvSpPr>
        <xdr:spPr>
          <a:xfrm>
            <a:off x="762000" y="15817850"/>
            <a:ext cx="254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Pepe Garcia Garcia</a:t>
            </a:r>
          </a:p>
        </xdr:txBody>
      </xdr:sp>
      <xdr:sp macro="" textlink="">
        <xdr:nvSpPr>
          <xdr:cNvPr id="283838" name="DudCell_83084,52_43">
            <a:extLst>
              <a:ext uri="{FF2B5EF4-FFF2-40B4-BE49-F238E27FC236}">
                <a16:creationId xmlns:a16="http://schemas.microsoft.com/office/drawing/2014/main" id="{7C8DBF87-E781-7498-E8F8-0D27D50496DD}"/>
              </a:ext>
            </a:extLst>
          </xdr:cNvPr>
          <xdr:cNvSpPr/>
        </xdr:nvSpPr>
        <xdr:spPr>
          <a:xfrm>
            <a:off x="3302000" y="15817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4,83</a:t>
            </a:r>
          </a:p>
        </xdr:txBody>
      </xdr:sp>
      <xdr:sp macro="" textlink="">
        <xdr:nvSpPr>
          <xdr:cNvPr id="283840" name="DudCell_83084,59_44">
            <a:extLst>
              <a:ext uri="{FF2B5EF4-FFF2-40B4-BE49-F238E27FC236}">
                <a16:creationId xmlns:a16="http://schemas.microsoft.com/office/drawing/2014/main" id="{FA2C824A-7D12-100E-181D-17D0BB2B01AE}"/>
              </a:ext>
            </a:extLst>
          </xdr:cNvPr>
          <xdr:cNvSpPr/>
        </xdr:nvSpPr>
        <xdr:spPr>
          <a:xfrm>
            <a:off x="4572000" y="15817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5,00</a:t>
            </a:r>
          </a:p>
        </xdr:txBody>
      </xdr:sp>
      <xdr:sp macro="" textlink="">
        <xdr:nvSpPr>
          <xdr:cNvPr id="283842" name="DudCell_83084,66_45">
            <a:extLst>
              <a:ext uri="{FF2B5EF4-FFF2-40B4-BE49-F238E27FC236}">
                <a16:creationId xmlns:a16="http://schemas.microsoft.com/office/drawing/2014/main" id="{2EF63473-C7F6-B8A1-AB08-5264B270B1FB}"/>
              </a:ext>
            </a:extLst>
          </xdr:cNvPr>
          <xdr:cNvSpPr/>
        </xdr:nvSpPr>
        <xdr:spPr>
          <a:xfrm>
            <a:off x="5842000" y="15817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0">
                <a:solidFill>
                  <a:srgbClr val="000000"/>
                </a:solidFill>
              </a:rPr>
              <a:t>7,75</a:t>
            </a:r>
          </a:p>
        </xdr:txBody>
      </xdr:sp>
      <xdr:sp macro="" textlink="">
        <xdr:nvSpPr>
          <xdr:cNvPr id="283844" name="DudCell_83084,72_46">
            <a:extLst>
              <a:ext uri="{FF2B5EF4-FFF2-40B4-BE49-F238E27FC236}">
                <a16:creationId xmlns:a16="http://schemas.microsoft.com/office/drawing/2014/main" id="{D7437D81-C62F-5AC1-396C-308776A8F34B}"/>
              </a:ext>
            </a:extLst>
          </xdr:cNvPr>
          <xdr:cNvSpPr/>
        </xdr:nvSpPr>
        <xdr:spPr>
          <a:xfrm>
            <a:off x="7112000" y="15817850"/>
            <a:ext cx="1270000" cy="406400"/>
          </a:xfrm>
          <a:prstGeom prst="rect">
            <a:avLst/>
          </a:prstGeom>
          <a:solidFill>
            <a:srgbClr val="FFFFFF"/>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solidFill>
                  <a:srgbClr val="008000"/>
                </a:solidFill>
              </a:rPr>
              <a:t>+2,75</a:t>
            </a:r>
          </a:p>
        </xdr:txBody>
      </xdr:sp>
    </xdr:grpSp>
    <xdr:clientData/>
  </xdr:twoCellAnchor>
  <xdr:twoCellAnchor>
    <xdr:from>
      <xdr:col>14</xdr:col>
      <xdr:colOff>0</xdr:colOff>
      <xdr:row>4</xdr:row>
      <xdr:rowOff>0</xdr:rowOff>
    </xdr:from>
    <xdr:to>
      <xdr:col>24</xdr:col>
      <xdr:colOff>0</xdr:colOff>
      <xdr:row>50</xdr:row>
      <xdr:rowOff>0</xdr:rowOff>
    </xdr:to>
    <xdr:sp macro="" textlink="">
      <xdr:nvSpPr>
        <xdr:cNvPr id="6" name="InformeFinal_Texto">
          <a:extLst>
            <a:ext uri="{FF2B5EF4-FFF2-40B4-BE49-F238E27FC236}">
              <a16:creationId xmlns:a16="http://schemas.microsoft.com/office/drawing/2014/main" id="{528B00EB-3816-0329-0673-02FFD25764E5}"/>
            </a:ext>
          </a:extLst>
        </xdr:cNvPr>
        <xdr:cNvSpPr txBox="1"/>
      </xdr:nvSpPr>
      <xdr:spPr>
        <a:xfrm>
          <a:off x="9144000" y="1009650"/>
          <a:ext cx="7620000" cy="10528300"/>
        </a:xfrm>
        <a:prstGeom prst="rect">
          <a:avLst/>
        </a:prstGeom>
        <a:solidFill>
          <a:srgbClr val="FFFFFF"/>
        </a:solidFill>
        <a:ln w="317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s-ES" sz="1100" b="1">
              <a:latin typeface="Calibri" panose="020F0502020204030204" pitchFamily="34" charset="0"/>
            </a:rPr>
            <a:t>INFORME FINAL DE EVALUACIÓN</a:t>
          </a:r>
          <a:endParaRPr lang="es-ES" sz="1100">
            <a:latin typeface="Calibri" panose="020F0502020204030204" pitchFamily="34" charset="0"/>
          </a:endParaRPr>
        </a:p>
        <a:p>
          <a:endParaRPr lang="es-ES" sz="1100">
            <a:latin typeface="Calibri" panose="020F0502020204030204" pitchFamily="34" charset="0"/>
          </a:endParaRPr>
        </a:p>
        <a:p>
          <a:r>
            <a:rPr lang="es-ES" sz="1100">
              <a:latin typeface="Calibri" panose="020F0502020204030204" pitchFamily="34" charset="0"/>
            </a:rPr>
            <a:t>La asignatura </a:t>
          </a:r>
          <a:r>
            <a:rPr lang="es-ES" sz="1100" b="1">
              <a:latin typeface="Calibri" panose="020F0502020204030204" pitchFamily="34" charset="0"/>
            </a:rPr>
            <a:t>Cálculo I</a:t>
          </a:r>
          <a:r>
            <a:rPr lang="es-ES" sz="1100">
              <a:latin typeface="Calibri" panose="020F0502020204030204" pitchFamily="34" charset="0"/>
            </a:rPr>
            <a:t> ha contado durante el curso académico </a:t>
          </a:r>
          <a:r>
            <a:rPr lang="es-ES" sz="1100" b="1">
              <a:latin typeface="Calibri" panose="020F0502020204030204" pitchFamily="34" charset="0"/>
            </a:rPr>
            <a:t>2025-2026</a:t>
          </a:r>
          <a:r>
            <a:rPr lang="es-ES" sz="1100">
              <a:latin typeface="Calibri" panose="020F0502020204030204" pitchFamily="34" charset="0"/>
            </a:rPr>
            <a:t> con </a:t>
          </a:r>
          <a:r>
            <a:rPr lang="es-ES" sz="1100" b="1">
              <a:latin typeface="Calibri" panose="020F0502020204030204" pitchFamily="34" charset="0"/>
            </a:rPr>
            <a:t>102 alumnos matriculados</a:t>
          </a:r>
          <a:r>
            <a:rPr lang="es-ES" sz="1100">
              <a:latin typeface="Calibri" panose="020F0502020204030204" pitchFamily="34" charset="0"/>
            </a:rPr>
            <a:t>: </a:t>
          </a:r>
          <a:r>
            <a:rPr lang="es-ES" sz="1100" b="1">
              <a:latin typeface="Calibri" panose="020F0502020204030204" pitchFamily="34" charset="0"/>
            </a:rPr>
            <a:t>3 no presentados</a:t>
          </a:r>
          <a:r>
            <a:rPr lang="es-ES" sz="1100">
              <a:latin typeface="Calibri" panose="020F0502020204030204" pitchFamily="34" charset="0"/>
            </a:rPr>
            <a:t>, </a:t>
          </a:r>
          <a:r>
            <a:rPr lang="es-ES" sz="1100" b="1">
              <a:latin typeface="Calibri" panose="020F0502020204030204" pitchFamily="34" charset="0"/>
            </a:rPr>
            <a:t>5 Reconocimientos de Créditos</a:t>
          </a:r>
          <a:r>
            <a:rPr lang="es-ES" sz="1100">
              <a:latin typeface="Calibri" panose="020F0502020204030204" pitchFamily="34" charset="0"/>
            </a:rPr>
            <a:t> y </a:t>
          </a:r>
          <a:r>
            <a:rPr lang="es-ES" sz="1100" b="1">
              <a:latin typeface="Calibri" panose="020F0502020204030204" pitchFamily="34" charset="0"/>
            </a:rPr>
            <a:t>1 Aprobados previos</a:t>
          </a:r>
          <a:r>
            <a:rPr lang="es-ES" sz="1100">
              <a:latin typeface="Calibri" panose="020F0502020204030204" pitchFamily="34" charset="0"/>
            </a:rPr>
            <a:t>.</a:t>
          </a:r>
        </a:p>
        <a:p>
          <a:endParaRPr lang="es-ES" sz="1100">
            <a:latin typeface="Calibri" panose="020F0502020204030204" pitchFamily="34" charset="0"/>
          </a:endParaRPr>
        </a:p>
        <a:p>
          <a:r>
            <a:rPr lang="es-ES" sz="1100">
              <a:latin typeface="Calibri" panose="020F0502020204030204" pitchFamily="34" charset="0"/>
            </a:rPr>
            <a:t>La calificación media global ha sido de </a:t>
          </a:r>
          <a:r>
            <a:rPr lang="es-ES" sz="1100" b="1">
              <a:latin typeface="Calibri" panose="020F0502020204030204" pitchFamily="34" charset="0"/>
            </a:rPr>
            <a:t>5,39</a:t>
          </a:r>
          <a:r>
            <a:rPr lang="es-ES" sz="1100">
              <a:latin typeface="Calibri" panose="020F0502020204030204" pitchFamily="34" charset="0"/>
            </a:rPr>
            <a:t>, con una mediana de </a:t>
          </a:r>
          <a:r>
            <a:rPr lang="es-ES" sz="1100" b="1">
              <a:latin typeface="Calibri" panose="020F0502020204030204" pitchFamily="34" charset="0"/>
            </a:rPr>
            <a:t>5,64</a:t>
          </a:r>
          <a:r>
            <a:rPr lang="es-ES" sz="1100">
              <a:latin typeface="Calibri" panose="020F0502020204030204" pitchFamily="34" charset="0"/>
            </a:rPr>
            <a:t>, lo que indica que hay un grupo de alumnos con calificaciones muy bajas que están penalizando la media, ocultando un rendimiento general algo superior.</a:t>
          </a:r>
        </a:p>
        <a:p>
          <a:endParaRPr lang="es-ES" sz="1100">
            <a:latin typeface="Calibri" panose="020F0502020204030204" pitchFamily="34" charset="0"/>
          </a:endParaRPr>
        </a:p>
        <a:p>
          <a:r>
            <a:rPr lang="es-ES" sz="1100">
              <a:latin typeface="Calibri" panose="020F0502020204030204" pitchFamily="34" charset="0"/>
            </a:rPr>
            <a:t>La desviación estándar se sitúa en </a:t>
          </a:r>
          <a:r>
            <a:rPr lang="es-ES" sz="1100" b="1">
              <a:latin typeface="Calibri" panose="020F0502020204030204" pitchFamily="34" charset="0"/>
            </a:rPr>
            <a:t>1,56</a:t>
          </a:r>
          <a:r>
            <a:rPr lang="es-ES" sz="1100">
              <a:latin typeface="Calibri" panose="020F0502020204030204" pitchFamily="34" charset="0"/>
            </a:rPr>
            <a:t>, con un coeficiente de variación del </a:t>
          </a:r>
          <a:r>
            <a:rPr lang="es-ES" sz="1100" b="1">
              <a:latin typeface="Calibri" panose="020F0502020204030204" pitchFamily="34" charset="0"/>
            </a:rPr>
            <a:t>28,9%</a:t>
          </a:r>
          <a:r>
            <a:rPr lang="es-ES" sz="1100">
              <a:latin typeface="Calibri" panose="020F0502020204030204" pitchFamily="34" charset="0"/>
            </a:rPr>
            <a:t>, lo que indica un nivel de dispersión </a:t>
          </a:r>
          <a:r>
            <a:rPr lang="es-ES" sz="1100" b="1">
              <a:latin typeface="Calibri" panose="020F0502020204030204" pitchFamily="34" charset="0"/>
            </a:rPr>
            <a:t>moderado</a:t>
          </a:r>
          <a:r>
            <a:rPr lang="es-ES" sz="1100">
              <a:latin typeface="Calibri" panose="020F0502020204030204" pitchFamily="34" charset="0"/>
            </a:rPr>
            <a:t> en el rendimiento del alumnado.</a:t>
          </a:r>
        </a:p>
        <a:p>
          <a:endParaRPr lang="es-ES" sz="1100">
            <a:latin typeface="Calibri" panose="020F0502020204030204" pitchFamily="34" charset="0"/>
          </a:endParaRPr>
        </a:p>
        <a:p>
          <a:r>
            <a:rPr lang="es-ES" sz="1100">
              <a:latin typeface="Calibri" panose="020F0502020204030204" pitchFamily="34" charset="0"/>
            </a:rPr>
            <a:t>El rango total de calificaciones abarca </a:t>
          </a:r>
          <a:r>
            <a:rPr lang="es-ES" sz="1100" b="1">
              <a:latin typeface="Calibri" panose="020F0502020204030204" pitchFamily="34" charset="0"/>
            </a:rPr>
            <a:t>8,0 puntos</a:t>
          </a:r>
          <a:r>
            <a:rPr lang="es-ES" sz="1100">
              <a:latin typeface="Calibri" panose="020F0502020204030204" pitchFamily="34" charset="0"/>
            </a:rPr>
            <a:t>, situándose el 50% central del alumnado en la franja comprendida entre el </a:t>
          </a:r>
          <a:r>
            <a:rPr lang="es-ES" sz="1100" b="1">
              <a:latin typeface="Calibri" panose="020F0502020204030204" pitchFamily="34" charset="0"/>
            </a:rPr>
            <a:t>4,7</a:t>
          </a:r>
          <a:r>
            <a:rPr lang="es-ES" sz="1100">
              <a:latin typeface="Calibri" panose="020F0502020204030204" pitchFamily="34" charset="0"/>
            </a:rPr>
            <a:t> y el </a:t>
          </a:r>
          <a:r>
            <a:rPr lang="es-ES" sz="1100" b="1">
              <a:latin typeface="Calibri" panose="020F0502020204030204" pitchFamily="34" charset="0"/>
            </a:rPr>
            <a:t>6,3</a:t>
          </a:r>
          <a:r>
            <a:rPr lang="es-ES" sz="1100">
              <a:latin typeface="Calibri" panose="020F0502020204030204" pitchFamily="34" charset="0"/>
            </a:rPr>
            <a:t>. Con un rango intercuartílico (IQR) de </a:t>
          </a:r>
          <a:r>
            <a:rPr lang="es-ES" sz="1100" b="1">
              <a:latin typeface="Calibri" panose="020F0502020204030204" pitchFamily="34" charset="0"/>
            </a:rPr>
            <a:t>1,6 puntos</a:t>
          </a:r>
          <a:r>
            <a:rPr lang="es-ES" sz="1100">
              <a:latin typeface="Calibri" panose="020F0502020204030204" pitchFamily="34" charset="0"/>
            </a:rPr>
            <a:t>, observamos que este estrecho margen de notas confirma que el grupo es muy compacto y avanza a un ritmo muy similar, sin apenas distancias significativas entre el rendimiento de unos alumnos y otros.</a:t>
          </a:r>
        </a:p>
        <a:p>
          <a:endParaRPr lang="es-ES" sz="1100">
            <a:latin typeface="Calibri" panose="020F0502020204030204" pitchFamily="34" charset="0"/>
          </a:endParaRPr>
        </a:p>
        <a:p>
          <a:r>
            <a:rPr lang="es-ES" sz="1100">
              <a:latin typeface="Calibri" panose="020F0502020204030204" pitchFamily="34" charset="0"/>
            </a:rPr>
            <a:t>El percentil 10 se sitúa en </a:t>
          </a:r>
          <a:r>
            <a:rPr lang="es-ES" sz="1100" b="1">
              <a:latin typeface="Calibri" panose="020F0502020204030204" pitchFamily="34" charset="0"/>
            </a:rPr>
            <a:t>3,43</a:t>
          </a:r>
          <a:r>
            <a:rPr lang="es-ES" sz="1100">
              <a:latin typeface="Calibri" panose="020F0502020204030204" pitchFamily="34" charset="0"/>
            </a:rPr>
            <a:t> lo que indica que el 10% del alumnado con mayores dificultades se sitúa todavía a cierta distancia del aprobado, aunque dentro de un margen recuperable. Este resultado sugiere la existencia de un grupo con carencias relevantes en la asimilación de los contenidos, pero que podría mejorar su rendimiento mediante refuerzo académico y seguimiento tutorial.</a:t>
          </a:r>
        </a:p>
        <a:p>
          <a:endParaRPr lang="es-ES" sz="1100">
            <a:latin typeface="Calibri" panose="020F0502020204030204" pitchFamily="34" charset="0"/>
          </a:endParaRPr>
        </a:p>
        <a:p>
          <a:r>
            <a:rPr lang="es-ES" sz="1100">
              <a:latin typeface="Calibri" panose="020F0502020204030204" pitchFamily="34" charset="0"/>
            </a:rPr>
            <a:t>El percentil 90 se sitúa en </a:t>
          </a:r>
          <a:r>
            <a:rPr lang="es-ES" sz="1100" b="1">
              <a:latin typeface="Calibri" panose="020F0502020204030204" pitchFamily="34" charset="0"/>
            </a:rPr>
            <a:t>7,06</a:t>
          </a:r>
          <a:r>
            <a:rPr lang="es-ES" sz="1100">
              <a:latin typeface="Calibri" panose="020F0502020204030204" pitchFamily="34" charset="0"/>
            </a:rPr>
            <a:t> lo que refleja la presencia de un grupo de alumnos con rendimiento alto dentro de la asignatura, aunque sin alcanzar niveles de excelencia extrema. Este valor sugiere una distribución equilibrada en la parte superior de la clase, con varios estudiantes consolidando un dominio sólido de los contenidos.</a:t>
          </a:r>
        </a:p>
        <a:p>
          <a:endParaRPr lang="es-ES" sz="1100">
            <a:latin typeface="Calibri" panose="020F0502020204030204" pitchFamily="34" charset="0"/>
          </a:endParaRPr>
        </a:p>
        <a:p>
          <a:r>
            <a:rPr lang="es-ES" sz="1100">
              <a:latin typeface="Calibri" panose="020F0502020204030204" pitchFamily="34" charset="0"/>
            </a:rPr>
            <a:t>El porcentaje global de aprobados ha sido del </a:t>
          </a:r>
          <a:r>
            <a:rPr lang="es-ES" sz="1100" b="1">
              <a:latin typeface="Calibri" panose="020F0502020204030204" pitchFamily="34" charset="0"/>
            </a:rPr>
            <a:t>65%</a:t>
          </a:r>
          <a:r>
            <a:rPr lang="es-ES" sz="1100">
              <a:latin typeface="Calibri" panose="020F0502020204030204" pitchFamily="34" charset="0"/>
            </a:rPr>
            <a:t> (</a:t>
          </a:r>
          <a:r>
            <a:rPr lang="es-ES" sz="1100" b="1">
              <a:latin typeface="Calibri" panose="020F0502020204030204" pitchFamily="34" charset="0"/>
            </a:rPr>
            <a:t>60</a:t>
          </a:r>
          <a:r>
            <a:rPr lang="es-ES" sz="1100">
              <a:latin typeface="Calibri" panose="020F0502020204030204" pitchFamily="34" charset="0"/>
            </a:rPr>
            <a:t> alumnos), mientras que el </a:t>
          </a:r>
          <a:r>
            <a:rPr lang="es-ES" sz="1100" b="1">
              <a:latin typeface="Calibri" panose="020F0502020204030204" pitchFamily="34" charset="0"/>
            </a:rPr>
            <a:t>35%</a:t>
          </a:r>
          <a:r>
            <a:rPr lang="es-ES" sz="1100">
              <a:latin typeface="Calibri" panose="020F0502020204030204" pitchFamily="34" charset="0"/>
            </a:rPr>
            <a:t> ha suspendido (</a:t>
          </a:r>
          <a:r>
            <a:rPr lang="es-ES" sz="1100" b="1">
              <a:latin typeface="Calibri" panose="020F0502020204030204" pitchFamily="34" charset="0"/>
            </a:rPr>
            <a:t>33</a:t>
          </a:r>
          <a:r>
            <a:rPr lang="es-ES" sz="1100">
              <a:latin typeface="Calibri" panose="020F0502020204030204" pitchFamily="34" charset="0"/>
            </a:rPr>
            <a:t> alumnos), obteniendo estos una media de </a:t>
          </a:r>
          <a:r>
            <a:rPr lang="es-ES" sz="1100" b="1">
              <a:latin typeface="Calibri" panose="020F0502020204030204" pitchFamily="34" charset="0"/>
            </a:rPr>
            <a:t>3,75</a:t>
          </a:r>
          <a:r>
            <a:rPr lang="es-ES" sz="1100">
              <a:latin typeface="Calibri" panose="020F0502020204030204" pitchFamily="34" charset="0"/>
            </a:rPr>
            <a:t>. En términos generales, esta tasa de éxito del </a:t>
          </a:r>
          <a:r>
            <a:rPr lang="es-ES" sz="1100" b="1">
              <a:latin typeface="Calibri" panose="020F0502020204030204" pitchFamily="34" charset="0"/>
            </a:rPr>
            <a:t>65%</a:t>
          </a:r>
          <a:r>
            <a:rPr lang="es-ES" sz="1100">
              <a:latin typeface="Calibri" panose="020F0502020204030204" pitchFamily="34" charset="0"/>
            </a:rPr>
            <a:t> puede considerarse aceptable dentro de los estándares habituales de la asignatura, reflejando un equilibrio razonable entre nivel de exigencia y grado de superación por parte del alumnado. Una media de suspensos situada entre 3.0 y 4.0 indica que la mayoría del alumnado no apto se encuentra a una distancia moderada del aprobado. Este perfil sugiere que un número relevante de estudiantes aún no ha consolidado adecuadamente los conceptos básicos de la asignatura, lo que podría dificultar la superación de la materia sin medidas de refuerzo adicionales.</a:t>
          </a:r>
        </a:p>
        <a:p>
          <a:endParaRPr lang="es-ES" sz="1100">
            <a:latin typeface="Calibri" panose="020F0502020204030204" pitchFamily="34" charset="0"/>
          </a:endParaRPr>
        </a:p>
        <a:p>
          <a:r>
            <a:rPr lang="es-ES" sz="1100">
              <a:latin typeface="Calibri" panose="020F0502020204030204" pitchFamily="34" charset="0"/>
            </a:rPr>
            <a:t>La distribución presenta una asimetría de </a:t>
          </a:r>
          <a:r>
            <a:rPr lang="es-ES" sz="1100" b="1">
              <a:latin typeface="Calibri" panose="020F0502020204030204" pitchFamily="34" charset="0"/>
            </a:rPr>
            <a:t>-0,65</a:t>
          </a:r>
          <a:r>
            <a:rPr lang="es-ES" sz="1100">
              <a:latin typeface="Calibri" panose="020F0502020204030204" pitchFamily="34" charset="0"/>
            </a:rPr>
            <a:t> y una curtosis de </a:t>
          </a:r>
          <a:r>
            <a:rPr lang="es-ES" sz="1100" b="1">
              <a:latin typeface="Calibri" panose="020F0502020204030204" pitchFamily="34" charset="0"/>
            </a:rPr>
            <a:t>0,67</a:t>
          </a:r>
          <a:r>
            <a:rPr lang="es-ES" sz="1100">
              <a:latin typeface="Calibri" panose="020F0502020204030204" pitchFamily="34" charset="0"/>
            </a:rPr>
            <a:t>. El histograma muestra concentración en las calificaciones altas, con pocos suspensos relativos. Esto puede indicar buen dominio general de la materia o, alternativamente, que las pruebas no han sido suficientemente discriminativas en la parte alta. Por su parte, el valor de la curtosis muestra una concentración estándar de alumnos alrededor del promedio, dibujando la habitual forma de campana esperable en un grupo de este tamaño. La media recortada es superior a la media global, lo que confirma que las calificaciones más bajas (suspensos severos o ceros) estaban penalizando el promedio general del grupo.</a:t>
          </a:r>
        </a:p>
        <a:p>
          <a:endParaRPr lang="es-ES" sz="1100">
            <a:latin typeface="Calibri" panose="020F0502020204030204" pitchFamily="34" charset="0"/>
          </a:endParaRPr>
        </a:p>
        <a:p>
          <a:r>
            <a:rPr lang="es-ES" sz="1100">
              <a:latin typeface="Calibri" panose="020F0502020204030204" pitchFamily="34" charset="0"/>
            </a:rPr>
            <a:t>En cuanto al análisis por bloques, la media del bloque de </a:t>
          </a:r>
          <a:r>
            <a:rPr lang="es-ES" sz="1100" b="1">
              <a:latin typeface="Calibri" panose="020F0502020204030204" pitchFamily="34" charset="0"/>
            </a:rPr>
            <a:t>Exámenes Parciales</a:t>
          </a:r>
          <a:r>
            <a:rPr lang="es-ES" sz="1100">
              <a:latin typeface="Calibri" panose="020F0502020204030204" pitchFamily="34" charset="0"/>
            </a:rPr>
            <a:t> ha sido de </a:t>
          </a:r>
          <a:r>
            <a:rPr lang="es-ES" sz="1100" b="1">
              <a:latin typeface="Calibri" panose="020F0502020204030204" pitchFamily="34" charset="0"/>
            </a:rPr>
            <a:t>5,09</a:t>
          </a:r>
          <a:r>
            <a:rPr lang="es-ES" sz="1100">
              <a:latin typeface="Calibri" panose="020F0502020204030204" pitchFamily="34" charset="0"/>
            </a:rPr>
            <a:t>, con una desviación estándar de </a:t>
          </a:r>
          <a:r>
            <a:rPr lang="es-ES" sz="1100" b="1">
              <a:latin typeface="Calibri" panose="020F0502020204030204" pitchFamily="34" charset="0"/>
            </a:rPr>
            <a:t>2,12</a:t>
          </a:r>
          <a:r>
            <a:rPr lang="es-ES" sz="1100">
              <a:latin typeface="Calibri" panose="020F0502020204030204" pitchFamily="34" charset="0"/>
            </a:rPr>
            <a:t>. La desviación estándar del bloque de exámenes (SD = </a:t>
          </a:r>
          <a:r>
            <a:rPr lang="es-ES" sz="1100" b="1">
              <a:latin typeface="Calibri" panose="020F0502020204030204" pitchFamily="34" charset="0"/>
            </a:rPr>
            <a:t>2,12</a:t>
          </a:r>
          <a:r>
            <a:rPr lang="es-ES" sz="1100">
              <a:latin typeface="Calibri" panose="020F0502020204030204" pitchFamily="34" charset="0"/>
            </a:rPr>
            <a:t>) supera notablemente la desviación estándar global (SD global = </a:t>
          </a:r>
          <a:r>
            <a:rPr lang="es-ES" sz="1100" b="1">
              <a:latin typeface="Calibri" panose="020F0502020204030204" pitchFamily="34" charset="0"/>
            </a:rPr>
            <a:t>1,56</a:t>
          </a:r>
          <a:r>
            <a:rPr lang="es-ES" sz="1100">
              <a:latin typeface="Calibri" panose="020F0502020204030204" pitchFamily="34" charset="0"/>
            </a:rPr>
            <a:t>), lo que indica una mayor dispersión en el rendimiento de las pruebas teóricas. El índice de dificultad del bloque se sitúa en </a:t>
          </a:r>
          <a:r>
            <a:rPr lang="es-ES" sz="1100" b="1">
              <a:latin typeface="Calibri" panose="020F0502020204030204" pitchFamily="34" charset="0"/>
            </a:rPr>
            <a:t>0,51</a:t>
          </a:r>
          <a:r>
            <a:rPr lang="es-ES" sz="1100">
              <a:latin typeface="Calibri" panose="020F0502020204030204" pitchFamily="34" charset="0"/>
            </a:rPr>
            <a:t>, indicando una dificultad media, muy equilibrada para el nivel del curso. Por su parte, el índice de discriminación es de </a:t>
          </a:r>
          <a:r>
            <a:rPr lang="es-ES" sz="1100" b="1">
              <a:latin typeface="Calibri" panose="020F0502020204030204" pitchFamily="34" charset="0"/>
            </a:rPr>
            <a:t>0,53</a:t>
          </a:r>
          <a:r>
            <a:rPr lang="es-ES" sz="1100">
              <a:latin typeface="Calibri" panose="020F0502020204030204" pitchFamily="34" charset="0"/>
            </a:rPr>
            <a:t>, lo que evidencia una capacidad de discriminación alta, distinguiendo con gran precisión a los alumnos según su nivel de preparación. El porcentaje de aprobados en este bloque ha sido del </a:t>
          </a:r>
          <a:r>
            <a:rPr lang="es-ES" sz="1100" b="1">
              <a:latin typeface="Calibri" panose="020F0502020204030204" pitchFamily="34" charset="0"/>
            </a:rPr>
            <a:t>56%</a:t>
          </a:r>
          <a:r>
            <a:rPr lang="es-ES" sz="1100">
              <a:latin typeface="Calibri" panose="020F0502020204030204" pitchFamily="34" charset="0"/>
            </a:rPr>
            <a:t>, observándose una tendencia estable en el rendimiento durante todo el periodo lectivo. con una variación moderada (</a:t>
          </a:r>
          <a:r>
            <a:rPr lang="es-ES" sz="1100" b="1">
              <a:latin typeface="Calibri" panose="020F0502020204030204" pitchFamily="34" charset="0"/>
            </a:rPr>
            <a:t>-0,3 puntos</a:t>
          </a:r>
          <a:r>
            <a:rPr lang="es-ES" sz="1100">
              <a:latin typeface="Calibri" panose="020F0502020204030204" pitchFamily="34" charset="0"/>
            </a:rPr>
            <a:t>).</a:t>
          </a:r>
        </a:p>
        <a:p>
          <a:endParaRPr lang="es-ES" sz="1100">
            <a:latin typeface="Calibri" panose="020F0502020204030204" pitchFamily="34" charset="0"/>
          </a:endParaRPr>
        </a:p>
        <a:p>
          <a:r>
            <a:rPr lang="es-ES" sz="1100">
              <a:latin typeface="Calibri" panose="020F0502020204030204" pitchFamily="34" charset="0"/>
            </a:rPr>
            <a:t>Por su parte, la media del bloque de </a:t>
          </a:r>
          <a:r>
            <a:rPr lang="es-ES" sz="1100" b="1">
              <a:latin typeface="Calibri" panose="020F0502020204030204" pitchFamily="34" charset="0"/>
            </a:rPr>
            <a:t>Actividades Complementarias</a:t>
          </a:r>
          <a:r>
            <a:rPr lang="es-ES" sz="1100">
              <a:latin typeface="Calibri" panose="020F0502020204030204" pitchFamily="34" charset="0"/>
            </a:rPr>
            <a:t> ha sido de </a:t>
          </a:r>
          <a:r>
            <a:rPr lang="es-ES" sz="1100" b="1">
              <a:latin typeface="Calibri" panose="020F0502020204030204" pitchFamily="34" charset="0"/>
            </a:rPr>
            <a:t>5,57</a:t>
          </a:r>
          <a:r>
            <a:rPr lang="es-ES" sz="1100">
              <a:latin typeface="Calibri" panose="020F0502020204030204" pitchFamily="34" charset="0"/>
            </a:rPr>
            <a:t>, con una desviación estándar de </a:t>
          </a:r>
          <a:r>
            <a:rPr lang="es-ES" sz="1100" b="1">
              <a:latin typeface="Calibri" panose="020F0502020204030204" pitchFamily="34" charset="0"/>
            </a:rPr>
            <a:t>2,55</a:t>
          </a:r>
          <a:r>
            <a:rPr lang="es-ES" sz="1100">
              <a:latin typeface="Calibri" panose="020F0502020204030204" pitchFamily="34" charset="0"/>
            </a:rPr>
            <a:t> y un coeficiente de variación del </a:t>
          </a:r>
          <a:r>
            <a:rPr lang="es-ES" sz="1100" b="1">
              <a:latin typeface="Calibri" panose="020F0502020204030204" pitchFamily="34" charset="0"/>
            </a:rPr>
            <a:t>46%</a:t>
          </a:r>
          <a:r>
            <a:rPr lang="es-ES" sz="1100">
              <a:latin typeface="Calibri" panose="020F0502020204030204" pitchFamily="34" charset="0"/>
            </a:rPr>
            <a:t> lo que evidencia una alta heterogeneidad en la evaluación continua, sugiriendo una fuerte polarización entre alumnos muy implicados en las actividades complementarias y otros con entregas deficientes o no presentadas. La diferencia entre la media de actividades y la de exámenes es de </a:t>
          </a:r>
          <a:r>
            <a:rPr lang="es-ES" sz="1100" b="1">
              <a:latin typeface="Calibri" panose="020F0502020204030204" pitchFamily="34" charset="0"/>
            </a:rPr>
            <a:t>0,48 puntos</a:t>
          </a:r>
          <a:r>
            <a:rPr lang="es-ES" sz="1100">
              <a:latin typeface="Calibri" panose="020F0502020204030204" pitchFamily="34" charset="0"/>
            </a:rPr>
            <a:t>, lo que revela un rendimiento equilibrado en ambos formatos evaluativos. Esta simetría confirma una alta coherencia en el diseño de la asignatura, demostrando que la asimilación teórica y la ejecución práctica de los alumnos avanzan en paralelo. La evolución de este bloque muestra una tendencia estable, lo que refleja una regularidad constante en el trabajo semanal del grupo. con una variación acumulada de </a:t>
          </a:r>
          <a:r>
            <a:rPr lang="es-ES" sz="1100" b="1">
              <a:latin typeface="Calibri" panose="020F0502020204030204" pitchFamily="34" charset="0"/>
            </a:rPr>
            <a:t>0,3 puntos</a:t>
          </a:r>
          <a:r>
            <a:rPr lang="es-ES" sz="1100">
              <a:latin typeface="Calibri" panose="020F0502020204030204" pitchFamily="34" charset="0"/>
            </a:rPr>
            <a:t> a lo largo del curso.</a:t>
          </a:r>
        </a:p>
        <a:p>
          <a:endParaRPr lang="es-ES" sz="1100">
            <a:latin typeface="Calibri" panose="020F0502020204030204" pitchFamily="34" charset="0"/>
          </a:endParaRPr>
        </a:p>
        <a:p>
          <a:r>
            <a:rPr lang="es-ES" sz="1100">
              <a:latin typeface="Calibri" panose="020F0502020204030204" pitchFamily="34" charset="0"/>
            </a:rPr>
            <a:t>La comparación entre ambos bloques sugiere que la evaluación continua actúa como un complemento equilibrado, confirmando que el trabajo diario y las pruebas teóricas avanzan en total sintonía.</a:t>
          </a:r>
        </a:p>
        <a:p>
          <a:endParaRPr lang="es-ES" sz="1100">
            <a:latin typeface="Calibri" panose="020F0502020204030204" pitchFamily="34" charset="0"/>
          </a:endParaRPr>
        </a:p>
        <a:p>
          <a:r>
            <a:rPr lang="es-ES" sz="1100">
              <a:latin typeface="Calibri" panose="020F0502020204030204" pitchFamily="34" charset="0"/>
            </a:rPr>
            <a:t>Desde una perspectiva evolutiva global, el rendimiento del grupo ha mostrado </a:t>
          </a:r>
          <a:r>
            <a:rPr lang="es-ES" sz="1100" b="1">
              <a:latin typeface="Calibri" panose="020F0502020204030204" pitchFamily="34" charset="0"/>
            </a:rPr>
            <a:t>una tendencia ascendente, lo que refleja una maduración positiva del grupo y una sólida adaptación a la metodología conforme avanzaba el temario.</a:t>
          </a:r>
          <a:r>
            <a:rPr lang="es-ES" sz="1100">
              <a:latin typeface="Calibri" panose="020F0502020204030204" pitchFamily="34" charset="0"/>
            </a:rPr>
            <a:t> con una variación media acumulada de </a:t>
          </a:r>
          <a:r>
            <a:rPr lang="es-ES" sz="1100" b="1">
              <a:latin typeface="Calibri" panose="020F0502020204030204" pitchFamily="34" charset="0"/>
            </a:rPr>
            <a:t>0,5 puntos</a:t>
          </a:r>
          <a:r>
            <a:rPr lang="es-ES" sz="1100">
              <a:latin typeface="Calibri" panose="020F0502020204030204" pitchFamily="34" charset="0"/>
            </a:rPr>
            <a:t> desde el inicio hasta el cierre del curso académico.</a:t>
          </a:r>
        </a:p>
      </xdr:txBody>
    </xdr:sp>
    <xdr:clientData/>
  </xdr:twoCellAnchor>
  <mc:AlternateContent xmlns:mc="http://schemas.openxmlformats.org/markup-compatibility/2006">
    <mc:Choice xmlns:a14="http://schemas.microsoft.com/office/drawing/2010/main" Requires="a14">
      <xdr:twoCellAnchor>
        <xdr:from>
          <xdr:col>10</xdr:col>
          <xdr:colOff>0</xdr:colOff>
          <xdr:row>0</xdr:row>
          <xdr:rowOff>0</xdr:rowOff>
        </xdr:from>
        <xdr:to>
          <xdr:col>14</xdr:col>
          <xdr:colOff>0</xdr:colOff>
          <xdr:row>2</xdr:row>
          <xdr:rowOff>0</xdr:rowOff>
        </xdr:to>
        <xdr:sp macro="" textlink="">
          <xdr:nvSpPr>
            <xdr:cNvPr id="283658" name="btnExportarPDF" hidden="1">
              <a:extLst>
                <a:ext uri="{63B3BB69-23CF-44E3-9099-C40C66FF867C}">
                  <a14:compatExt spid="_x0000_s283658"/>
                </a:ext>
                <a:ext uri="{FF2B5EF4-FFF2-40B4-BE49-F238E27FC236}">
                  <a16:creationId xmlns:a16="http://schemas.microsoft.com/office/drawing/2014/main" id="{11453645-83DD-F129-4771-E76D363B16D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EXPORTAR INFORME A PDF</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0.10798</cdr:x>
      <cdr:y>0.4334</cdr:y>
    </cdr:from>
    <cdr:to>
      <cdr:x>0.95417</cdr:x>
      <cdr:y>0.4334</cdr:y>
    </cdr:to>
    <cdr:cxnSp macro="">
      <cdr:nvCxnSpPr>
        <cdr:cNvPr id="2" name="Conector recto 1">
          <a:extLst xmlns:a="http://schemas.openxmlformats.org/drawingml/2006/main">
            <a:ext uri="{FF2B5EF4-FFF2-40B4-BE49-F238E27FC236}">
              <a16:creationId xmlns:a16="http://schemas.microsoft.com/office/drawing/2014/main" id="{3920D494-209A-202F-EB4B-3E6189901CDC}"/>
            </a:ext>
          </a:extLst>
        </cdr:cNvPr>
        <cdr:cNvCxnSpPr/>
      </cdr:nvCxnSpPr>
      <cdr:spPr>
        <a:xfrm xmlns:a="http://schemas.openxmlformats.org/drawingml/2006/main">
          <a:off x="329131" y="1585219"/>
          <a:ext cx="2579169" cy="0"/>
        </a:xfrm>
        <a:prstGeom xmlns:a="http://schemas.openxmlformats.org/drawingml/2006/main" prst="line">
          <a:avLst/>
        </a:prstGeom>
        <a:ln xmlns:a="http://schemas.openxmlformats.org/drawingml/2006/main" w="28575" cap="flat" cmpd="sng" algn="ctr">
          <a:solidFill>
            <a:srgbClr val="FF0000"/>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0.1926</cdr:x>
      <cdr:y>0.31001</cdr:y>
    </cdr:from>
    <cdr:to>
      <cdr:x>0.1926</cdr:x>
      <cdr:y>0.52383</cdr:y>
    </cdr:to>
    <cdr:cxnSp macro="">
      <cdr:nvCxnSpPr>
        <cdr:cNvPr id="3" name="Conector recto 2">
          <a:extLst xmlns:a="http://schemas.openxmlformats.org/drawingml/2006/main">
            <a:ext uri="{FF2B5EF4-FFF2-40B4-BE49-F238E27FC236}">
              <a16:creationId xmlns:a16="http://schemas.microsoft.com/office/drawing/2014/main" id="{E6881D23-0E1F-8768-AA7D-07D03336D451}"/>
            </a:ext>
          </a:extLst>
        </cdr:cNvPr>
        <cdr:cNvCxnSpPr/>
      </cdr:nvCxnSpPr>
      <cdr:spPr>
        <a:xfrm xmlns:a="http://schemas.openxmlformats.org/drawingml/2006/main" flipV="1">
          <a:off x="587048" y="1133901"/>
          <a:ext cx="0" cy="782044"/>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0.1676</cdr:x>
      <cdr:y>0.52383</cdr:y>
    </cdr:from>
    <cdr:to>
      <cdr:x>0.2176</cdr:x>
      <cdr:y>0.52383</cdr:y>
    </cdr:to>
    <cdr:cxnSp macro="">
      <cdr:nvCxnSpPr>
        <cdr:cNvPr id="4" name="Conector recto 3">
          <a:extLst xmlns:a="http://schemas.openxmlformats.org/drawingml/2006/main">
            <a:ext uri="{FF2B5EF4-FFF2-40B4-BE49-F238E27FC236}">
              <a16:creationId xmlns:a16="http://schemas.microsoft.com/office/drawing/2014/main" id="{4CE9C8D3-CEA4-306D-6404-9E82D3C12F4D}"/>
            </a:ext>
          </a:extLst>
        </cdr:cNvPr>
        <cdr:cNvCxnSpPr/>
      </cdr:nvCxnSpPr>
      <cdr:spPr>
        <a:xfrm xmlns:a="http://schemas.openxmlformats.org/drawingml/2006/main">
          <a:off x="510848" y="1915945"/>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0.1676</cdr:x>
      <cdr:y>0.31001</cdr:y>
    </cdr:from>
    <cdr:to>
      <cdr:x>0.2176</cdr:x>
      <cdr:y>0.31001</cdr:y>
    </cdr:to>
    <cdr:cxnSp macro="">
      <cdr:nvCxnSpPr>
        <cdr:cNvPr id="5" name="Conector recto 4">
          <a:extLst xmlns:a="http://schemas.openxmlformats.org/drawingml/2006/main">
            <a:ext uri="{FF2B5EF4-FFF2-40B4-BE49-F238E27FC236}">
              <a16:creationId xmlns:a16="http://schemas.microsoft.com/office/drawing/2014/main" id="{447BFF05-2910-5E9B-C7E1-6BEC08446488}"/>
            </a:ext>
          </a:extLst>
        </cdr:cNvPr>
        <cdr:cNvCxnSpPr/>
      </cdr:nvCxnSpPr>
      <cdr:spPr>
        <a:xfrm xmlns:a="http://schemas.openxmlformats.org/drawingml/2006/main">
          <a:off x="510848" y="1133901"/>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0.36184</cdr:x>
      <cdr:y>0.3189</cdr:y>
    </cdr:from>
    <cdr:to>
      <cdr:x>0.36184</cdr:x>
      <cdr:y>0.56765</cdr:y>
    </cdr:to>
    <cdr:cxnSp macro="">
      <cdr:nvCxnSpPr>
        <cdr:cNvPr id="6" name="Conector recto 5">
          <a:extLst xmlns:a="http://schemas.openxmlformats.org/drawingml/2006/main">
            <a:ext uri="{FF2B5EF4-FFF2-40B4-BE49-F238E27FC236}">
              <a16:creationId xmlns:a16="http://schemas.microsoft.com/office/drawing/2014/main" id="{C42DF4C5-F5AC-4851-D25A-1FE15843DAA6}"/>
            </a:ext>
          </a:extLst>
        </cdr:cNvPr>
        <cdr:cNvCxnSpPr/>
      </cdr:nvCxnSpPr>
      <cdr:spPr>
        <a:xfrm xmlns:a="http://schemas.openxmlformats.org/drawingml/2006/main" flipV="1">
          <a:off x="1102882" y="1166396"/>
          <a:ext cx="0" cy="909857"/>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0.33684</cdr:x>
      <cdr:y>0.56765</cdr:y>
    </cdr:from>
    <cdr:to>
      <cdr:x>0.38684</cdr:x>
      <cdr:y>0.56765</cdr:y>
    </cdr:to>
    <cdr:cxnSp macro="">
      <cdr:nvCxnSpPr>
        <cdr:cNvPr id="7" name="Conector recto 6">
          <a:extLst xmlns:a="http://schemas.openxmlformats.org/drawingml/2006/main">
            <a:ext uri="{FF2B5EF4-FFF2-40B4-BE49-F238E27FC236}">
              <a16:creationId xmlns:a16="http://schemas.microsoft.com/office/drawing/2014/main" id="{C388CD8C-A0EA-1FF5-5A3A-AF57B754406D}"/>
            </a:ext>
          </a:extLst>
        </cdr:cNvPr>
        <cdr:cNvCxnSpPr/>
      </cdr:nvCxnSpPr>
      <cdr:spPr>
        <a:xfrm xmlns:a="http://schemas.openxmlformats.org/drawingml/2006/main">
          <a:off x="1026682" y="2076253"/>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0.33684</cdr:x>
      <cdr:y>0.3189</cdr:y>
    </cdr:from>
    <cdr:to>
      <cdr:x>0.38684</cdr:x>
      <cdr:y>0.3189</cdr:y>
    </cdr:to>
    <cdr:cxnSp macro="">
      <cdr:nvCxnSpPr>
        <cdr:cNvPr id="8" name="Conector recto 7">
          <a:extLst xmlns:a="http://schemas.openxmlformats.org/drawingml/2006/main">
            <a:ext uri="{FF2B5EF4-FFF2-40B4-BE49-F238E27FC236}">
              <a16:creationId xmlns:a16="http://schemas.microsoft.com/office/drawing/2014/main" id="{5339B7AE-B013-F2FC-BF33-9F7FA1A0600F}"/>
            </a:ext>
          </a:extLst>
        </cdr:cNvPr>
        <cdr:cNvCxnSpPr/>
      </cdr:nvCxnSpPr>
      <cdr:spPr>
        <a:xfrm xmlns:a="http://schemas.openxmlformats.org/drawingml/2006/main">
          <a:off x="1026682" y="1166396"/>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0.53107</cdr:x>
      <cdr:y>0.23598</cdr:y>
    </cdr:from>
    <cdr:to>
      <cdr:x>0.53107</cdr:x>
      <cdr:y>0.5716</cdr:y>
    </cdr:to>
    <cdr:cxnSp macro="">
      <cdr:nvCxnSpPr>
        <cdr:cNvPr id="9" name="Conector recto 8">
          <a:extLst xmlns:a="http://schemas.openxmlformats.org/drawingml/2006/main">
            <a:ext uri="{FF2B5EF4-FFF2-40B4-BE49-F238E27FC236}">
              <a16:creationId xmlns:a16="http://schemas.microsoft.com/office/drawing/2014/main" id="{479F8733-8B34-B43A-F8BF-B7D975E88DE8}"/>
            </a:ext>
          </a:extLst>
        </cdr:cNvPr>
        <cdr:cNvCxnSpPr/>
      </cdr:nvCxnSpPr>
      <cdr:spPr>
        <a:xfrm xmlns:a="http://schemas.openxmlformats.org/drawingml/2006/main" flipV="1">
          <a:off x="1618716" y="863110"/>
          <a:ext cx="0" cy="1227585"/>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0.50607</cdr:x>
      <cdr:y>0.5716</cdr:y>
    </cdr:from>
    <cdr:to>
      <cdr:x>0.55607</cdr:x>
      <cdr:y>0.5716</cdr:y>
    </cdr:to>
    <cdr:cxnSp macro="">
      <cdr:nvCxnSpPr>
        <cdr:cNvPr id="10" name="Conector recto 9">
          <a:extLst xmlns:a="http://schemas.openxmlformats.org/drawingml/2006/main">
            <a:ext uri="{FF2B5EF4-FFF2-40B4-BE49-F238E27FC236}">
              <a16:creationId xmlns:a16="http://schemas.microsoft.com/office/drawing/2014/main" id="{F7EE491B-C991-783E-3CAF-B191218D5777}"/>
            </a:ext>
          </a:extLst>
        </cdr:cNvPr>
        <cdr:cNvCxnSpPr/>
      </cdr:nvCxnSpPr>
      <cdr:spPr>
        <a:xfrm xmlns:a="http://schemas.openxmlformats.org/drawingml/2006/main">
          <a:off x="1542516" y="2090695"/>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0.50607</cdr:x>
      <cdr:y>0.23598</cdr:y>
    </cdr:from>
    <cdr:to>
      <cdr:x>0.55607</cdr:x>
      <cdr:y>0.23598</cdr:y>
    </cdr:to>
    <cdr:cxnSp macro="">
      <cdr:nvCxnSpPr>
        <cdr:cNvPr id="11" name="Conector recto 10">
          <a:extLst xmlns:a="http://schemas.openxmlformats.org/drawingml/2006/main">
            <a:ext uri="{FF2B5EF4-FFF2-40B4-BE49-F238E27FC236}">
              <a16:creationId xmlns:a16="http://schemas.microsoft.com/office/drawing/2014/main" id="{57A6E165-0824-A755-53E2-071F0AC5FC90}"/>
            </a:ext>
          </a:extLst>
        </cdr:cNvPr>
        <cdr:cNvCxnSpPr/>
      </cdr:nvCxnSpPr>
      <cdr:spPr>
        <a:xfrm xmlns:a="http://schemas.openxmlformats.org/drawingml/2006/main">
          <a:off x="1542516" y="863110"/>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0.70031</cdr:x>
      <cdr:y>0.20439</cdr:y>
    </cdr:from>
    <cdr:to>
      <cdr:x>0.70031</cdr:x>
      <cdr:y>0.55186</cdr:y>
    </cdr:to>
    <cdr:cxnSp macro="">
      <cdr:nvCxnSpPr>
        <cdr:cNvPr id="12" name="Conector recto 11">
          <a:extLst xmlns:a="http://schemas.openxmlformats.org/drawingml/2006/main">
            <a:ext uri="{FF2B5EF4-FFF2-40B4-BE49-F238E27FC236}">
              <a16:creationId xmlns:a16="http://schemas.microsoft.com/office/drawing/2014/main" id="{6B7538A2-564A-9123-B1B2-8E2738EF7E49}"/>
            </a:ext>
          </a:extLst>
        </cdr:cNvPr>
        <cdr:cNvCxnSpPr/>
      </cdr:nvCxnSpPr>
      <cdr:spPr>
        <a:xfrm xmlns:a="http://schemas.openxmlformats.org/drawingml/2006/main" flipV="1">
          <a:off x="2134549" y="747573"/>
          <a:ext cx="0" cy="1270911"/>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0.67531</cdr:x>
      <cdr:y>0.55186</cdr:y>
    </cdr:from>
    <cdr:to>
      <cdr:x>0.72531</cdr:x>
      <cdr:y>0.55186</cdr:y>
    </cdr:to>
    <cdr:cxnSp macro="">
      <cdr:nvCxnSpPr>
        <cdr:cNvPr id="13" name="Conector recto 12">
          <a:extLst xmlns:a="http://schemas.openxmlformats.org/drawingml/2006/main">
            <a:ext uri="{FF2B5EF4-FFF2-40B4-BE49-F238E27FC236}">
              <a16:creationId xmlns:a16="http://schemas.microsoft.com/office/drawing/2014/main" id="{1714BE88-AD4D-A64A-2A38-559690CDF3CA}"/>
            </a:ext>
          </a:extLst>
        </cdr:cNvPr>
        <cdr:cNvCxnSpPr/>
      </cdr:nvCxnSpPr>
      <cdr:spPr>
        <a:xfrm xmlns:a="http://schemas.openxmlformats.org/drawingml/2006/main">
          <a:off x="2058349" y="2018484"/>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0.67531</cdr:x>
      <cdr:y>0.20439</cdr:y>
    </cdr:from>
    <cdr:to>
      <cdr:x>0.72531</cdr:x>
      <cdr:y>0.20439</cdr:y>
    </cdr:to>
    <cdr:cxnSp macro="">
      <cdr:nvCxnSpPr>
        <cdr:cNvPr id="14" name="Conector recto 13">
          <a:extLst xmlns:a="http://schemas.openxmlformats.org/drawingml/2006/main">
            <a:ext uri="{FF2B5EF4-FFF2-40B4-BE49-F238E27FC236}">
              <a16:creationId xmlns:a16="http://schemas.microsoft.com/office/drawing/2014/main" id="{1FF0B8C5-DBB4-A8D4-6B62-38D7589C9B90}"/>
            </a:ext>
          </a:extLst>
        </cdr:cNvPr>
        <cdr:cNvCxnSpPr/>
      </cdr:nvCxnSpPr>
      <cdr:spPr>
        <a:xfrm xmlns:a="http://schemas.openxmlformats.org/drawingml/2006/main">
          <a:off x="2058349" y="747573"/>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0.86955</cdr:x>
      <cdr:y>0.28632</cdr:y>
    </cdr:from>
    <cdr:to>
      <cdr:x>0.86955</cdr:x>
      <cdr:y>0.51237</cdr:y>
    </cdr:to>
    <cdr:cxnSp macro="">
      <cdr:nvCxnSpPr>
        <cdr:cNvPr id="15" name="Conector recto 14">
          <a:extLst xmlns:a="http://schemas.openxmlformats.org/drawingml/2006/main">
            <a:ext uri="{FF2B5EF4-FFF2-40B4-BE49-F238E27FC236}">
              <a16:creationId xmlns:a16="http://schemas.microsoft.com/office/drawing/2014/main" id="{CFA4592B-377A-6C1A-43E8-B02201FA01E5}"/>
            </a:ext>
          </a:extLst>
        </cdr:cNvPr>
        <cdr:cNvCxnSpPr/>
      </cdr:nvCxnSpPr>
      <cdr:spPr>
        <a:xfrm xmlns:a="http://schemas.openxmlformats.org/drawingml/2006/main" flipV="1">
          <a:off x="2650383" y="1047248"/>
          <a:ext cx="0" cy="826814"/>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0.84455</cdr:x>
      <cdr:y>0.51237</cdr:y>
    </cdr:from>
    <cdr:to>
      <cdr:x>0.89455</cdr:x>
      <cdr:y>0.51237</cdr:y>
    </cdr:to>
    <cdr:cxnSp macro="">
      <cdr:nvCxnSpPr>
        <cdr:cNvPr id="16" name="Conector recto 15">
          <a:extLst xmlns:a="http://schemas.openxmlformats.org/drawingml/2006/main">
            <a:ext uri="{FF2B5EF4-FFF2-40B4-BE49-F238E27FC236}">
              <a16:creationId xmlns:a16="http://schemas.microsoft.com/office/drawing/2014/main" id="{A874B038-7BB4-01F5-0990-DB1523BD5EA2}"/>
            </a:ext>
          </a:extLst>
        </cdr:cNvPr>
        <cdr:cNvCxnSpPr/>
      </cdr:nvCxnSpPr>
      <cdr:spPr>
        <a:xfrm xmlns:a="http://schemas.openxmlformats.org/drawingml/2006/main">
          <a:off x="2574183" y="1874062"/>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0.84455</cdr:x>
      <cdr:y>0.28632</cdr:y>
    </cdr:from>
    <cdr:to>
      <cdr:x>0.89455</cdr:x>
      <cdr:y>0.28632</cdr:y>
    </cdr:to>
    <cdr:cxnSp macro="">
      <cdr:nvCxnSpPr>
        <cdr:cNvPr id="17" name="Conector recto 16">
          <a:extLst xmlns:a="http://schemas.openxmlformats.org/drawingml/2006/main">
            <a:ext uri="{FF2B5EF4-FFF2-40B4-BE49-F238E27FC236}">
              <a16:creationId xmlns:a16="http://schemas.microsoft.com/office/drawing/2014/main" id="{74201445-6990-0DB7-A94F-FC00239376B8}"/>
            </a:ext>
          </a:extLst>
        </cdr:cNvPr>
        <cdr:cNvCxnSpPr/>
      </cdr:nvCxnSpPr>
      <cdr:spPr>
        <a:xfrm xmlns:a="http://schemas.openxmlformats.org/drawingml/2006/main">
          <a:off x="2574183" y="1047248"/>
          <a:ext cx="152400" cy="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c:userShapes xmlns:c="http://schemas.openxmlformats.org/drawingml/2006/chart">
  <cdr:relSizeAnchor xmlns:cdr="http://schemas.openxmlformats.org/drawingml/2006/chartDrawing">
    <cdr:from>
      <cdr:x>0.13463</cdr:x>
      <cdr:y>0.43924</cdr:y>
    </cdr:from>
    <cdr:to>
      <cdr:x>0.95409</cdr:x>
      <cdr:y>0.43924</cdr:y>
    </cdr:to>
    <cdr:cxnSp macro="">
      <cdr:nvCxnSpPr>
        <cdr:cNvPr id="2" name="Conector recto 1">
          <a:extLst xmlns:a="http://schemas.openxmlformats.org/drawingml/2006/main">
            <a:ext uri="{FF2B5EF4-FFF2-40B4-BE49-F238E27FC236}">
              <a16:creationId xmlns:a16="http://schemas.microsoft.com/office/drawing/2014/main" id="{AF2B9713-0C5B-755B-C7CD-6031BBDAE9AB}"/>
            </a:ext>
          </a:extLst>
        </cdr:cNvPr>
        <cdr:cNvCxnSpPr/>
      </cdr:nvCxnSpPr>
      <cdr:spPr>
        <a:xfrm xmlns:a="http://schemas.openxmlformats.org/drawingml/2006/main">
          <a:off x="598435" y="1606550"/>
          <a:ext cx="3642476" cy="0"/>
        </a:xfrm>
        <a:prstGeom xmlns:a="http://schemas.openxmlformats.org/drawingml/2006/main" prst="line">
          <a:avLst/>
        </a:prstGeom>
        <a:ln xmlns:a="http://schemas.openxmlformats.org/drawingml/2006/main" w="25400" cap="flat" cmpd="sng" algn="ctr">
          <a:solidFill>
            <a:srgbClr val="FF0000"/>
          </a:solidFill>
          <a:prstDash val="dash"/>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0.54429</cdr:x>
      <cdr:y>0.03855</cdr:y>
    </cdr:from>
    <cdr:to>
      <cdr:x>0.54429</cdr:x>
      <cdr:y>0.83939</cdr:y>
    </cdr:to>
    <cdr:cxnSp macro="">
      <cdr:nvCxnSpPr>
        <cdr:cNvPr id="3" name="Conector recto 2">
          <a:extLst xmlns:a="http://schemas.openxmlformats.org/drawingml/2006/main">
            <a:ext uri="{FF2B5EF4-FFF2-40B4-BE49-F238E27FC236}">
              <a16:creationId xmlns:a16="http://schemas.microsoft.com/office/drawing/2014/main" id="{3A7B9BFB-8D93-5989-5704-1558BC136987}"/>
            </a:ext>
          </a:extLst>
        </cdr:cNvPr>
        <cdr:cNvCxnSpPr/>
      </cdr:nvCxnSpPr>
      <cdr:spPr>
        <a:xfrm xmlns:a="http://schemas.openxmlformats.org/drawingml/2006/main">
          <a:off x="2419350" y="141002"/>
          <a:ext cx="0" cy="2929138"/>
        </a:xfrm>
        <a:prstGeom xmlns:a="http://schemas.openxmlformats.org/drawingml/2006/main" prst="line">
          <a:avLst/>
        </a:prstGeom>
        <a:ln xmlns:a="http://schemas.openxmlformats.org/drawingml/2006/main" w="25400" cap="flat" cmpd="sng" algn="ctr">
          <a:solidFill>
            <a:srgbClr val="FF0000"/>
          </a:solidFill>
          <a:prstDash val="dash"/>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0.13463</cdr:x>
      <cdr:y>0.03855</cdr:y>
    </cdr:from>
    <cdr:to>
      <cdr:x>0.95409</cdr:x>
      <cdr:y>0.83939</cdr:y>
    </cdr:to>
    <cdr:cxnSp macro="">
      <cdr:nvCxnSpPr>
        <cdr:cNvPr id="4" name="Conector recto 3">
          <a:extLst xmlns:a="http://schemas.openxmlformats.org/drawingml/2006/main">
            <a:ext uri="{FF2B5EF4-FFF2-40B4-BE49-F238E27FC236}">
              <a16:creationId xmlns:a16="http://schemas.microsoft.com/office/drawing/2014/main" id="{4120FEA3-DCA5-3C06-3609-FE9DA31B7BB8}"/>
            </a:ext>
          </a:extLst>
        </cdr:cNvPr>
        <cdr:cNvCxnSpPr/>
      </cdr:nvCxnSpPr>
      <cdr:spPr>
        <a:xfrm xmlns:a="http://schemas.openxmlformats.org/drawingml/2006/main" flipV="1">
          <a:off x="598435" y="141002"/>
          <a:ext cx="3642476" cy="2929138"/>
        </a:xfrm>
        <a:prstGeom xmlns:a="http://schemas.openxmlformats.org/drawingml/2006/main" prst="line">
          <a:avLst/>
        </a:prstGeom>
        <a:ln xmlns:a="http://schemas.openxmlformats.org/drawingml/2006/main" w="19050" cap="flat" cmpd="sng" algn="ctr">
          <a:solidFill>
            <a:srgbClr val="000000"/>
          </a:solidFill>
          <a:prstDash val="dash"/>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7</xdr:col>
      <xdr:colOff>0</xdr:colOff>
      <xdr:row>4</xdr:row>
      <xdr:rowOff>0</xdr:rowOff>
    </xdr:from>
    <xdr:to>
      <xdr:col>24</xdr:col>
      <xdr:colOff>0</xdr:colOff>
      <xdr:row>6</xdr:row>
      <xdr:rowOff>0</xdr:rowOff>
    </xdr:to>
    <xdr:sp macro="" textlink="">
      <xdr:nvSpPr>
        <xdr:cNvPr id="2" name="GRÁFICOS ESTADÍSTICOS">
          <a:extLst>
            <a:ext uri="{FF2B5EF4-FFF2-40B4-BE49-F238E27FC236}">
              <a16:creationId xmlns:a16="http://schemas.microsoft.com/office/drawing/2014/main" id="{583C6FC5-BB57-10A2-1D9B-3B8FB029BB39}"/>
            </a:ext>
          </a:extLst>
        </xdr:cNvPr>
        <xdr:cNvSpPr txBox="1"/>
      </xdr:nvSpPr>
      <xdr:spPr>
        <a:xfrm>
          <a:off x="5334000" y="787400"/>
          <a:ext cx="12954000" cy="368300"/>
        </a:xfrm>
        <a:prstGeom prst="rect">
          <a:avLst/>
        </a:prstGeom>
        <a:solidFill>
          <a:srgbClr val="A9D08E"/>
        </a:solidFill>
        <a:ln w="254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400" b="1">
              <a:solidFill>
                <a:srgbClr val="000000"/>
              </a:solidFill>
              <a:latin typeface="Arial" panose="020B0604020202020204" pitchFamily="34" charset="0"/>
            </a:rPr>
            <a:t>GRÁFICOS ESTADÍSTICOS</a:t>
          </a:r>
        </a:p>
      </xdr:txBody>
    </xdr:sp>
    <xdr:clientData/>
  </xdr:twoCellAnchor>
  <xdr:twoCellAnchor>
    <xdr:from>
      <xdr:col>27</xdr:col>
      <xdr:colOff>0</xdr:colOff>
      <xdr:row>4</xdr:row>
      <xdr:rowOff>0</xdr:rowOff>
    </xdr:from>
    <xdr:to>
      <xdr:col>32</xdr:col>
      <xdr:colOff>0</xdr:colOff>
      <xdr:row>6</xdr:row>
      <xdr:rowOff>0</xdr:rowOff>
    </xdr:to>
    <xdr:sp macro="" textlink="">
      <xdr:nvSpPr>
        <xdr:cNvPr id="3" name="Análisis 2º PARCIAL (15%)">
          <a:extLst>
            <a:ext uri="{FF2B5EF4-FFF2-40B4-BE49-F238E27FC236}">
              <a16:creationId xmlns:a16="http://schemas.microsoft.com/office/drawing/2014/main" id="{575C2BF0-C49C-9506-5B96-CBC619673E4B}"/>
            </a:ext>
          </a:extLst>
        </xdr:cNvPr>
        <xdr:cNvSpPr txBox="1"/>
      </xdr:nvSpPr>
      <xdr:spPr>
        <a:xfrm>
          <a:off x="20574000" y="787400"/>
          <a:ext cx="3810000" cy="368300"/>
        </a:xfrm>
        <a:prstGeom prst="rect">
          <a:avLst/>
        </a:prstGeom>
        <a:solidFill>
          <a:srgbClr val="A9D08E"/>
        </a:solidFill>
        <a:ln w="254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400" b="1">
              <a:solidFill>
                <a:srgbClr val="000000"/>
              </a:solidFill>
              <a:latin typeface="Arial" panose="020B0604020202020204" pitchFamily="34" charset="0"/>
            </a:rPr>
            <a:t>Análisis 2º PARCIAL (15%)</a:t>
          </a:r>
        </a:p>
      </xdr:txBody>
    </xdr:sp>
    <xdr:clientData/>
  </xdr:twoCellAnchor>
  <xdr:twoCellAnchor>
    <xdr:from>
      <xdr:col>16</xdr:col>
      <xdr:colOff>0</xdr:colOff>
      <xdr:row>8</xdr:row>
      <xdr:rowOff>0</xdr:rowOff>
    </xdr:from>
    <xdr:to>
      <xdr:col>22</xdr:col>
      <xdr:colOff>0</xdr:colOff>
      <xdr:row>21</xdr:row>
      <xdr:rowOff>203200</xdr:rowOff>
    </xdr:to>
    <xdr:graphicFrame macro="">
      <xdr:nvGraphicFramePr>
        <xdr:cNvPr id="4" name="Gráfico 3">
          <a:extLst>
            <a:ext uri="{FF2B5EF4-FFF2-40B4-BE49-F238E27FC236}">
              <a16:creationId xmlns:a16="http://schemas.microsoft.com/office/drawing/2014/main" id="{0D454B96-43F2-4BB3-1BF5-E25D2C4313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24</xdr:row>
      <xdr:rowOff>0</xdr:rowOff>
    </xdr:from>
    <xdr:to>
      <xdr:col>24</xdr:col>
      <xdr:colOff>0</xdr:colOff>
      <xdr:row>37</xdr:row>
      <xdr:rowOff>203200</xdr:rowOff>
    </xdr:to>
    <xdr:graphicFrame macro="">
      <xdr:nvGraphicFramePr>
        <xdr:cNvPr id="5" name="Gráfico 4">
          <a:extLst>
            <a:ext uri="{FF2B5EF4-FFF2-40B4-BE49-F238E27FC236}">
              <a16:creationId xmlns:a16="http://schemas.microsoft.com/office/drawing/2014/main" id="{E9526167-9E72-6F8D-00C7-991FCEF605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0</xdr:colOff>
      <xdr:row>8</xdr:row>
      <xdr:rowOff>0</xdr:rowOff>
    </xdr:from>
    <xdr:to>
      <xdr:col>24</xdr:col>
      <xdr:colOff>0</xdr:colOff>
      <xdr:row>21</xdr:row>
      <xdr:rowOff>203200</xdr:rowOff>
    </xdr:to>
    <xdr:sp macro="" textlink="">
      <xdr:nvSpPr>
        <xdr:cNvPr id="6" name="CuadroResumenEstadistico">
          <a:extLst>
            <a:ext uri="{FF2B5EF4-FFF2-40B4-BE49-F238E27FC236}">
              <a16:creationId xmlns:a16="http://schemas.microsoft.com/office/drawing/2014/main" id="{3CDDB113-BA42-316E-7CB9-4BEC2A766A1C}"/>
            </a:ext>
          </a:extLst>
        </xdr:cNvPr>
        <xdr:cNvSpPr txBox="1"/>
      </xdr:nvSpPr>
      <xdr:spPr>
        <a:xfrm>
          <a:off x="20821650" y="1924050"/>
          <a:ext cx="1524000" cy="3175000"/>
        </a:xfrm>
        <a:prstGeom prst="rect">
          <a:avLst/>
        </a:prstGeom>
        <a:solidFill>
          <a:srgbClr val="FFFFFF"/>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88900" tIns="88900" rIns="88900" rtlCol="0" anchor="t"/>
        <a:lstStyle/>
        <a:p>
          <a:r>
            <a:rPr lang="es-ES" sz="1100" b="1">
              <a:solidFill>
                <a:srgbClr val="000000"/>
              </a:solidFill>
              <a:latin typeface="Arial" panose="020B0604020202020204" pitchFamily="34" charset="0"/>
            </a:rPr>
            <a:t>Análisis Distribución:</a:t>
          </a:r>
        </a:p>
        <a:p>
          <a:endParaRPr lang="es-ES" sz="1000">
            <a:solidFill>
              <a:srgbClr val="000000"/>
            </a:solidFill>
            <a:latin typeface="Arial" panose="020B0604020202020204" pitchFamily="34" charset="0"/>
          </a:endParaRPr>
        </a:p>
        <a:p>
          <a:r>
            <a:rPr lang="es-ES" sz="1000">
              <a:solidFill>
                <a:srgbClr val="000000"/>
              </a:solidFill>
              <a:latin typeface="Arial" panose="020B0604020202020204" pitchFamily="34" charset="0"/>
            </a:rPr>
            <a:t>Desv. Típica: 2,10</a:t>
          </a:r>
        </a:p>
        <a:p>
          <a:r>
            <a:rPr lang="es-ES" sz="1000">
              <a:solidFill>
                <a:srgbClr val="000000"/>
              </a:solidFill>
              <a:latin typeface="Arial" panose="020B0604020202020204" pitchFamily="34" charset="0"/>
            </a:rPr>
            <a:t>Coef. Asimetría: 0,043</a:t>
          </a:r>
        </a:p>
        <a:p>
          <a:r>
            <a:rPr lang="es-ES" sz="1000">
              <a:solidFill>
                <a:srgbClr val="000000"/>
              </a:solidFill>
              <a:latin typeface="Arial" panose="020B0604020202020204" pitchFamily="34" charset="0"/>
            </a:rPr>
            <a:t>Curtosis: -0,737</a:t>
          </a:r>
        </a:p>
        <a:p>
          <a:endParaRPr lang="es-ES" sz="1000">
            <a:solidFill>
              <a:srgbClr val="000000"/>
            </a:solidFill>
            <a:latin typeface="Arial" panose="020B0604020202020204" pitchFamily="34" charset="0"/>
          </a:endParaRPr>
        </a:p>
        <a:p>
          <a:r>
            <a:rPr lang="es-ES" sz="1000">
              <a:solidFill>
                <a:srgbClr val="000000"/>
              </a:solidFill>
              <a:latin typeface="Arial" panose="020B0604020202020204" pitchFamily="34" charset="0"/>
            </a:rPr>
            <a:t>Ajuste a la Normal: ALTO. La clase se comporta de forma estándar (Campana de Gauss).</a:t>
          </a:r>
        </a:p>
      </xdr:txBody>
    </xdr:sp>
    <xdr:clientData/>
  </xdr:twoCellAnchor>
  <xdr:twoCellAnchor>
    <xdr:from>
      <xdr:col>7</xdr:col>
      <xdr:colOff>0</xdr:colOff>
      <xdr:row>8</xdr:row>
      <xdr:rowOff>0</xdr:rowOff>
    </xdr:from>
    <xdr:to>
      <xdr:col>11</xdr:col>
      <xdr:colOff>0</xdr:colOff>
      <xdr:row>21</xdr:row>
      <xdr:rowOff>203200</xdr:rowOff>
    </xdr:to>
    <xdr:graphicFrame macro="">
      <xdr:nvGraphicFramePr>
        <xdr:cNvPr id="7" name="Gráfico 6">
          <a:extLst>
            <a:ext uri="{FF2B5EF4-FFF2-40B4-BE49-F238E27FC236}">
              <a16:creationId xmlns:a16="http://schemas.microsoft.com/office/drawing/2014/main" id="{61A6743E-77FB-BB4D-2F38-D8D28DD76A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8</xdr:row>
      <xdr:rowOff>0</xdr:rowOff>
    </xdr:from>
    <xdr:to>
      <xdr:col>15</xdr:col>
      <xdr:colOff>0</xdr:colOff>
      <xdr:row>14</xdr:row>
      <xdr:rowOff>215900</xdr:rowOff>
    </xdr:to>
    <xdr:graphicFrame macro="">
      <xdr:nvGraphicFramePr>
        <xdr:cNvPr id="8" name="GraficoAprobados">
          <a:extLst>
            <a:ext uri="{FF2B5EF4-FFF2-40B4-BE49-F238E27FC236}">
              <a16:creationId xmlns:a16="http://schemas.microsoft.com/office/drawing/2014/main" id="{93AF801F-D5C5-12F6-E2CC-A7EFE8CBC8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15</xdr:row>
      <xdr:rowOff>0</xdr:rowOff>
    </xdr:from>
    <xdr:to>
      <xdr:col>15</xdr:col>
      <xdr:colOff>0</xdr:colOff>
      <xdr:row>21</xdr:row>
      <xdr:rowOff>215900</xdr:rowOff>
    </xdr:to>
    <xdr:graphicFrame macro="">
      <xdr:nvGraphicFramePr>
        <xdr:cNvPr id="9" name="GraficoDonutSuspensos">
          <a:extLst>
            <a:ext uri="{FF2B5EF4-FFF2-40B4-BE49-F238E27FC236}">
              <a16:creationId xmlns:a16="http://schemas.microsoft.com/office/drawing/2014/main" id="{E8394038-0C47-A1A5-45D4-B9B7D74E7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190500</xdr:colOff>
      <xdr:row>7</xdr:row>
      <xdr:rowOff>0</xdr:rowOff>
    </xdr:from>
    <xdr:to>
      <xdr:col>32</xdr:col>
      <xdr:colOff>571500</xdr:colOff>
      <xdr:row>13</xdr:row>
      <xdr:rowOff>168373</xdr:rowOff>
    </xdr:to>
    <xdr:sp macro="" textlink="">
      <xdr:nvSpPr>
        <xdr:cNvPr id="10" name="CuadroAnalisis_General">
          <a:extLst>
            <a:ext uri="{FF2B5EF4-FFF2-40B4-BE49-F238E27FC236}">
              <a16:creationId xmlns:a16="http://schemas.microsoft.com/office/drawing/2014/main" id="{214FA18E-B751-4526-BB10-B08974C3AAEA}"/>
            </a:ext>
          </a:extLst>
        </xdr:cNvPr>
        <xdr:cNvSpPr txBox="1"/>
      </xdr:nvSpPr>
      <xdr:spPr>
        <a:xfrm>
          <a:off x="24060150" y="1695450"/>
          <a:ext cx="4953000" cy="1539973"/>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Rendimiento Global:</a:t>
          </a:r>
        </a:p>
        <a:p>
          <a:endParaRPr lang="es-ES" sz="1000">
            <a:latin typeface="Calibri" panose="020F0502020204030204" pitchFamily="34" charset="0"/>
          </a:endParaRPr>
        </a:p>
        <a:p>
          <a:r>
            <a:rPr lang="es-ES" sz="1000">
              <a:latin typeface="Calibri" panose="020F0502020204030204" pitchFamily="34" charset="0"/>
            </a:rPr>
            <a:t>Resumen General: Insuficiente</a:t>
          </a:r>
        </a:p>
        <a:p>
          <a:r>
            <a:rPr lang="es-ES" sz="1000">
              <a:latin typeface="Calibri" panose="020F0502020204030204" pitchFamily="34" charset="0"/>
            </a:rPr>
            <a:t>Media: 4,95 | Mediana: 5,05</a:t>
          </a:r>
        </a:p>
        <a:p>
          <a:r>
            <a:rPr lang="es-ES" sz="1000">
              <a:latin typeface="Calibri" panose="020F0502020204030204" pitchFamily="34" charset="0"/>
            </a:rPr>
            <a:t>Aprobados: 44% (50 alumnos)</a:t>
          </a:r>
        </a:p>
        <a:p>
          <a:r>
            <a:rPr lang="es-ES" sz="1000">
              <a:latin typeface="Calibri" panose="020F0502020204030204" pitchFamily="34" charset="0"/>
            </a:rPr>
            <a:t>Análisis Suspensos: Los suspensos tienen notas cercanas al aprobado, Media Suspensos: (3,1). Repaso teórico necesario.</a:t>
          </a:r>
        </a:p>
        <a:p>
          <a:r>
            <a:rPr lang="es-ES" sz="1000">
              <a:latin typeface="Calibri" panose="020F0502020204030204" pitchFamily="34" charset="0"/>
            </a:rPr>
            <a:t>Tendencia: Los suspensos bajos no hunden el promedio general.</a:t>
          </a:r>
        </a:p>
      </xdr:txBody>
    </xdr:sp>
    <xdr:clientData/>
  </xdr:twoCellAnchor>
  <xdr:twoCellAnchor>
    <xdr:from>
      <xdr:col>26</xdr:col>
      <xdr:colOff>190500</xdr:colOff>
      <xdr:row>14</xdr:row>
      <xdr:rowOff>0</xdr:rowOff>
    </xdr:from>
    <xdr:to>
      <xdr:col>32</xdr:col>
      <xdr:colOff>571500</xdr:colOff>
      <xdr:row>18</xdr:row>
      <xdr:rowOff>156021</xdr:rowOff>
    </xdr:to>
    <xdr:sp macro="" textlink="">
      <xdr:nvSpPr>
        <xdr:cNvPr id="11" name="CuadroAnalisis_Tecnico">
          <a:extLst>
            <a:ext uri="{FF2B5EF4-FFF2-40B4-BE49-F238E27FC236}">
              <a16:creationId xmlns:a16="http://schemas.microsoft.com/office/drawing/2014/main" id="{1A9EF67F-5D17-720E-0DAF-B2F492E3065A}"/>
            </a:ext>
          </a:extLst>
        </xdr:cNvPr>
        <xdr:cNvSpPr txBox="1"/>
      </xdr:nvSpPr>
      <xdr:spPr>
        <a:xfrm>
          <a:off x="24060150" y="3295650"/>
          <a:ext cx="4953000" cy="1070421"/>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Métricas de Calidad y Calibración:</a:t>
          </a:r>
        </a:p>
        <a:p>
          <a:endParaRPr lang="es-ES" sz="1000">
            <a:latin typeface="Calibri" panose="020F0502020204030204" pitchFamily="34" charset="0"/>
          </a:endParaRPr>
        </a:p>
        <a:p>
          <a:r>
            <a:rPr lang="es-ES" sz="1000">
              <a:latin typeface="Calibri" panose="020F0502020204030204" pitchFamily="34" charset="0"/>
            </a:rPr>
            <a:t>Índice Dificultad: 0,50 | Discriminación: 0,52</a:t>
          </a:r>
        </a:p>
        <a:p>
          <a:r>
            <a:rPr lang="es-ES" sz="1000">
              <a:latin typeface="Calibri" panose="020F0502020204030204" pitchFamily="34" charset="0"/>
            </a:rPr>
            <a:t>Asimetría: 0,043 (Distribución Simétrica)</a:t>
          </a:r>
        </a:p>
        <a:p>
          <a:r>
            <a:rPr lang="es-ES" sz="1000">
              <a:latin typeface="Calibri" panose="020F0502020204030204" pitchFamily="34" charset="0"/>
            </a:rPr>
            <a:t>Curtosis: -0,737 (Distribución Platicúrtica (Dispersa))</a:t>
          </a:r>
        </a:p>
      </xdr:txBody>
    </xdr:sp>
    <xdr:clientData/>
  </xdr:twoCellAnchor>
  <xdr:twoCellAnchor>
    <xdr:from>
      <xdr:col>26</xdr:col>
      <xdr:colOff>190500</xdr:colOff>
      <xdr:row>19</xdr:row>
      <xdr:rowOff>190500</xdr:rowOff>
    </xdr:from>
    <xdr:to>
      <xdr:col>32</xdr:col>
      <xdr:colOff>571500</xdr:colOff>
      <xdr:row>24</xdr:row>
      <xdr:rowOff>117921</xdr:rowOff>
    </xdr:to>
    <xdr:sp macro="" textlink="">
      <xdr:nvSpPr>
        <xdr:cNvPr id="12" name="CuadroAnalisis_Diversidad">
          <a:extLst>
            <a:ext uri="{FF2B5EF4-FFF2-40B4-BE49-F238E27FC236}">
              <a16:creationId xmlns:a16="http://schemas.microsoft.com/office/drawing/2014/main" id="{1A8915AB-1DE8-82E1-DAC0-3C71CD7E3432}"/>
            </a:ext>
          </a:extLst>
        </xdr:cNvPr>
        <xdr:cNvSpPr txBox="1"/>
      </xdr:nvSpPr>
      <xdr:spPr>
        <a:xfrm>
          <a:off x="24060150" y="4629150"/>
          <a:ext cx="4953000" cy="1070421"/>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Métricas de Diversidad y Cohesión:</a:t>
          </a:r>
        </a:p>
        <a:p>
          <a:endParaRPr lang="es-ES" sz="1000">
            <a:latin typeface="Calibri" panose="020F0502020204030204" pitchFamily="34" charset="0"/>
          </a:endParaRPr>
        </a:p>
        <a:p>
          <a:r>
            <a:rPr lang="es-ES" sz="1000">
              <a:latin typeface="Calibri" panose="020F0502020204030204" pitchFamily="34" charset="0"/>
            </a:rPr>
            <a:t>Dispersión: Grupo muy homogéneo. Una sola estrategia de clase es útil</a:t>
          </a:r>
        </a:p>
        <a:p>
          <a:r>
            <a:rPr lang="es-ES" sz="1000">
              <a:latin typeface="Calibri" panose="020F0502020204030204" pitchFamily="34" charset="0"/>
            </a:rPr>
            <a:t>Desviación: Distribución de dispersión estándar.</a:t>
          </a:r>
        </a:p>
        <a:p>
          <a:r>
            <a:rPr lang="es-ES" sz="1000">
              <a:latin typeface="Calibri" panose="020F0502020204030204" pitchFamily="34" charset="0"/>
            </a:rPr>
            <a:t>Coef. Variación: 0,42</a:t>
          </a:r>
        </a:p>
      </xdr:txBody>
    </xdr:sp>
    <xdr:clientData/>
  </xdr:twoCellAnchor>
  <xdr:twoCellAnchor>
    <xdr:from>
      <xdr:col>7</xdr:col>
      <xdr:colOff>0</xdr:colOff>
      <xdr:row>24</xdr:row>
      <xdr:rowOff>0</xdr:rowOff>
    </xdr:from>
    <xdr:to>
      <xdr:col>15</xdr:col>
      <xdr:colOff>0</xdr:colOff>
      <xdr:row>37</xdr:row>
      <xdr:rowOff>203200</xdr:rowOff>
    </xdr:to>
    <xdr:graphicFrame macro="">
      <xdr:nvGraphicFramePr>
        <xdr:cNvPr id="13" name="BoxPlotHorizontal">
          <a:extLst>
            <a:ext uri="{FF2B5EF4-FFF2-40B4-BE49-F238E27FC236}">
              <a16:creationId xmlns:a16="http://schemas.microsoft.com/office/drawing/2014/main" id="{04B74EB6-8788-26C2-08B3-FE893530A3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190500</xdr:colOff>
      <xdr:row>25</xdr:row>
      <xdr:rowOff>0</xdr:rowOff>
    </xdr:from>
    <xdr:to>
      <xdr:col>32</xdr:col>
      <xdr:colOff>571500</xdr:colOff>
      <xdr:row>41</xdr:row>
      <xdr:rowOff>214061</xdr:rowOff>
    </xdr:to>
    <xdr:sp macro="" textlink="">
      <xdr:nvSpPr>
        <xdr:cNvPr id="14" name="CuadroAnalisis_Riesgo">
          <a:extLst>
            <a:ext uri="{FF2B5EF4-FFF2-40B4-BE49-F238E27FC236}">
              <a16:creationId xmlns:a16="http://schemas.microsoft.com/office/drawing/2014/main" id="{F6AEA62A-5F2F-5211-B71A-ABBE96743E2C}"/>
            </a:ext>
          </a:extLst>
        </xdr:cNvPr>
        <xdr:cNvSpPr txBox="1"/>
      </xdr:nvSpPr>
      <xdr:spPr>
        <a:xfrm>
          <a:off x="20048054" y="5811630"/>
          <a:ext cx="4936435" cy="3872214"/>
        </a:xfrm>
        <a:prstGeom prst="rect">
          <a:avLst/>
        </a:prstGeom>
        <a:solidFill>
          <a:srgbClr val="FFFFFF"/>
        </a:solidFill>
        <a:ln w="254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52400" tIns="127000" rIns="152400" bIns="127000" rtlCol="0" anchor="t">
          <a:spAutoFit/>
        </a:bodyPr>
        <a:lstStyle/>
        <a:p>
          <a:pPr marL="0" indent="0">
            <a:tabLst>
              <a:tab pos="2476500" algn="l"/>
            </a:tabLst>
          </a:pPr>
          <a:r>
            <a:rPr lang="es-ES" sz="1400" b="1" u="sng">
              <a:latin typeface="Calibri" panose="020F0502020204030204" pitchFamily="34" charset="0"/>
            </a:rPr>
            <a:t>Alumnos en Riesgo Crítico (Nota &lt; 3.0):</a:t>
          </a:r>
        </a:p>
        <a:p>
          <a:pPr marL="0" indent="0">
            <a:tabLst>
              <a:tab pos="2476500" algn="l"/>
            </a:tabLst>
          </a:pPr>
          <a:endParaRPr lang="es-ES" sz="1000">
            <a:latin typeface="Calibri" panose="020F0502020204030204" pitchFamily="34" charset="0"/>
          </a:endParaRPr>
        </a:p>
        <a:p>
          <a:pPr marL="0" indent="0">
            <a:tabLst>
              <a:tab pos="2476500" algn="l"/>
            </a:tabLst>
          </a:pPr>
          <a:r>
            <a:rPr lang="es-ES" sz="1000" b="1">
              <a:latin typeface="Calibri" panose="020F0502020204030204" pitchFamily="34" charset="0"/>
            </a:rPr>
            <a:t>[GRUPO 1]</a:t>
          </a:r>
          <a:r>
            <a:rPr lang="es-ES" sz="1000">
              <a:latin typeface="Calibri" panose="020F0502020204030204" pitchFamily="34" charset="0"/>
            </a:rPr>
            <a:t>	</a:t>
          </a:r>
          <a:r>
            <a:rPr lang="es-ES" sz="1000" b="1">
              <a:latin typeface="Calibri" panose="020F0502020204030204" pitchFamily="34" charset="0"/>
            </a:rPr>
            <a:t>[GRUPO 2]</a:t>
          </a:r>
        </a:p>
        <a:p>
          <a:pPr marL="0" indent="0">
            <a:tabLst>
              <a:tab pos="2476500" algn="l"/>
            </a:tabLst>
          </a:pPr>
          <a:r>
            <a:rPr lang="es-ES" sz="1000">
              <a:latin typeface="Calibri" panose="020F0502020204030204" pitchFamily="34" charset="0"/>
            </a:rPr>
            <a:t>• Pepe Garcia Garcia: 2,5	• Pepe Garcia Garcia: 3,0</a:t>
          </a:r>
        </a:p>
        <a:p>
          <a:pPr marL="0" indent="0">
            <a:tabLst>
              <a:tab pos="2476500" algn="l"/>
            </a:tabLst>
          </a:pPr>
          <a:r>
            <a:rPr lang="es-ES" sz="1000">
              <a:latin typeface="Calibri" panose="020F0502020204030204" pitchFamily="34" charset="0"/>
            </a:rPr>
            <a:t>• Pepe Garcia Garcia: 2,0	• Pepe Garcia Garcia: 2,3</a:t>
          </a:r>
        </a:p>
        <a:p>
          <a:pPr marL="0" indent="0">
            <a:tabLst>
              <a:tab pos="2476500" algn="l"/>
            </a:tabLst>
          </a:pPr>
          <a:r>
            <a:rPr lang="es-ES" sz="1000">
              <a:latin typeface="Calibri" panose="020F0502020204030204" pitchFamily="34" charset="0"/>
            </a:rPr>
            <a:t>• Pepe Garcia Garcia: 2,9	• Pepe Garcia Garcia: 1,3</a:t>
          </a:r>
        </a:p>
        <a:p>
          <a:pPr marL="0" indent="0">
            <a:tabLst>
              <a:tab pos="2476500" algn="l"/>
            </a:tabLst>
          </a:pPr>
          <a:r>
            <a:rPr lang="es-ES" sz="1000">
              <a:latin typeface="Calibri" panose="020F0502020204030204" pitchFamily="34" charset="0"/>
            </a:rPr>
            <a:t>	• Pepe Garcia Garcia: 1,8</a:t>
          </a:r>
        </a:p>
        <a:p>
          <a:pPr marL="0" indent="0">
            <a:tabLst>
              <a:tab pos="2476500" algn="l"/>
            </a:tabLst>
          </a:pPr>
          <a:r>
            <a:rPr lang="es-ES" sz="1000" b="1">
              <a:latin typeface="Calibri" panose="020F0502020204030204" pitchFamily="34" charset="0"/>
            </a:rPr>
            <a:t>[GRUPO 3]</a:t>
          </a:r>
          <a:r>
            <a:rPr lang="es-ES" sz="1000">
              <a:latin typeface="Calibri" panose="020F0502020204030204" pitchFamily="34" charset="0"/>
            </a:rPr>
            <a:t>	</a:t>
          </a:r>
        </a:p>
        <a:p>
          <a:pPr marL="0" indent="0">
            <a:tabLst>
              <a:tab pos="2476500" algn="l"/>
            </a:tabLst>
          </a:pPr>
          <a:r>
            <a:rPr lang="es-ES" sz="1000">
              <a:latin typeface="Calibri" panose="020F0502020204030204" pitchFamily="34" charset="0"/>
            </a:rPr>
            <a:t>• Pepe Garcia Garcia: 1,8	</a:t>
          </a:r>
          <a:r>
            <a:rPr lang="es-ES" sz="1000" b="1">
              <a:latin typeface="Calibri" panose="020F0502020204030204" pitchFamily="34" charset="0"/>
            </a:rPr>
            <a:t>[GRUPO 4]</a:t>
          </a:r>
        </a:p>
        <a:p>
          <a:pPr marL="0" indent="0">
            <a:tabLst>
              <a:tab pos="2476500" algn="l"/>
            </a:tabLst>
          </a:pPr>
          <a:r>
            <a:rPr lang="es-ES" sz="1000">
              <a:latin typeface="Calibri" panose="020F0502020204030204" pitchFamily="34" charset="0"/>
            </a:rPr>
            <a:t>	• Pepe Garcia Garcia: 2,8</a:t>
          </a:r>
        </a:p>
        <a:p>
          <a:pPr marL="0" indent="0">
            <a:tabLst>
              <a:tab pos="2476500" algn="l"/>
            </a:tabLst>
          </a:pPr>
          <a:r>
            <a:rPr lang="es-ES" sz="1000" b="1">
              <a:latin typeface="Calibri" panose="020F0502020204030204" pitchFamily="34" charset="0"/>
            </a:rPr>
            <a:t>[GRUPO 5]</a:t>
          </a:r>
          <a:r>
            <a:rPr lang="es-ES" sz="1000">
              <a:latin typeface="Calibri" panose="020F0502020204030204" pitchFamily="34" charset="0"/>
            </a:rPr>
            <a:t>	</a:t>
          </a:r>
        </a:p>
        <a:p>
          <a:pPr marL="0" indent="0">
            <a:tabLst>
              <a:tab pos="2476500" algn="l"/>
            </a:tabLst>
          </a:pPr>
          <a:r>
            <a:rPr lang="es-ES" sz="1000">
              <a:latin typeface="Calibri" panose="020F0502020204030204" pitchFamily="34" charset="0"/>
            </a:rPr>
            <a:t>• Pepe Garcia Garcia: 2,3	</a:t>
          </a:r>
          <a:r>
            <a:rPr lang="es-ES" sz="1000" b="1">
              <a:latin typeface="Calibri" panose="020F0502020204030204" pitchFamily="34" charset="0"/>
            </a:rPr>
            <a:t>[GRUPO 6]</a:t>
          </a:r>
        </a:p>
        <a:p>
          <a:pPr marL="0" indent="0">
            <a:tabLst>
              <a:tab pos="2476500" algn="l"/>
            </a:tabLst>
          </a:pPr>
          <a:r>
            <a:rPr lang="es-ES" sz="1000">
              <a:latin typeface="Calibri" panose="020F0502020204030204" pitchFamily="34" charset="0"/>
            </a:rPr>
            <a:t>• Pepe Garcia Garcia: 2,0	• Pepe Garcia Garcia: 0,9</a:t>
          </a:r>
        </a:p>
        <a:p>
          <a:pPr marL="0" indent="0">
            <a:tabLst>
              <a:tab pos="2476500" algn="l"/>
            </a:tabLst>
          </a:pPr>
          <a:r>
            <a:rPr lang="es-ES" sz="1000">
              <a:latin typeface="Calibri" panose="020F0502020204030204" pitchFamily="34" charset="0"/>
            </a:rPr>
            <a:t>• Pepe Garcia Garcia: 0,5	• Pepe Garcia Garcia: 1,9</a:t>
          </a:r>
        </a:p>
        <a:p>
          <a:pPr marL="0" indent="0">
            <a:tabLst>
              <a:tab pos="2476500" algn="l"/>
            </a:tabLst>
          </a:pPr>
          <a:r>
            <a:rPr lang="es-ES" sz="1000">
              <a:latin typeface="Calibri" panose="020F0502020204030204" pitchFamily="34" charset="0"/>
            </a:rPr>
            <a:t>	</a:t>
          </a:r>
        </a:p>
        <a:p>
          <a:pPr marL="0" indent="0">
            <a:tabLst>
              <a:tab pos="2476500" algn="l"/>
            </a:tabLst>
          </a:pPr>
          <a:r>
            <a:rPr lang="es-ES" sz="1000" b="1">
              <a:latin typeface="Calibri" panose="020F0502020204030204" pitchFamily="34" charset="0"/>
            </a:rPr>
            <a:t>[IM GRUPO 2]</a:t>
          </a:r>
          <a:r>
            <a:rPr lang="es-ES" sz="1000">
              <a:latin typeface="Calibri" panose="020F0502020204030204" pitchFamily="34" charset="0"/>
            </a:rPr>
            <a:t>	</a:t>
          </a:r>
        </a:p>
        <a:p>
          <a:pPr marL="0" indent="0">
            <a:tabLst>
              <a:tab pos="2476500" algn="l"/>
            </a:tabLst>
          </a:pPr>
          <a:r>
            <a:rPr lang="es-ES" sz="1000">
              <a:latin typeface="Calibri" panose="020F0502020204030204" pitchFamily="34" charset="0"/>
            </a:rPr>
            <a:t>• Pepe Garcia Garcia: 2,3</a:t>
          </a:r>
        </a:p>
        <a:p>
          <a:pPr marL="0" indent="0">
            <a:tabLst>
              <a:tab pos="2476500" algn="l"/>
            </a:tabLst>
          </a:pPr>
          <a:r>
            <a:rPr lang="es-ES" sz="1000">
              <a:latin typeface="Calibri" panose="020F0502020204030204" pitchFamily="34" charset="0"/>
            </a:rPr>
            <a:t>• Pepe Garcia Garcia: 2,3</a:t>
          </a:r>
        </a:p>
        <a:p>
          <a:pPr marL="0" indent="0">
            <a:tabLst>
              <a:tab pos="2476500" algn="l"/>
            </a:tabLst>
          </a:pPr>
          <a:r>
            <a:rPr lang="es-ES" sz="1000">
              <a:latin typeface="Calibri" panose="020F0502020204030204" pitchFamily="34" charset="0"/>
            </a:rPr>
            <a:t>• Pepe Garcia Garcia: 2,0</a:t>
          </a:r>
        </a:p>
        <a:p>
          <a:pPr marL="0" indent="0">
            <a:tabLst>
              <a:tab pos="2476500" algn="l"/>
            </a:tabLst>
          </a:pPr>
          <a:r>
            <a:rPr lang="es-ES" sz="1000">
              <a:latin typeface="Calibri" panose="020F0502020204030204" pitchFamily="34" charset="0"/>
            </a:rPr>
            <a:t>• Pepe Garcia Garcia: 2,0</a:t>
          </a:r>
        </a:p>
        <a:p>
          <a:pPr marL="0" indent="0">
            <a:tabLst>
              <a:tab pos="2476500" algn="l"/>
            </a:tabLst>
          </a:pPr>
          <a:endParaRPr lang="es-ES" sz="1000">
            <a:latin typeface="Calibri" panose="020F0502020204030204" pitchFamily="34" charset="0"/>
          </a:endParaRPr>
        </a:p>
        <a:p>
          <a:pPr marL="0" indent="0">
            <a:tabLst>
              <a:tab pos="2476500" algn="l"/>
            </a:tabLst>
          </a:pPr>
          <a:endParaRPr lang="es-ES" sz="850">
            <a:latin typeface="Calibri" panose="020F0502020204030204" pitchFamily="34" charset="0"/>
          </a:endParaRPr>
        </a:p>
        <a:p>
          <a:pPr marL="0" indent="0">
            <a:tabLst>
              <a:tab pos="2476500" algn="l"/>
            </a:tabLst>
          </a:pPr>
          <a:endParaRPr lang="es-ES" sz="850">
            <a:latin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13</xdr:col>
          <xdr:colOff>0</xdr:colOff>
          <xdr:row>2</xdr:row>
          <xdr:rowOff>0</xdr:rowOff>
        </xdr:to>
        <xdr:sp macro="" textlink="">
          <xdr:nvSpPr>
            <xdr:cNvPr id="288769" name="btnExportarPDF" hidden="1">
              <a:extLst>
                <a:ext uri="{63B3BB69-23CF-44E3-9099-C40C66FF867C}">
                  <a14:compatExt spid="_x0000_s288769"/>
                </a:ext>
                <a:ext uri="{FF2B5EF4-FFF2-40B4-BE49-F238E27FC236}">
                  <a16:creationId xmlns:a16="http://schemas.microsoft.com/office/drawing/2014/main" id="{B1B50C5E-9069-5576-F415-0EC5B54970C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EXPORTAR INFORME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0</xdr:rowOff>
        </xdr:from>
        <xdr:to>
          <xdr:col>17</xdr:col>
          <xdr:colOff>0</xdr:colOff>
          <xdr:row>2</xdr:row>
          <xdr:rowOff>0</xdr:rowOff>
        </xdr:to>
        <xdr:sp macro="" textlink="">
          <xdr:nvSpPr>
            <xdr:cNvPr id="288770" name="BtnVerDatos" hidden="1">
              <a:extLst>
                <a:ext uri="{63B3BB69-23CF-44E3-9099-C40C66FF867C}">
                  <a14:compatExt spid="_x0000_s288770"/>
                </a:ext>
                <a:ext uri="{FF2B5EF4-FFF2-40B4-BE49-F238E27FC236}">
                  <a16:creationId xmlns:a16="http://schemas.microsoft.com/office/drawing/2014/main" id="{1CED29A3-928B-4195-16DA-840BD91251B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MOSTRAR LISTADO ALUMNOS Y CALIFICACIONES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21</xdr:col>
          <xdr:colOff>0</xdr:colOff>
          <xdr:row>2</xdr:row>
          <xdr:rowOff>0</xdr:rowOff>
        </xdr:to>
        <xdr:sp macro="" textlink="">
          <xdr:nvSpPr>
            <xdr:cNvPr id="288771" name="btnInformTXT" hidden="1">
              <a:extLst>
                <a:ext uri="{63B3BB69-23CF-44E3-9099-C40C66FF867C}">
                  <a14:compatExt spid="_x0000_s288771"/>
                </a:ext>
                <a:ext uri="{FF2B5EF4-FFF2-40B4-BE49-F238E27FC236}">
                  <a16:creationId xmlns:a16="http://schemas.microsoft.com/office/drawing/2014/main" id="{FADA82A4-ED10-8680-FD2B-C4CF8DAE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GENERAR INFORME DE TEXTO</a:t>
              </a:r>
            </a:p>
          </xdr:txBody>
        </xdr:sp>
        <xdr:clientData fPrintsWithSheet="0"/>
      </xdr:twoCellAnchor>
    </mc:Choice>
    <mc:Fallback/>
  </mc:AlternateContent>
  <xdr:twoCellAnchor>
    <xdr:from>
      <xdr:col>7</xdr:col>
      <xdr:colOff>0</xdr:colOff>
      <xdr:row>3</xdr:row>
      <xdr:rowOff>0</xdr:rowOff>
    </xdr:from>
    <xdr:to>
      <xdr:col>21</xdr:col>
      <xdr:colOff>127000</xdr:colOff>
      <xdr:row>47</xdr:row>
      <xdr:rowOff>82550</xdr:rowOff>
    </xdr:to>
    <xdr:sp macro="" textlink="">
      <xdr:nvSpPr>
        <xdr:cNvPr id="15" name="CuadroGuia" hidden="1">
          <a:extLst>
            <a:ext uri="{FF2B5EF4-FFF2-40B4-BE49-F238E27FC236}">
              <a16:creationId xmlns:a16="http://schemas.microsoft.com/office/drawing/2014/main" id="{D1C94CD5-2E49-58BA-EBAA-4FC4DBAD954E}"/>
            </a:ext>
          </a:extLst>
        </xdr:cNvPr>
        <xdr:cNvSpPr txBox="1"/>
      </xdr:nvSpPr>
      <xdr:spPr>
        <a:xfrm>
          <a:off x="3810000" y="774700"/>
          <a:ext cx="10795000" cy="10160000"/>
        </a:xfrm>
        <a:prstGeom prst="rect">
          <a:avLst/>
        </a:prstGeom>
        <a:solidFill>
          <a:srgbClr val="FFFFEB"/>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s-ES" sz="1400" b="1" u="sng">
              <a:solidFill>
                <a:srgbClr val="000000"/>
              </a:solidFill>
              <a:latin typeface="Calibri" panose="020F0502020204030204" pitchFamily="34" charset="0"/>
            </a:rPr>
            <a:t>GUÍA RÁPIDA DE ESTADÍSTICA</a:t>
          </a:r>
          <a:r>
            <a:rPr lang="es-ES" sz="1400">
              <a:solidFill>
                <a:srgbClr val="000000"/>
              </a:solidFill>
              <a:latin typeface="Calibri" panose="020F0502020204030204" pitchFamily="34" charset="0"/>
            </a:rPr>
            <a:t>:</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Promedio de notas del grupo.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MEDIANA: El valor central; 50% del grupo está por encima/debajo.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DESVIACIÓN ESTÁNDAR: Indica qué tan dispersas están las notas. Un valor alto significa notas muy variadas; uno bajo, notas similares.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COEFICIENTE DE VARIACIÓN: Medida de dispersión relativa que relaciona la desviación estándar con la media de las calificaciones.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RANGO: Diferencia entre la nota más alta y la más baja.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RANGO INTERCUARTÍLICO: Indica la dispersión de la mitad central de la clase.</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ASIMETRÍA: Indica si la distribución está sesgada. &gt; 0: mayoría notas bajas; &lt; 0: mayoría notas altas.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CURTOSIS: Evalúa la concentración de notas cerca de la media o presencia de extremos: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Alta (Leptocúrtica): Pico pronunciado y colas pesadas. Indica más valores extremos (alumnos muy altos/bajos).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Baja (Platicúrtica): Distribución aplanada, menos valores extremos y más dispersión general.</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Cercana a 0 (Mesocúrtica): Distribución similar a la normal.</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1º CUARTIL (Q1): Valor que deja por debajo al 25% de los alumnos.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3º CUARTIL (Q3): Valor que deja por debajo al 75% de los alumnos.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PERCENTIL 90%: Nota por encima de la cual solo se encuentra el 10% de la clase.</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ALUMNOS TOP 10%: Identificación del grupo con rendimiento de excelencia.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OUTLIERS: Valores atípicos (notas inusualmente altas o bajas) que se alejan del promedio.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Nº APROBADOS: Cantidad total de alumnos con calificación &gt;= 5.</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PORCENTAJE APROBADOS: Proporción de éxito sobre el total de alumnos presentados.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GRAVEDAD SUSPENSOS: Análisis de qué tan lejos se quedaron los suspensos del aprobado (5).</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INTERVALO DE CONFIANZA: Rango en el que se estima que se encuentra la media real del grupo.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RECORTADA: Promedio calculado eliminando los extremos para evitar distorsiones.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ÍNDICE DE DISCRIMINACIÓN: Capacidad del examen para diferenciar alumnos con altos y bajos conocimientos.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ÍNDICE DE DIFICULTAD: : Evalúa la complejidad intrínseca de la prueba. Es la proporción de la nota media alcanzada respecto al máximo posible.</a:t>
          </a:r>
        </a:p>
      </xdr:txBody>
    </xdr:sp>
    <xdr:clientData/>
  </xdr:twoCellAnchor>
  <mc:AlternateContent xmlns:mc="http://schemas.openxmlformats.org/markup-compatibility/2006">
    <mc:Choice xmlns:a14="http://schemas.microsoft.com/office/drawing/2010/main" Requires="a14">
      <xdr:twoCellAnchor>
        <xdr:from>
          <xdr:col>3</xdr:col>
          <xdr:colOff>0</xdr:colOff>
          <xdr:row>2</xdr:row>
          <xdr:rowOff>0</xdr:rowOff>
        </xdr:from>
        <xdr:to>
          <xdr:col>5</xdr:col>
          <xdr:colOff>0</xdr:colOff>
          <xdr:row>3</xdr:row>
          <xdr:rowOff>0</xdr:rowOff>
        </xdr:to>
        <xdr:sp macro="" textlink="">
          <xdr:nvSpPr>
            <xdr:cNvPr id="288772" name="BtnAyudaEst" hidden="1">
              <a:extLst>
                <a:ext uri="{63B3BB69-23CF-44E3-9099-C40C66FF867C}">
                  <a14:compatExt spid="_x0000_s288772"/>
                </a:ext>
                <a:ext uri="{FF2B5EF4-FFF2-40B4-BE49-F238E27FC236}">
                  <a16:creationId xmlns:a16="http://schemas.microsoft.com/office/drawing/2014/main" id="{C6946F03-3329-09A7-ADAB-7BC2556486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Calibri"/>
                  <a:cs typeface="Calibri"/>
                </a:rPr>
                <a:t>GUÍA ESTADÍSTICA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9</xdr:col>
          <xdr:colOff>0</xdr:colOff>
          <xdr:row>2</xdr:row>
          <xdr:rowOff>0</xdr:rowOff>
        </xdr:to>
        <xdr:sp macro="" textlink="">
          <xdr:nvSpPr>
            <xdr:cNvPr id="288773" name="Button 5" hidden="1">
              <a:extLst>
                <a:ext uri="{63B3BB69-23CF-44E3-9099-C40C66FF867C}">
                  <a14:compatExt spid="_x0000_s288773"/>
                </a:ext>
                <a:ext uri="{FF2B5EF4-FFF2-40B4-BE49-F238E27FC236}">
                  <a16:creationId xmlns:a16="http://schemas.microsoft.com/office/drawing/2014/main" id="{61676A73-E663-101D-E4EA-8A075AD50D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ELIMINAR INFORME Y VOLVER</a:t>
              </a:r>
            </a:p>
          </xdr:txBody>
        </xdr:sp>
        <xdr:clientData fPrintsWithSheet="0"/>
      </xdr:twoCellAnchor>
    </mc:Choice>
    <mc:Fallback/>
  </mc:AlternateContent>
  <xdr:twoCellAnchor>
    <xdr:from>
      <xdr:col>34</xdr:col>
      <xdr:colOff>0</xdr:colOff>
      <xdr:row>3</xdr:row>
      <xdr:rowOff>0</xdr:rowOff>
    </xdr:from>
    <xdr:to>
      <xdr:col>43</xdr:col>
      <xdr:colOff>444500</xdr:colOff>
      <xdr:row>40</xdr:row>
      <xdr:rowOff>0</xdr:rowOff>
    </xdr:to>
    <xdr:sp macro="" textlink="">
      <xdr:nvSpPr>
        <xdr:cNvPr id="16" name="ResumenExamen">
          <a:extLst>
            <a:ext uri="{FF2B5EF4-FFF2-40B4-BE49-F238E27FC236}">
              <a16:creationId xmlns:a16="http://schemas.microsoft.com/office/drawing/2014/main" id="{6EFA9CED-C436-0CC2-C737-E93228EF2CA9}"/>
            </a:ext>
          </a:extLst>
        </xdr:cNvPr>
        <xdr:cNvSpPr txBox="1"/>
      </xdr:nvSpPr>
      <xdr:spPr>
        <a:xfrm>
          <a:off x="26015950" y="774700"/>
          <a:ext cx="7302500" cy="8483600"/>
        </a:xfrm>
        <a:prstGeom prst="rect">
          <a:avLst/>
        </a:prstGeom>
        <a:solidFill>
          <a:srgbClr val="FFFFFF"/>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01600" tIns="101600" rIns="101600" bIns="101600" rtlCol="0" anchor="t"/>
        <a:lstStyle/>
        <a:p>
          <a:r>
            <a:rPr lang="es-ES" sz="1400" b="1" u="sng">
              <a:latin typeface="Calibri" panose="020F0502020204030204" pitchFamily="34" charset="0"/>
            </a:rPr>
            <a:t>INFORME PERSONALIZADO EXAMEN</a:t>
          </a:r>
        </a:p>
        <a:p>
          <a:endParaRPr lang="es-ES" sz="1400">
            <a:latin typeface="Calibri" panose="020F0502020204030204" pitchFamily="34" charset="0"/>
          </a:endParaRPr>
        </a:p>
        <a:p>
          <a:r>
            <a:rPr lang="es-ES" sz="1400">
              <a:latin typeface="Calibri" panose="020F0502020204030204" pitchFamily="34" charset="0"/>
            </a:rPr>
            <a:t>El examen </a:t>
          </a:r>
          <a:r>
            <a:rPr lang="es-ES" sz="1400" b="1">
              <a:latin typeface="Calibri" panose="020F0502020204030204" pitchFamily="34" charset="0"/>
            </a:rPr>
            <a:t>2º PARCIAL (15%)</a:t>
          </a:r>
          <a:r>
            <a:rPr lang="es-ES" sz="1400">
              <a:latin typeface="Calibri" panose="020F0502020204030204" pitchFamily="34" charset="0"/>
            </a:rPr>
            <a:t> ha sido realizado por un total de </a:t>
          </a:r>
          <a:r>
            <a:rPr lang="es-ES" sz="1400" b="1">
              <a:latin typeface="Calibri" panose="020F0502020204030204" pitchFamily="34" charset="0"/>
            </a:rPr>
            <a:t>95 alumnos</a:t>
          </a:r>
          <a:r>
            <a:rPr lang="es-ES" sz="1400">
              <a:latin typeface="Calibri" panose="020F0502020204030204" pitchFamily="34" charset="0"/>
            </a:rPr>
            <a:t> y ha habido </a:t>
          </a:r>
          <a:r>
            <a:rPr lang="es-ES" sz="1400" b="1">
              <a:latin typeface="Calibri" panose="020F0502020204030204" pitchFamily="34" charset="0"/>
            </a:rPr>
            <a:t>1 no presentados (NP)</a:t>
          </a:r>
          <a:r>
            <a:rPr lang="es-ES" sz="1400">
              <a:latin typeface="Calibri" panose="020F0502020204030204" pitchFamily="34" charset="0"/>
            </a:rPr>
            <a:t>, </a:t>
          </a:r>
          <a:r>
            <a:rPr lang="es-ES" sz="1400" b="1">
              <a:latin typeface="Calibri" panose="020F0502020204030204" pitchFamily="34" charset="0"/>
            </a:rPr>
            <a:t>1 aprobados en otro curso</a:t>
          </a:r>
          <a:r>
            <a:rPr lang="es-ES" sz="1400">
              <a:latin typeface="Calibri" panose="020F0502020204030204" pitchFamily="34" charset="0"/>
            </a:rPr>
            <a:t> y </a:t>
          </a:r>
          <a:r>
            <a:rPr lang="es-ES" sz="1400" b="1">
              <a:latin typeface="Calibri" panose="020F0502020204030204" pitchFamily="34" charset="0"/>
            </a:rPr>
            <a:t>5 reconocimientos de créditos</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Esta prueba tiene una ponderación del </a:t>
          </a:r>
          <a:r>
            <a:rPr lang="es-ES" sz="1400" b="1">
              <a:latin typeface="Calibri" panose="020F0502020204030204" pitchFamily="34" charset="0"/>
            </a:rPr>
            <a:t>15%</a:t>
          </a:r>
          <a:r>
            <a:rPr lang="es-ES" sz="1400">
              <a:latin typeface="Calibri" panose="020F0502020204030204" pitchFamily="34" charset="0"/>
            </a:rPr>
            <a:t> en la nota final y se ha obtenido una calificación media de </a:t>
          </a:r>
          <a:r>
            <a:rPr lang="es-ES" sz="1400" b="1">
              <a:latin typeface="Calibri" panose="020F0502020204030204" pitchFamily="34" charset="0"/>
            </a:rPr>
            <a:t>4,95</a:t>
          </a:r>
          <a:r>
            <a:rPr lang="es-ES" sz="1400">
              <a:latin typeface="Calibri" panose="020F0502020204030204" pitchFamily="34" charset="0"/>
            </a:rPr>
            <a:t> (DT = </a:t>
          </a:r>
          <a:r>
            <a:rPr lang="es-ES" sz="1400" b="1">
              <a:latin typeface="Calibri" panose="020F0502020204030204" pitchFamily="34" charset="0"/>
            </a:rPr>
            <a:t>2,08</a:t>
          </a:r>
          <a:r>
            <a:rPr lang="es-ES" sz="1400">
              <a:latin typeface="Calibri" panose="020F0502020204030204" pitchFamily="34" charset="0"/>
            </a:rPr>
            <a:t>; CV = </a:t>
          </a:r>
          <a:r>
            <a:rPr lang="es-ES" sz="1400" b="1">
              <a:latin typeface="Calibri" panose="020F0502020204030204" pitchFamily="34" charset="0"/>
            </a:rPr>
            <a:t>0,42</a:t>
          </a:r>
          <a:r>
            <a:rPr lang="es-ES" sz="1400">
              <a:latin typeface="Calibri" panose="020F0502020204030204" pitchFamily="34" charset="0"/>
            </a:rPr>
            <a:t>), con un </a:t>
          </a:r>
          <a:r>
            <a:rPr lang="es-ES" sz="1400" b="1">
              <a:latin typeface="Calibri" panose="020F0502020204030204" pitchFamily="34" charset="0"/>
            </a:rPr>
            <a:t>53% de aprobados</a:t>
          </a:r>
          <a:r>
            <a:rPr lang="es-ES" sz="1400">
              <a:latin typeface="Calibri" panose="020F0502020204030204" pitchFamily="34" charset="0"/>
            </a:rPr>
            <a:t> y </a:t>
          </a:r>
          <a:r>
            <a:rPr lang="es-ES" sz="1400" b="1">
              <a:latin typeface="Calibri" panose="020F0502020204030204" pitchFamily="34" charset="0"/>
            </a:rPr>
            <a:t>45 alumnos suspensos</a:t>
          </a:r>
          <a:r>
            <a:rPr lang="es-ES" sz="1400">
              <a:latin typeface="Calibri" panose="020F0502020204030204" pitchFamily="34" charset="0"/>
            </a:rPr>
            <a:t>, cuya media es </a:t>
          </a:r>
          <a:r>
            <a:rPr lang="es-ES" sz="1400" b="1">
              <a:latin typeface="Calibri" panose="020F0502020204030204" pitchFamily="34" charset="0"/>
            </a:rPr>
            <a:t>3,10</a:t>
          </a:r>
          <a:r>
            <a:rPr lang="es-ES" sz="1400">
              <a:latin typeface="Calibri" panose="020F0502020204030204" pitchFamily="34" charset="0"/>
            </a:rPr>
            <a:t>. El coeficiente de variación sugiere un grupo </a:t>
          </a:r>
          <a:r>
            <a:rPr lang="es-ES" sz="1400" b="1">
              <a:latin typeface="Calibri" panose="020F0502020204030204" pitchFamily="34" charset="0"/>
            </a:rPr>
            <a:t>heterogéneo, complicando una progresión uniforme</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La mediana se sitúa en </a:t>
          </a:r>
          <a:r>
            <a:rPr lang="es-ES" sz="1400" b="1">
              <a:latin typeface="Calibri" panose="020F0502020204030204" pitchFamily="34" charset="0"/>
            </a:rPr>
            <a:t>5,05</a:t>
          </a:r>
          <a:r>
            <a:rPr lang="es-ES" sz="1400">
              <a:latin typeface="Calibri" panose="020F0502020204030204" pitchFamily="34" charset="0"/>
            </a:rPr>
            <a:t>, encontrándose </a:t>
          </a:r>
          <a:r>
            <a:rPr lang="es-ES" sz="1400" b="1">
              <a:latin typeface="Calibri" panose="020F0502020204030204" pitchFamily="34" charset="0"/>
            </a:rPr>
            <a:t>por encima del promedio, sugiriendo una concentración de notas altas</a:t>
          </a:r>
          <a:r>
            <a:rPr lang="es-ES" sz="1400">
              <a:latin typeface="Calibri" panose="020F0502020204030204" pitchFamily="34" charset="0"/>
            </a:rPr>
            <a:t>. </a:t>
          </a:r>
        </a:p>
        <a:p>
          <a:endParaRPr lang="es-ES" sz="1400">
            <a:latin typeface="Calibri" panose="020F0502020204030204" pitchFamily="34" charset="0"/>
          </a:endParaRPr>
        </a:p>
        <a:p>
          <a:r>
            <a:rPr lang="es-ES" sz="1400">
              <a:latin typeface="Calibri" panose="020F0502020204030204" pitchFamily="34" charset="0"/>
            </a:rPr>
            <a:t>La nota mínima obtenida es </a:t>
          </a:r>
          <a:r>
            <a:rPr lang="es-ES" sz="1400" b="1">
              <a:latin typeface="Calibri" panose="020F0502020204030204" pitchFamily="34" charset="0"/>
            </a:rPr>
            <a:t>0,45</a:t>
          </a:r>
          <a:r>
            <a:rPr lang="es-ES" sz="1400">
              <a:latin typeface="Calibri" panose="020F0502020204030204" pitchFamily="34" charset="0"/>
            </a:rPr>
            <a:t>, lograda por </a:t>
          </a:r>
          <a:r>
            <a:rPr lang="es-ES" sz="1400" b="1">
              <a:latin typeface="Calibri" panose="020F0502020204030204" pitchFamily="34" charset="0"/>
            </a:rPr>
            <a:t>Pepe Garcia Garcia</a:t>
          </a:r>
          <a:r>
            <a:rPr lang="es-ES" sz="1400">
              <a:latin typeface="Calibri" panose="020F0502020204030204" pitchFamily="34" charset="0"/>
            </a:rPr>
            <a:t>, y la máxima es </a:t>
          </a:r>
          <a:r>
            <a:rPr lang="es-ES" sz="1400" b="1">
              <a:latin typeface="Calibri" panose="020F0502020204030204" pitchFamily="34" charset="0"/>
            </a:rPr>
            <a:t>9,75</a:t>
          </a:r>
          <a:r>
            <a:rPr lang="es-ES" sz="1400">
              <a:latin typeface="Calibri" panose="020F0502020204030204" pitchFamily="34" charset="0"/>
            </a:rPr>
            <a:t>, obtenida por </a:t>
          </a:r>
          <a:r>
            <a:rPr lang="es-ES" sz="1400" b="1">
              <a:latin typeface="Calibri" panose="020F0502020204030204" pitchFamily="34" charset="0"/>
            </a:rPr>
            <a:t>Pepe Garcia Garcia</a:t>
          </a:r>
          <a:r>
            <a:rPr lang="es-ES" sz="1400">
              <a:latin typeface="Calibri" panose="020F0502020204030204" pitchFamily="34" charset="0"/>
            </a:rPr>
            <a:t>. El 50% central del alumnado se sitúa entre </a:t>
          </a:r>
          <a:r>
            <a:rPr lang="es-ES" sz="1400" b="1">
              <a:latin typeface="Calibri" panose="020F0502020204030204" pitchFamily="34" charset="0"/>
            </a:rPr>
            <a:t>3,3 (Q1)</a:t>
          </a:r>
          <a:r>
            <a:rPr lang="es-ES" sz="1400">
              <a:latin typeface="Calibri" panose="020F0502020204030204" pitchFamily="34" charset="0"/>
            </a:rPr>
            <a:t> y </a:t>
          </a:r>
          <a:r>
            <a:rPr lang="es-ES" sz="1400" b="1">
              <a:latin typeface="Calibri" panose="020F0502020204030204" pitchFamily="34" charset="0"/>
            </a:rPr>
            <a:t>6,45 (Q3)</a:t>
          </a:r>
          <a:r>
            <a:rPr lang="es-ES" sz="1400">
              <a:latin typeface="Calibri" panose="020F0502020204030204" pitchFamily="34" charset="0"/>
            </a:rPr>
            <a:t>, con un rango intercuartílico de </a:t>
          </a:r>
          <a:r>
            <a:rPr lang="es-ES" sz="1400" b="1">
              <a:latin typeface="Calibri" panose="020F0502020204030204" pitchFamily="34" charset="0"/>
            </a:rPr>
            <a:t>3,15</a:t>
          </a:r>
          <a:r>
            <a:rPr lang="es-ES" sz="1400">
              <a:latin typeface="Calibri" panose="020F0502020204030204" pitchFamily="34" charset="0"/>
            </a:rPr>
            <a:t>, lo que indica un nivel de distribución </a:t>
          </a:r>
          <a:r>
            <a:rPr lang="es-ES" sz="1400" b="1">
              <a:latin typeface="Calibri" panose="020F0502020204030204" pitchFamily="34" charset="0"/>
            </a:rPr>
            <a:t>alto</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El percentil 10 se sitúa en </a:t>
          </a:r>
          <a:r>
            <a:rPr lang="es-ES" sz="1400" b="1">
              <a:latin typeface="Calibri" panose="020F0502020204030204" pitchFamily="34" charset="0"/>
            </a:rPr>
            <a:t>2,10</a:t>
          </a:r>
          <a:r>
            <a:rPr lang="es-ES" sz="1400">
              <a:latin typeface="Calibri" panose="020F0502020204030204" pitchFamily="34" charset="0"/>
            </a:rPr>
            <a:t> y el percentil 90 en </a:t>
          </a:r>
          <a:r>
            <a:rPr lang="es-ES" sz="1400" b="1">
              <a:latin typeface="Calibri" panose="020F0502020204030204" pitchFamily="34" charset="0"/>
            </a:rPr>
            <a:t>7,62</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La media recortada es </a:t>
          </a:r>
          <a:r>
            <a:rPr lang="es-ES" sz="1400" b="1">
              <a:latin typeface="Calibri" panose="020F0502020204030204" pitchFamily="34" charset="0"/>
            </a:rPr>
            <a:t>4,94</a:t>
          </a:r>
          <a:r>
            <a:rPr lang="es-ES" sz="1400">
              <a:latin typeface="Calibri" panose="020F0502020204030204" pitchFamily="34" charset="0"/>
            </a:rPr>
            <a:t>, siendo </a:t>
          </a:r>
          <a:r>
            <a:rPr lang="es-ES" sz="1400" b="1">
              <a:latin typeface="Calibri" panose="020F0502020204030204" pitchFamily="34" charset="0"/>
            </a:rPr>
            <a:t>menor</a:t>
          </a:r>
          <a:r>
            <a:rPr lang="es-ES" sz="1400">
              <a:latin typeface="Calibri" panose="020F0502020204030204" pitchFamily="34" charset="0"/>
            </a:rPr>
            <a:t> que la media, lo que indica que </a:t>
          </a:r>
          <a:r>
            <a:rPr lang="es-ES" sz="1400" b="1">
              <a:latin typeface="Calibri" panose="020F0502020204030204" pitchFamily="34" charset="0"/>
            </a:rPr>
            <a:t>existen</a:t>
          </a:r>
          <a:r>
            <a:rPr lang="es-ES" sz="1400">
              <a:latin typeface="Calibri" panose="020F0502020204030204" pitchFamily="34" charset="0"/>
            </a:rPr>
            <a:t> valores atípicos relevantes.</a:t>
          </a:r>
        </a:p>
        <a:p>
          <a:endParaRPr lang="es-ES" sz="1400">
            <a:latin typeface="Calibri" panose="020F0502020204030204" pitchFamily="34" charset="0"/>
          </a:endParaRPr>
        </a:p>
        <a:p>
          <a:r>
            <a:rPr lang="es-ES" sz="1400">
              <a:latin typeface="Calibri" panose="020F0502020204030204" pitchFamily="34" charset="0"/>
            </a:rPr>
            <a:t>La asimetría es de </a:t>
          </a:r>
          <a:r>
            <a:rPr lang="es-ES" sz="1400" b="1">
              <a:latin typeface="Calibri" panose="020F0502020204030204" pitchFamily="34" charset="0"/>
            </a:rPr>
            <a:t>0,04</a:t>
          </a:r>
          <a:r>
            <a:rPr lang="es-ES" sz="1400">
              <a:latin typeface="Calibri" panose="020F0502020204030204" pitchFamily="34" charset="0"/>
            </a:rPr>
            <a:t>, lo que quiere decir que la distribución es </a:t>
          </a:r>
          <a:r>
            <a:rPr lang="es-ES" sz="1400" b="1">
              <a:latin typeface="Calibri" panose="020F0502020204030204" pitchFamily="34" charset="0"/>
            </a:rPr>
            <a:t>prácticamente simétrica</a:t>
          </a:r>
          <a:r>
            <a:rPr lang="es-ES" sz="1400">
              <a:latin typeface="Calibri" panose="020F0502020204030204" pitchFamily="34" charset="0"/>
            </a:rPr>
            <a:t>: sin sesgo apreciable.</a:t>
          </a:r>
        </a:p>
        <a:p>
          <a:endParaRPr lang="es-ES" sz="1400">
            <a:latin typeface="Calibri" panose="020F0502020204030204" pitchFamily="34" charset="0"/>
          </a:endParaRPr>
        </a:p>
        <a:p>
          <a:r>
            <a:rPr lang="es-ES" sz="1400">
              <a:latin typeface="Calibri" panose="020F0502020204030204" pitchFamily="34" charset="0"/>
            </a:rPr>
            <a:t>La curtosis es de </a:t>
          </a:r>
          <a:r>
            <a:rPr lang="es-ES" sz="1400" b="1">
              <a:latin typeface="Calibri" panose="020F0502020204030204" pitchFamily="34" charset="0"/>
            </a:rPr>
            <a:t>-0,74</a:t>
          </a:r>
          <a:r>
            <a:rPr lang="es-ES" sz="1400">
              <a:latin typeface="Calibri" panose="020F0502020204030204" pitchFamily="34" charset="0"/>
            </a:rPr>
            <a:t>, lo que quiere decir que la distribución es </a:t>
          </a:r>
          <a:r>
            <a:rPr lang="es-ES" sz="1400" b="1">
              <a:latin typeface="Calibri" panose="020F0502020204030204" pitchFamily="34" charset="0"/>
            </a:rPr>
            <a:t>platicúrtica</a:t>
          </a:r>
          <a:r>
            <a:rPr lang="es-ES" sz="1400">
              <a:latin typeface="Calibri" panose="020F0502020204030204" pitchFamily="34" charset="0"/>
            </a:rPr>
            <a:t>: ligeramente aplanada y con menos valores extremos.</a:t>
          </a:r>
        </a:p>
        <a:p>
          <a:endParaRPr lang="es-ES" sz="1400">
            <a:latin typeface="Calibri" panose="020F0502020204030204" pitchFamily="34" charset="0"/>
          </a:endParaRPr>
        </a:p>
        <a:p>
          <a:r>
            <a:rPr lang="es-ES" sz="1400">
              <a:latin typeface="Calibri" panose="020F0502020204030204" pitchFamily="34" charset="0"/>
            </a:rPr>
            <a:t>El examen presenta un índice de dificultad de </a:t>
          </a:r>
          <a:r>
            <a:rPr lang="es-ES" sz="1400" b="1">
              <a:latin typeface="Calibri" panose="020F0502020204030204" pitchFamily="34" charset="0"/>
            </a:rPr>
            <a:t>0,50</a:t>
          </a:r>
          <a:r>
            <a:rPr lang="es-ES" sz="1400">
              <a:latin typeface="Calibri" panose="020F0502020204030204" pitchFamily="34" charset="0"/>
            </a:rPr>
            <a:t> (</a:t>
          </a:r>
          <a:r>
            <a:rPr lang="es-ES" sz="1400" b="1">
              <a:latin typeface="Calibri" panose="020F0502020204030204" pitchFamily="34" charset="0"/>
            </a:rPr>
            <a:t>normal</a:t>
          </a:r>
          <a:r>
            <a:rPr lang="es-ES" sz="1400">
              <a:latin typeface="Calibri" panose="020F0502020204030204" pitchFamily="34" charset="0"/>
            </a:rPr>
            <a:t>) y un índice de discriminación de </a:t>
          </a:r>
          <a:r>
            <a:rPr lang="es-ES" sz="1400" b="1">
              <a:latin typeface="Calibri" panose="020F0502020204030204" pitchFamily="34" charset="0"/>
            </a:rPr>
            <a:t>0,52</a:t>
          </a:r>
          <a:r>
            <a:rPr lang="es-ES" sz="1400">
              <a:latin typeface="Calibri" panose="020F0502020204030204" pitchFamily="34" charset="0"/>
            </a:rPr>
            <a:t>, lo que sugiere que la prueba ha discriminado </a:t>
          </a:r>
          <a:r>
            <a:rPr lang="es-ES" sz="1400" b="1">
              <a:latin typeface="Calibri" panose="020F0502020204030204" pitchFamily="34" charset="0"/>
            </a:rPr>
            <a:t>mucho</a:t>
          </a:r>
          <a:r>
            <a:rPr lang="es-ES" sz="1400">
              <a:latin typeface="Calibri" panose="020F0502020204030204" pitchFamily="34" charset="0"/>
            </a:rPr>
            <a:t> entre alumnado de alto y bajo rendimiento.</a:t>
          </a:r>
        </a:p>
        <a:p>
          <a:endParaRPr lang="es-ES" sz="1400">
            <a:latin typeface="Calibri" panose="020F0502020204030204" pitchFamily="34" charset="0"/>
          </a:endParaRPr>
        </a:p>
        <a:p>
          <a:r>
            <a:rPr lang="es-ES" sz="1400">
              <a:latin typeface="Calibri" panose="020F0502020204030204" pitchFamily="34" charset="0"/>
            </a:rPr>
            <a:t>Existen </a:t>
          </a:r>
          <a:r>
            <a:rPr lang="es-ES" sz="1400" b="1">
              <a:latin typeface="Calibri" panose="020F0502020204030204" pitchFamily="34" charset="0"/>
            </a:rPr>
            <a:t>18 alumnos con calificación inferior a 3.0</a:t>
          </a:r>
          <a:r>
            <a:rPr lang="es-ES" sz="1400">
              <a:latin typeface="Calibri" panose="020F0502020204030204" pitchFamily="34" charset="0"/>
            </a:rPr>
            <a:t>, considerados en </a:t>
          </a:r>
          <a:r>
            <a:rPr lang="es-ES" sz="1400" b="1">
              <a:latin typeface="Calibri" panose="020F0502020204030204" pitchFamily="34" charset="0"/>
            </a:rPr>
            <a:t>riesgo académico</a:t>
          </a:r>
          <a:r>
            <a:rPr lang="es-ES" sz="1400">
              <a:latin typeface="Calibri" panose="020F0502020204030204" pitchFamily="34" charset="0"/>
            </a:rPr>
            <a:t>. Se recomienda analizar su rendimiento individualmente mediante informe específico y valorar un posible </a:t>
          </a:r>
          <a:r>
            <a:rPr lang="es-ES" sz="1400" b="1">
              <a:latin typeface="Calibri" panose="020F0502020204030204" pitchFamily="34" charset="0"/>
            </a:rPr>
            <a:t>plan de acción tutorial</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En base a los indicadores analizados, la prueba se clasifica como un </a:t>
          </a:r>
          <a:r>
            <a:rPr lang="es-ES" sz="1400" b="1">
              <a:latin typeface="Calibri" panose="020F0502020204030204" pitchFamily="34" charset="0"/>
            </a:rPr>
            <a:t>Examen Polarizado</a:t>
          </a:r>
          <a:r>
            <a:rPr lang="es-ES" sz="1400">
              <a:latin typeface="Calibri" panose="020F0502020204030204" pitchFamily="34" charset="0"/>
            </a:rPr>
            <a:t>.</a:t>
          </a:r>
        </a:p>
      </xdr:txBody>
    </xdr:sp>
    <xdr:clientData/>
  </xdr:twoCellAnchor>
</xdr:wsDr>
</file>

<file path=xl/drawings/drawing6.xml><?xml version="1.0" encoding="utf-8"?>
<c:userShapes xmlns:c="http://schemas.openxmlformats.org/drawingml/2006/chart">
  <cdr:relSizeAnchor xmlns:cdr="http://schemas.openxmlformats.org/drawingml/2006/chartDrawing">
    <cdr:from>
      <cdr:x>0.12083</cdr:x>
      <cdr:y>0.432</cdr:y>
    </cdr:from>
    <cdr:to>
      <cdr:x>0.49583</cdr:x>
      <cdr:y>0.832</cdr:y>
    </cdr:to>
    <cdr:sp macro="" textlink="">
      <cdr:nvSpPr>
        <cdr:cNvPr id="2" name="CuadroTexto 1">
          <a:extLst xmlns:a="http://schemas.openxmlformats.org/drawingml/2006/main">
            <a:ext uri="{FF2B5EF4-FFF2-40B4-BE49-F238E27FC236}">
              <a16:creationId xmlns:a16="http://schemas.microsoft.com/office/drawing/2014/main" id="{E6984BFA-6AA0-463F-850D-ADA4CCB02145}"/>
            </a:ext>
          </a:extLst>
        </cdr:cNvPr>
        <cdr:cNvSpPr txBox="1"/>
      </cdr:nvSpPr>
      <cdr:spPr>
        <a:xfrm xmlns:a="http://schemas.openxmlformats.org/drawingml/2006/main">
          <a:off x="368300" y="685800"/>
          <a:ext cx="1143000" cy="635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400" b="1" kern="1200">
              <a:solidFill>
                <a:srgbClr val="ED7D31"/>
              </a:solidFill>
            </a:rPr>
            <a:t>53%</a:t>
          </a:r>
        </a:p>
      </cdr:txBody>
    </cdr:sp>
  </cdr:relSizeAnchor>
  <cdr:relSizeAnchor xmlns:cdr="http://schemas.openxmlformats.org/drawingml/2006/chartDrawing">
    <cdr:from>
      <cdr:x>0.5</cdr:x>
      <cdr:y>0.28</cdr:y>
    </cdr:from>
    <cdr:to>
      <cdr:x>1</cdr:x>
      <cdr:y>1</cdr:y>
    </cdr:to>
    <cdr:sp macro="" textlink="">
      <cdr:nvSpPr>
        <cdr:cNvPr id="3" name="CuadroTexto 2">
          <a:extLst xmlns:a="http://schemas.openxmlformats.org/drawingml/2006/main">
            <a:ext uri="{FF2B5EF4-FFF2-40B4-BE49-F238E27FC236}">
              <a16:creationId xmlns:a16="http://schemas.microsoft.com/office/drawing/2014/main" id="{5AFF99BB-2AAE-B247-FCCC-9F4ECAF8BCD0}"/>
            </a:ext>
          </a:extLst>
        </cdr:cNvPr>
        <cdr:cNvSpPr txBox="1"/>
      </cdr:nvSpPr>
      <cdr:spPr>
        <a:xfrm xmlns:a="http://schemas.openxmlformats.org/drawingml/2006/main">
          <a:off x="1574800" y="812800"/>
          <a:ext cx="1524000" cy="1143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000" b="1" kern="1200">
              <a:solidFill>
                <a:srgbClr val="000000"/>
              </a:solidFill>
            </a:rPr>
            <a:t>Porcentaje</a:t>
          </a:r>
        </a:p>
        <a:p xmlns:a="http://schemas.openxmlformats.org/drawingml/2006/main">
          <a:pPr algn="ctr"/>
          <a:r>
            <a:rPr lang="es-ES" sz="2000" b="1" kern="1200">
              <a:solidFill>
                <a:srgbClr val="000000"/>
              </a:solidFill>
            </a:rPr>
            <a:t>Aprobados</a:t>
          </a:r>
        </a:p>
      </cdr:txBody>
    </cdr:sp>
  </cdr:relSizeAnchor>
</c:userShapes>
</file>

<file path=xl/drawings/drawing7.xml><?xml version="1.0" encoding="utf-8"?>
<c:userShapes xmlns:c="http://schemas.openxmlformats.org/drawingml/2006/chart">
  <cdr:relSizeAnchor xmlns:cdr="http://schemas.openxmlformats.org/drawingml/2006/chartDrawing">
    <cdr:from>
      <cdr:x>0.12083</cdr:x>
      <cdr:y>0.432</cdr:y>
    </cdr:from>
    <cdr:to>
      <cdr:x>0.49583</cdr:x>
      <cdr:y>0.832</cdr:y>
    </cdr:to>
    <cdr:sp macro="" textlink="">
      <cdr:nvSpPr>
        <cdr:cNvPr id="2" name="CuadroTexto 1">
          <a:extLst xmlns:a="http://schemas.openxmlformats.org/drawingml/2006/main">
            <a:ext uri="{FF2B5EF4-FFF2-40B4-BE49-F238E27FC236}">
              <a16:creationId xmlns:a16="http://schemas.microsoft.com/office/drawing/2014/main" id="{6F414085-2539-424D-1D7B-438943550B18}"/>
            </a:ext>
          </a:extLst>
        </cdr:cNvPr>
        <cdr:cNvSpPr txBox="1"/>
      </cdr:nvSpPr>
      <cdr:spPr>
        <a:xfrm xmlns:a="http://schemas.openxmlformats.org/drawingml/2006/main">
          <a:off x="368300" y="685800"/>
          <a:ext cx="1143000" cy="635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400" b="1" kern="1200">
              <a:solidFill>
                <a:srgbClr val="ED7D31"/>
              </a:solidFill>
            </a:rPr>
            <a:t>3,10</a:t>
          </a:r>
        </a:p>
      </cdr:txBody>
    </cdr:sp>
  </cdr:relSizeAnchor>
  <cdr:relSizeAnchor xmlns:cdr="http://schemas.openxmlformats.org/drawingml/2006/chartDrawing">
    <cdr:from>
      <cdr:x>0.5</cdr:x>
      <cdr:y>0.28</cdr:y>
    </cdr:from>
    <cdr:to>
      <cdr:x>1</cdr:x>
      <cdr:y>1</cdr:y>
    </cdr:to>
    <cdr:sp macro="" textlink="">
      <cdr:nvSpPr>
        <cdr:cNvPr id="3" name="CuadroTexto 2">
          <a:extLst xmlns:a="http://schemas.openxmlformats.org/drawingml/2006/main">
            <a:ext uri="{FF2B5EF4-FFF2-40B4-BE49-F238E27FC236}">
              <a16:creationId xmlns:a16="http://schemas.microsoft.com/office/drawing/2014/main" id="{75D24378-EFA8-B1FC-7D1F-9140BB739623}"/>
            </a:ext>
          </a:extLst>
        </cdr:cNvPr>
        <cdr:cNvSpPr txBox="1"/>
      </cdr:nvSpPr>
      <cdr:spPr>
        <a:xfrm xmlns:a="http://schemas.openxmlformats.org/drawingml/2006/main">
          <a:off x="1574800" y="812800"/>
          <a:ext cx="1524000" cy="1143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000" b="1" kern="1200">
              <a:solidFill>
                <a:srgbClr val="000000"/>
              </a:solidFill>
            </a:rPr>
            <a:t>Media</a:t>
          </a:r>
        </a:p>
        <a:p xmlns:a="http://schemas.openxmlformats.org/drawingml/2006/main">
          <a:pPr algn="ctr"/>
          <a:r>
            <a:rPr lang="es-ES" sz="2000" b="1" kern="1200">
              <a:solidFill>
                <a:srgbClr val="000000"/>
              </a:solidFill>
            </a:rPr>
            <a:t>Suspensos</a:t>
          </a:r>
        </a:p>
      </cdr:txBody>
    </cdr:sp>
  </cdr:relSizeAnchor>
</c:userShapes>
</file>

<file path=xl/drawings/drawing8.xml><?xml version="1.0" encoding="utf-8"?>
<c:userShapes xmlns:c="http://schemas.openxmlformats.org/drawingml/2006/chart">
  <cdr:relSizeAnchor xmlns:cdr="http://schemas.openxmlformats.org/drawingml/2006/chartDrawing">
    <cdr:from>
      <cdr:x>0.02309</cdr:x>
      <cdr:y>0.676</cdr:y>
    </cdr:from>
    <cdr:to>
      <cdr:x>0.17934</cdr:x>
      <cdr:y>0.756</cdr:y>
    </cdr:to>
    <cdr:sp macro="" textlink="">
      <cdr:nvSpPr>
        <cdr:cNvPr id="2" name="CuadroTexto 1">
          <a:extLst xmlns:a="http://schemas.openxmlformats.org/drawingml/2006/main">
            <a:ext uri="{FF2B5EF4-FFF2-40B4-BE49-F238E27FC236}">
              <a16:creationId xmlns:a16="http://schemas.microsoft.com/office/drawing/2014/main" id="{87D25316-61CE-262C-11DA-059D0DB567A4}"/>
            </a:ext>
          </a:extLst>
        </cdr:cNvPr>
        <cdr:cNvSpPr txBox="1"/>
      </cdr:nvSpPr>
      <cdr:spPr>
        <a:xfrm xmlns:a="http://schemas.openxmlformats.org/drawingml/2006/main">
          <a:off x="140744"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Mín: 0,45</a:t>
          </a:r>
        </a:p>
      </cdr:txBody>
    </cdr:sp>
  </cdr:relSizeAnchor>
  <cdr:relSizeAnchor xmlns:cdr="http://schemas.openxmlformats.org/drawingml/2006/chartDrawing">
    <cdr:from>
      <cdr:x>0.25971</cdr:x>
      <cdr:y>0.776</cdr:y>
    </cdr:from>
    <cdr:to>
      <cdr:x>0.41596</cdr:x>
      <cdr:y>0.856</cdr:y>
    </cdr:to>
    <cdr:sp macro="" textlink="">
      <cdr:nvSpPr>
        <cdr:cNvPr id="3" name="CuadroTexto 2">
          <a:extLst xmlns:a="http://schemas.openxmlformats.org/drawingml/2006/main">
            <a:ext uri="{FF2B5EF4-FFF2-40B4-BE49-F238E27FC236}">
              <a16:creationId xmlns:a16="http://schemas.microsoft.com/office/drawing/2014/main" id="{2FD7C627-6120-066C-DE1F-4CCB367BC693}"/>
            </a:ext>
          </a:extLst>
        </cdr:cNvPr>
        <cdr:cNvSpPr txBox="1"/>
      </cdr:nvSpPr>
      <cdr:spPr>
        <a:xfrm xmlns:a="http://schemas.openxmlformats.org/drawingml/2006/main">
          <a:off x="1583218" y="24638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Q1: 3,3</a:t>
          </a:r>
        </a:p>
      </cdr:txBody>
    </cdr:sp>
  </cdr:relSizeAnchor>
  <cdr:relSizeAnchor xmlns:cdr="http://schemas.openxmlformats.org/drawingml/2006/chartDrawing">
    <cdr:from>
      <cdr:x>0.4242</cdr:x>
      <cdr:y>0.676</cdr:y>
    </cdr:from>
    <cdr:to>
      <cdr:x>0.58045</cdr:x>
      <cdr:y>0.756</cdr:y>
    </cdr:to>
    <cdr:sp macro="" textlink="">
      <cdr:nvSpPr>
        <cdr:cNvPr id="4" name="CuadroTexto 3">
          <a:extLst xmlns:a="http://schemas.openxmlformats.org/drawingml/2006/main">
            <a:ext uri="{FF2B5EF4-FFF2-40B4-BE49-F238E27FC236}">
              <a16:creationId xmlns:a16="http://schemas.microsoft.com/office/drawing/2014/main" id="{8C79317E-F03D-8BFB-63B4-FCF06E1C7B03}"/>
            </a:ext>
          </a:extLst>
        </cdr:cNvPr>
        <cdr:cNvSpPr txBox="1"/>
      </cdr:nvSpPr>
      <cdr:spPr>
        <a:xfrm xmlns:a="http://schemas.openxmlformats.org/drawingml/2006/main">
          <a:off x="2585921"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Med: 5,05</a:t>
          </a:r>
        </a:p>
      </cdr:txBody>
    </cdr:sp>
  </cdr:relSizeAnchor>
  <cdr:relSizeAnchor xmlns:cdr="http://schemas.openxmlformats.org/drawingml/2006/chartDrawing">
    <cdr:from>
      <cdr:x>0.55579</cdr:x>
      <cdr:y>0.776</cdr:y>
    </cdr:from>
    <cdr:to>
      <cdr:x>0.71204</cdr:x>
      <cdr:y>0.856</cdr:y>
    </cdr:to>
    <cdr:sp macro="" textlink="">
      <cdr:nvSpPr>
        <cdr:cNvPr id="5" name="CuadroTexto 4">
          <a:extLst xmlns:a="http://schemas.openxmlformats.org/drawingml/2006/main">
            <a:ext uri="{FF2B5EF4-FFF2-40B4-BE49-F238E27FC236}">
              <a16:creationId xmlns:a16="http://schemas.microsoft.com/office/drawing/2014/main" id="{7833373F-1ED4-E91B-4797-C22626217904}"/>
            </a:ext>
          </a:extLst>
        </cdr:cNvPr>
        <cdr:cNvSpPr txBox="1"/>
      </cdr:nvSpPr>
      <cdr:spPr>
        <a:xfrm xmlns:a="http://schemas.openxmlformats.org/drawingml/2006/main">
          <a:off x="3388083" y="24638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Q3: 6,45</a:t>
          </a:r>
        </a:p>
      </cdr:txBody>
    </cdr:sp>
  </cdr:relSizeAnchor>
  <cdr:relSizeAnchor xmlns:cdr="http://schemas.openxmlformats.org/drawingml/2006/chartDrawing">
    <cdr:from>
      <cdr:x>0.81388</cdr:x>
      <cdr:y>0.676</cdr:y>
    </cdr:from>
    <cdr:to>
      <cdr:x>0.97013</cdr:x>
      <cdr:y>0.756</cdr:y>
    </cdr:to>
    <cdr:sp macro="" textlink="">
      <cdr:nvSpPr>
        <cdr:cNvPr id="6" name="CuadroTexto 5">
          <a:extLst xmlns:a="http://schemas.openxmlformats.org/drawingml/2006/main">
            <a:ext uri="{FF2B5EF4-FFF2-40B4-BE49-F238E27FC236}">
              <a16:creationId xmlns:a16="http://schemas.microsoft.com/office/drawing/2014/main" id="{BEDA0AB9-6DFE-4FEC-3E51-57038CFC6352}"/>
            </a:ext>
          </a:extLst>
        </cdr:cNvPr>
        <cdr:cNvSpPr txBox="1"/>
      </cdr:nvSpPr>
      <cdr:spPr>
        <a:xfrm xmlns:a="http://schemas.openxmlformats.org/drawingml/2006/main">
          <a:off x="4961395"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Máx: 9,75</a:t>
          </a: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571500</xdr:colOff>
      <xdr:row>15</xdr:row>
      <xdr:rowOff>0</xdr:rowOff>
    </xdr:from>
    <xdr:to>
      <xdr:col>8</xdr:col>
      <xdr:colOff>571500</xdr:colOff>
      <xdr:row>64</xdr:row>
      <xdr:rowOff>0</xdr:rowOff>
    </xdr:to>
    <xdr:sp macro="" textlink="">
      <xdr:nvSpPr>
        <xdr:cNvPr id="52" name="MarcoDashboardPrincipal">
          <a:extLst>
            <a:ext uri="{FF2B5EF4-FFF2-40B4-BE49-F238E27FC236}">
              <a16:creationId xmlns:a16="http://schemas.microsoft.com/office/drawing/2014/main" id="{1906CCD8-691D-9089-C7D9-52F0D7A8D184}"/>
            </a:ext>
          </a:extLst>
        </xdr:cNvPr>
        <xdr:cNvSpPr/>
      </xdr:nvSpPr>
      <xdr:spPr>
        <a:xfrm>
          <a:off x="571500" y="3098800"/>
          <a:ext cx="15284450" cy="9023350"/>
        </a:xfrm>
        <a:prstGeom prst="rect">
          <a:avLst/>
        </a:prstGeom>
        <a:solidFill>
          <a:srgbClr val="FFFFFF"/>
        </a:solidFill>
        <a:ln w="381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2</xdr:row>
          <xdr:rowOff>0</xdr:rowOff>
        </xdr:to>
        <xdr:sp macro="" textlink="">
          <xdr:nvSpPr>
            <xdr:cNvPr id="292865" name="Button 1" hidden="1">
              <a:extLst>
                <a:ext uri="{63B3BB69-23CF-44E3-9099-C40C66FF867C}">
                  <a14:compatExt spid="_x0000_s292865"/>
                </a:ext>
                <a:ext uri="{FF2B5EF4-FFF2-40B4-BE49-F238E27FC236}">
                  <a16:creationId xmlns:a16="http://schemas.microsoft.com/office/drawing/2014/main" id="{BFB9F897-E842-89E6-4270-1918755453F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ELIMINAR INFORME Y VOLVER</a:t>
              </a:r>
            </a:p>
          </xdr:txBody>
        </xdr:sp>
        <xdr:clientData fPrintsWithSheet="0"/>
      </xdr:twoCellAnchor>
    </mc:Choice>
    <mc:Fallback/>
  </mc:AlternateContent>
  <xdr:twoCellAnchor>
    <xdr:from>
      <xdr:col>1</xdr:col>
      <xdr:colOff>0</xdr:colOff>
      <xdr:row>20</xdr:row>
      <xdr:rowOff>0</xdr:rowOff>
    </xdr:from>
    <xdr:to>
      <xdr:col>4</xdr:col>
      <xdr:colOff>590550</xdr:colOff>
      <xdr:row>42</xdr:row>
      <xdr:rowOff>0</xdr:rowOff>
    </xdr:to>
    <xdr:sp macro="" textlink="">
      <xdr:nvSpPr>
        <xdr:cNvPr id="2" name="Rectángulo 1">
          <a:extLst>
            <a:ext uri="{FF2B5EF4-FFF2-40B4-BE49-F238E27FC236}">
              <a16:creationId xmlns:a16="http://schemas.microsoft.com/office/drawing/2014/main" id="{52448E4B-92DF-1882-0FE4-56CEB7D9E7DD}"/>
            </a:ext>
          </a:extLst>
        </xdr:cNvPr>
        <xdr:cNvSpPr/>
      </xdr:nvSpPr>
      <xdr:spPr>
        <a:xfrm>
          <a:off x="1574800" y="4019550"/>
          <a:ext cx="6350000" cy="4051300"/>
        </a:xfrm>
        <a:prstGeom prst="rect">
          <a:avLst/>
        </a:prstGeom>
        <a:solidFill>
          <a:srgbClr val="F0F0F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0</xdr:colOff>
      <xdr:row>21</xdr:row>
      <xdr:rowOff>0</xdr:rowOff>
    </xdr:from>
    <xdr:to>
      <xdr:col>4</xdr:col>
      <xdr:colOff>590550</xdr:colOff>
      <xdr:row>32</xdr:row>
      <xdr:rowOff>6350</xdr:rowOff>
    </xdr:to>
    <xdr:graphicFrame macro="">
      <xdr:nvGraphicFramePr>
        <xdr:cNvPr id="3" name="Gráfico 2">
          <a:extLst>
            <a:ext uri="{FF2B5EF4-FFF2-40B4-BE49-F238E27FC236}">
              <a16:creationId xmlns:a16="http://schemas.microsoft.com/office/drawing/2014/main" id="{C49FF8B9-33B1-AB5B-BA6C-BD1313B935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278331</xdr:colOff>
      <xdr:row>37</xdr:row>
      <xdr:rowOff>0</xdr:rowOff>
    </xdr:from>
    <xdr:to>
      <xdr:col>4</xdr:col>
      <xdr:colOff>400050</xdr:colOff>
      <xdr:row>37</xdr:row>
      <xdr:rowOff>0</xdr:rowOff>
    </xdr:to>
    <xdr:cxnSp macro="">
      <xdr:nvCxnSpPr>
        <xdr:cNvPr id="4" name="Conector recto 3">
          <a:extLst>
            <a:ext uri="{FF2B5EF4-FFF2-40B4-BE49-F238E27FC236}">
              <a16:creationId xmlns:a16="http://schemas.microsoft.com/office/drawing/2014/main" id="{A60BBB6E-A318-5B66-E598-0BBF6EBF01B8}"/>
            </a:ext>
          </a:extLst>
        </xdr:cNvPr>
        <xdr:cNvCxnSpPr/>
      </xdr:nvCxnSpPr>
      <xdr:spPr>
        <a:xfrm>
          <a:off x="1853131" y="7150100"/>
          <a:ext cx="5881169" cy="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923598</xdr:colOff>
      <xdr:row>22</xdr:row>
      <xdr:rowOff>0</xdr:rowOff>
    </xdr:from>
    <xdr:to>
      <xdr:col>1</xdr:col>
      <xdr:colOff>923598</xdr:colOff>
      <xdr:row>40</xdr:row>
      <xdr:rowOff>0</xdr:rowOff>
    </xdr:to>
    <xdr:cxnSp macro="">
      <xdr:nvCxnSpPr>
        <xdr:cNvPr id="5" name="Conector recto 4">
          <a:extLst>
            <a:ext uri="{FF2B5EF4-FFF2-40B4-BE49-F238E27FC236}">
              <a16:creationId xmlns:a16="http://schemas.microsoft.com/office/drawing/2014/main" id="{8B753C18-0876-B624-E8BF-E27594F49B50}"/>
            </a:ext>
          </a:extLst>
        </xdr:cNvPr>
        <xdr:cNvCxnSpPr/>
      </xdr:nvCxnSpPr>
      <xdr:spPr>
        <a:xfrm>
          <a:off x="2498398" y="4387850"/>
          <a:ext cx="0" cy="3314700"/>
        </a:xfrm>
        <a:prstGeom prst="line">
          <a:avLst/>
        </a:prstGeom>
        <a:ln w="12700" cap="flat" cmpd="sng" algn="ctr">
          <a:solidFill>
            <a:srgbClr val="000000">
              <a:alpha val="30000"/>
            </a:srgb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834698</xdr:colOff>
      <xdr:row>37</xdr:row>
      <xdr:rowOff>0</xdr:rowOff>
    </xdr:from>
    <xdr:to>
      <xdr:col>1</xdr:col>
      <xdr:colOff>1012498</xdr:colOff>
      <xdr:row>37</xdr:row>
      <xdr:rowOff>130129</xdr:rowOff>
    </xdr:to>
    <xdr:sp macro="" textlink="">
      <xdr:nvSpPr>
        <xdr:cNvPr id="6" name="Rectángulo 5">
          <a:extLst>
            <a:ext uri="{FF2B5EF4-FFF2-40B4-BE49-F238E27FC236}">
              <a16:creationId xmlns:a16="http://schemas.microsoft.com/office/drawing/2014/main" id="{82BEBF37-4B0A-AB65-AA06-819C37112EF2}"/>
            </a:ext>
          </a:extLst>
        </xdr:cNvPr>
        <xdr:cNvSpPr/>
      </xdr:nvSpPr>
      <xdr:spPr>
        <a:xfrm>
          <a:off x="2409498" y="7150100"/>
          <a:ext cx="177800" cy="130129"/>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669598</xdr:colOff>
      <xdr:row>37</xdr:row>
      <xdr:rowOff>155529</xdr:rowOff>
    </xdr:from>
    <xdr:to>
      <xdr:col>1</xdr:col>
      <xdr:colOff>1177598</xdr:colOff>
      <xdr:row>38</xdr:row>
      <xdr:rowOff>161879</xdr:rowOff>
    </xdr:to>
    <xdr:sp macro="" textlink="">
      <xdr:nvSpPr>
        <xdr:cNvPr id="7" name="CuadroTexto 6">
          <a:extLst>
            <a:ext uri="{FF2B5EF4-FFF2-40B4-BE49-F238E27FC236}">
              <a16:creationId xmlns:a16="http://schemas.microsoft.com/office/drawing/2014/main" id="{303E4461-9F3E-27A5-68B7-9E714F95EC60}"/>
            </a:ext>
          </a:extLst>
        </xdr:cNvPr>
        <xdr:cNvSpPr txBox="1"/>
      </xdr:nvSpPr>
      <xdr:spPr>
        <a:xfrm>
          <a:off x="2244398" y="7305629"/>
          <a:ext cx="508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s-ES" sz="900" b="1">
              <a:solidFill>
                <a:srgbClr val="C00000"/>
              </a:solidFill>
            </a:rPr>
            <a:t>-0,6</a:t>
          </a:r>
        </a:p>
      </xdr:txBody>
    </xdr:sp>
    <xdr:clientData/>
  </xdr:twoCellAnchor>
  <xdr:twoCellAnchor>
    <xdr:from>
      <xdr:col>2</xdr:col>
      <xdr:colOff>385332</xdr:colOff>
      <xdr:row>22</xdr:row>
      <xdr:rowOff>0</xdr:rowOff>
    </xdr:from>
    <xdr:to>
      <xdr:col>2</xdr:col>
      <xdr:colOff>385332</xdr:colOff>
      <xdr:row>40</xdr:row>
      <xdr:rowOff>0</xdr:rowOff>
    </xdr:to>
    <xdr:cxnSp macro="">
      <xdr:nvCxnSpPr>
        <xdr:cNvPr id="8" name="Conector recto 7">
          <a:extLst>
            <a:ext uri="{FF2B5EF4-FFF2-40B4-BE49-F238E27FC236}">
              <a16:creationId xmlns:a16="http://schemas.microsoft.com/office/drawing/2014/main" id="{C792FC94-71E5-8C1B-C9E3-BF283319AF77}"/>
            </a:ext>
          </a:extLst>
        </xdr:cNvPr>
        <xdr:cNvCxnSpPr/>
      </xdr:nvCxnSpPr>
      <xdr:spPr>
        <a:xfrm>
          <a:off x="3674632" y="4387850"/>
          <a:ext cx="0" cy="3314700"/>
        </a:xfrm>
        <a:prstGeom prst="line">
          <a:avLst/>
        </a:prstGeom>
        <a:ln w="12700" cap="flat" cmpd="sng" algn="ctr">
          <a:solidFill>
            <a:srgbClr val="000000">
              <a:alpha val="30000"/>
            </a:srgb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296432</xdr:colOff>
      <xdr:row>37</xdr:row>
      <xdr:rowOff>0</xdr:rowOff>
    </xdr:from>
    <xdr:to>
      <xdr:col>2</xdr:col>
      <xdr:colOff>474232</xdr:colOff>
      <xdr:row>37</xdr:row>
      <xdr:rowOff>159102</xdr:rowOff>
    </xdr:to>
    <xdr:sp macro="" textlink="">
      <xdr:nvSpPr>
        <xdr:cNvPr id="9" name="Rectángulo 8">
          <a:extLst>
            <a:ext uri="{FF2B5EF4-FFF2-40B4-BE49-F238E27FC236}">
              <a16:creationId xmlns:a16="http://schemas.microsoft.com/office/drawing/2014/main" id="{129882C5-96DE-F695-A28C-B513EE1C4EAD}"/>
            </a:ext>
          </a:extLst>
        </xdr:cNvPr>
        <xdr:cNvSpPr/>
      </xdr:nvSpPr>
      <xdr:spPr>
        <a:xfrm>
          <a:off x="3585732" y="7150100"/>
          <a:ext cx="177800" cy="159102"/>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131332</xdr:colOff>
      <xdr:row>38</xdr:row>
      <xdr:rowOff>352</xdr:rowOff>
    </xdr:from>
    <xdr:to>
      <xdr:col>2</xdr:col>
      <xdr:colOff>639332</xdr:colOff>
      <xdr:row>39</xdr:row>
      <xdr:rowOff>6702</xdr:rowOff>
    </xdr:to>
    <xdr:sp macro="" textlink="">
      <xdr:nvSpPr>
        <xdr:cNvPr id="10" name="CuadroTexto 9">
          <a:extLst>
            <a:ext uri="{FF2B5EF4-FFF2-40B4-BE49-F238E27FC236}">
              <a16:creationId xmlns:a16="http://schemas.microsoft.com/office/drawing/2014/main" id="{CE040468-3F22-F961-ADEF-A5260995E313}"/>
            </a:ext>
          </a:extLst>
        </xdr:cNvPr>
        <xdr:cNvSpPr txBox="1"/>
      </xdr:nvSpPr>
      <xdr:spPr>
        <a:xfrm>
          <a:off x="3420632" y="7334602"/>
          <a:ext cx="508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s-ES" sz="900" b="1">
              <a:solidFill>
                <a:srgbClr val="C00000"/>
              </a:solidFill>
            </a:rPr>
            <a:t>-0,7</a:t>
          </a:r>
        </a:p>
      </xdr:txBody>
    </xdr:sp>
    <xdr:clientData/>
  </xdr:twoCellAnchor>
  <xdr:twoCellAnchor>
    <xdr:from>
      <xdr:col>2</xdr:col>
      <xdr:colOff>1561566</xdr:colOff>
      <xdr:row>22</xdr:row>
      <xdr:rowOff>0</xdr:rowOff>
    </xdr:from>
    <xdr:to>
      <xdr:col>2</xdr:col>
      <xdr:colOff>1561566</xdr:colOff>
      <xdr:row>40</xdr:row>
      <xdr:rowOff>0</xdr:rowOff>
    </xdr:to>
    <xdr:cxnSp macro="">
      <xdr:nvCxnSpPr>
        <xdr:cNvPr id="11" name="Conector recto 10">
          <a:extLst>
            <a:ext uri="{FF2B5EF4-FFF2-40B4-BE49-F238E27FC236}">
              <a16:creationId xmlns:a16="http://schemas.microsoft.com/office/drawing/2014/main" id="{3C217A12-592F-21A2-01A1-BB896BCFD7E1}"/>
            </a:ext>
          </a:extLst>
        </xdr:cNvPr>
        <xdr:cNvCxnSpPr/>
      </xdr:nvCxnSpPr>
      <xdr:spPr>
        <a:xfrm>
          <a:off x="4850866" y="4387850"/>
          <a:ext cx="0" cy="3314700"/>
        </a:xfrm>
        <a:prstGeom prst="line">
          <a:avLst/>
        </a:prstGeom>
        <a:ln w="12700" cap="flat" cmpd="sng" algn="ctr">
          <a:solidFill>
            <a:srgbClr val="000000">
              <a:alpha val="30000"/>
            </a:srgb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1472666</xdr:colOff>
      <xdr:row>37</xdr:row>
      <xdr:rowOff>0</xdr:rowOff>
    </xdr:from>
    <xdr:to>
      <xdr:col>3</xdr:col>
      <xdr:colOff>24866</xdr:colOff>
      <xdr:row>37</xdr:row>
      <xdr:rowOff>158633</xdr:rowOff>
    </xdr:to>
    <xdr:sp macro="" textlink="">
      <xdr:nvSpPr>
        <xdr:cNvPr id="12" name="Rectángulo 11">
          <a:extLst>
            <a:ext uri="{FF2B5EF4-FFF2-40B4-BE49-F238E27FC236}">
              <a16:creationId xmlns:a16="http://schemas.microsoft.com/office/drawing/2014/main" id="{252CCA5B-670D-BD2C-A5D3-E4C8FD78CB56}"/>
            </a:ext>
          </a:extLst>
        </xdr:cNvPr>
        <xdr:cNvSpPr/>
      </xdr:nvSpPr>
      <xdr:spPr>
        <a:xfrm>
          <a:off x="4761966" y="7150100"/>
          <a:ext cx="177800" cy="158633"/>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1307566</xdr:colOff>
      <xdr:row>37</xdr:row>
      <xdr:rowOff>184033</xdr:rowOff>
    </xdr:from>
    <xdr:to>
      <xdr:col>3</xdr:col>
      <xdr:colOff>189966</xdr:colOff>
      <xdr:row>39</xdr:row>
      <xdr:rowOff>6233</xdr:rowOff>
    </xdr:to>
    <xdr:sp macro="" textlink="">
      <xdr:nvSpPr>
        <xdr:cNvPr id="13" name="CuadroTexto 12">
          <a:extLst>
            <a:ext uri="{FF2B5EF4-FFF2-40B4-BE49-F238E27FC236}">
              <a16:creationId xmlns:a16="http://schemas.microsoft.com/office/drawing/2014/main" id="{5DC1C10A-2E64-1665-CF1B-EDB6EC4DE650}"/>
            </a:ext>
          </a:extLst>
        </xdr:cNvPr>
        <xdr:cNvSpPr txBox="1"/>
      </xdr:nvSpPr>
      <xdr:spPr>
        <a:xfrm>
          <a:off x="4596866" y="7334133"/>
          <a:ext cx="508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s-ES" sz="900" b="1">
              <a:solidFill>
                <a:srgbClr val="C00000"/>
              </a:solidFill>
            </a:rPr>
            <a:t>-0,7</a:t>
          </a:r>
        </a:p>
      </xdr:txBody>
    </xdr:sp>
    <xdr:clientData/>
  </xdr:twoCellAnchor>
  <xdr:twoCellAnchor>
    <xdr:from>
      <xdr:col>3</xdr:col>
      <xdr:colOff>1112199</xdr:colOff>
      <xdr:row>22</xdr:row>
      <xdr:rowOff>0</xdr:rowOff>
    </xdr:from>
    <xdr:to>
      <xdr:col>3</xdr:col>
      <xdr:colOff>1112199</xdr:colOff>
      <xdr:row>40</xdr:row>
      <xdr:rowOff>0</xdr:rowOff>
    </xdr:to>
    <xdr:cxnSp macro="">
      <xdr:nvCxnSpPr>
        <xdr:cNvPr id="14" name="Conector recto 13">
          <a:extLst>
            <a:ext uri="{FF2B5EF4-FFF2-40B4-BE49-F238E27FC236}">
              <a16:creationId xmlns:a16="http://schemas.microsoft.com/office/drawing/2014/main" id="{D0034FDF-3CA8-FA6F-27D8-0375921B0DE8}"/>
            </a:ext>
          </a:extLst>
        </xdr:cNvPr>
        <xdr:cNvCxnSpPr/>
      </xdr:nvCxnSpPr>
      <xdr:spPr>
        <a:xfrm>
          <a:off x="6027099" y="4387850"/>
          <a:ext cx="0" cy="3314700"/>
        </a:xfrm>
        <a:prstGeom prst="line">
          <a:avLst/>
        </a:prstGeom>
        <a:ln w="12700" cap="flat" cmpd="sng" algn="ctr">
          <a:solidFill>
            <a:srgbClr val="000000">
              <a:alpha val="30000"/>
            </a:srgb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1023299</xdr:colOff>
      <xdr:row>36</xdr:row>
      <xdr:rowOff>27093</xdr:rowOff>
    </xdr:from>
    <xdr:to>
      <xdr:col>3</xdr:col>
      <xdr:colOff>1201099</xdr:colOff>
      <xdr:row>37</xdr:row>
      <xdr:rowOff>0</xdr:rowOff>
    </xdr:to>
    <xdr:sp macro="" textlink="">
      <xdr:nvSpPr>
        <xdr:cNvPr id="15" name="Rectángulo 14">
          <a:extLst>
            <a:ext uri="{FF2B5EF4-FFF2-40B4-BE49-F238E27FC236}">
              <a16:creationId xmlns:a16="http://schemas.microsoft.com/office/drawing/2014/main" id="{31A28E62-D825-36C8-14BA-56D4B124C778}"/>
            </a:ext>
          </a:extLst>
        </xdr:cNvPr>
        <xdr:cNvSpPr/>
      </xdr:nvSpPr>
      <xdr:spPr>
        <a:xfrm>
          <a:off x="5938199" y="6993043"/>
          <a:ext cx="177800" cy="157057"/>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858199</xdr:colOff>
      <xdr:row>35</xdr:row>
      <xdr:rowOff>20743</xdr:rowOff>
    </xdr:from>
    <xdr:to>
      <xdr:col>3</xdr:col>
      <xdr:colOff>1366199</xdr:colOff>
      <xdr:row>36</xdr:row>
      <xdr:rowOff>27093</xdr:rowOff>
    </xdr:to>
    <xdr:sp macro="" textlink="">
      <xdr:nvSpPr>
        <xdr:cNvPr id="16" name="CuadroTexto 15">
          <a:extLst>
            <a:ext uri="{FF2B5EF4-FFF2-40B4-BE49-F238E27FC236}">
              <a16:creationId xmlns:a16="http://schemas.microsoft.com/office/drawing/2014/main" id="{DE79FCA7-D103-D869-7B5B-8D1A0DFD2CE8}"/>
            </a:ext>
          </a:extLst>
        </xdr:cNvPr>
        <xdr:cNvSpPr txBox="1"/>
      </xdr:nvSpPr>
      <xdr:spPr>
        <a:xfrm>
          <a:off x="5773099" y="6802543"/>
          <a:ext cx="508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s-ES" sz="900" b="1">
              <a:solidFill>
                <a:srgbClr val="00B050"/>
              </a:solidFill>
            </a:rPr>
            <a:t>0,7</a:t>
          </a:r>
        </a:p>
      </xdr:txBody>
    </xdr:sp>
    <xdr:clientData/>
  </xdr:twoCellAnchor>
  <xdr:twoCellAnchor>
    <xdr:from>
      <xdr:col>3</xdr:col>
      <xdr:colOff>2288433</xdr:colOff>
      <xdr:row>22</xdr:row>
      <xdr:rowOff>0</xdr:rowOff>
    </xdr:from>
    <xdr:to>
      <xdr:col>3</xdr:col>
      <xdr:colOff>2288433</xdr:colOff>
      <xdr:row>40</xdr:row>
      <xdr:rowOff>0</xdr:rowOff>
    </xdr:to>
    <xdr:cxnSp macro="">
      <xdr:nvCxnSpPr>
        <xdr:cNvPr id="17" name="Conector recto 16">
          <a:extLst>
            <a:ext uri="{FF2B5EF4-FFF2-40B4-BE49-F238E27FC236}">
              <a16:creationId xmlns:a16="http://schemas.microsoft.com/office/drawing/2014/main" id="{AEEA4B73-B6CD-F4E7-8705-5449C73140B2}"/>
            </a:ext>
          </a:extLst>
        </xdr:cNvPr>
        <xdr:cNvCxnSpPr/>
      </xdr:nvCxnSpPr>
      <xdr:spPr>
        <a:xfrm>
          <a:off x="7203333" y="4387850"/>
          <a:ext cx="0" cy="3314700"/>
        </a:xfrm>
        <a:prstGeom prst="line">
          <a:avLst/>
        </a:prstGeom>
        <a:ln w="12700" cap="flat" cmpd="sng" algn="ctr">
          <a:solidFill>
            <a:srgbClr val="000000">
              <a:alpha val="30000"/>
            </a:srgb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2199533</xdr:colOff>
      <xdr:row>37</xdr:row>
      <xdr:rowOff>0</xdr:rowOff>
    </xdr:from>
    <xdr:to>
      <xdr:col>3</xdr:col>
      <xdr:colOff>2377333</xdr:colOff>
      <xdr:row>37</xdr:row>
      <xdr:rowOff>65734</xdr:rowOff>
    </xdr:to>
    <xdr:sp macro="" textlink="">
      <xdr:nvSpPr>
        <xdr:cNvPr id="18" name="Rectángulo 17">
          <a:extLst>
            <a:ext uri="{FF2B5EF4-FFF2-40B4-BE49-F238E27FC236}">
              <a16:creationId xmlns:a16="http://schemas.microsoft.com/office/drawing/2014/main" id="{7098CE45-2906-655E-9561-F4B086F39BF1}"/>
            </a:ext>
          </a:extLst>
        </xdr:cNvPr>
        <xdr:cNvSpPr/>
      </xdr:nvSpPr>
      <xdr:spPr>
        <a:xfrm>
          <a:off x="7114433" y="7150100"/>
          <a:ext cx="177800" cy="65734"/>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2034433</xdr:colOff>
      <xdr:row>37</xdr:row>
      <xdr:rowOff>91134</xdr:rowOff>
    </xdr:from>
    <xdr:to>
      <xdr:col>4</xdr:col>
      <xdr:colOff>123083</xdr:colOff>
      <xdr:row>38</xdr:row>
      <xdr:rowOff>97484</xdr:rowOff>
    </xdr:to>
    <xdr:sp macro="" textlink="">
      <xdr:nvSpPr>
        <xdr:cNvPr id="19" name="CuadroTexto 18">
          <a:extLst>
            <a:ext uri="{FF2B5EF4-FFF2-40B4-BE49-F238E27FC236}">
              <a16:creationId xmlns:a16="http://schemas.microsoft.com/office/drawing/2014/main" id="{B47A527F-ADE7-97D9-F6AE-AE46C9418308}"/>
            </a:ext>
          </a:extLst>
        </xdr:cNvPr>
        <xdr:cNvSpPr txBox="1"/>
      </xdr:nvSpPr>
      <xdr:spPr>
        <a:xfrm>
          <a:off x="6949333" y="7241234"/>
          <a:ext cx="508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s-ES" sz="900" b="1">
              <a:solidFill>
                <a:srgbClr val="C00000"/>
              </a:solidFill>
            </a:rPr>
            <a:t>-0,3</a:t>
          </a:r>
        </a:p>
      </xdr:txBody>
    </xdr:sp>
    <xdr:clientData/>
  </xdr:twoCellAnchor>
  <xdr:twoCellAnchor>
    <xdr:from>
      <xdr:col>1</xdr:col>
      <xdr:colOff>0</xdr:colOff>
      <xdr:row>44</xdr:row>
      <xdr:rowOff>0</xdr:rowOff>
    </xdr:from>
    <xdr:to>
      <xdr:col>4</xdr:col>
      <xdr:colOff>590550</xdr:colOff>
      <xdr:row>61</xdr:row>
      <xdr:rowOff>171450</xdr:rowOff>
    </xdr:to>
    <xdr:grpSp>
      <xdr:nvGrpSpPr>
        <xdr:cNvPr id="30" name="Grupo 29">
          <a:extLst>
            <a:ext uri="{FF2B5EF4-FFF2-40B4-BE49-F238E27FC236}">
              <a16:creationId xmlns:a16="http://schemas.microsoft.com/office/drawing/2014/main" id="{14519ECF-84C2-75C3-D90C-3B01B545EFA5}"/>
            </a:ext>
          </a:extLst>
        </xdr:cNvPr>
        <xdr:cNvGrpSpPr/>
      </xdr:nvGrpSpPr>
      <xdr:grpSpPr>
        <a:xfrm>
          <a:off x="1563077" y="8792308"/>
          <a:ext cx="6354396" cy="3492988"/>
          <a:chOff x="1574800" y="8439150"/>
          <a:chExt cx="6350000" cy="3302000"/>
        </a:xfrm>
      </xdr:grpSpPr>
      <xdr:sp macro="" textlink="">
        <xdr:nvSpPr>
          <xdr:cNvPr id="20" name="Rectángulo 19">
            <a:extLst>
              <a:ext uri="{FF2B5EF4-FFF2-40B4-BE49-F238E27FC236}">
                <a16:creationId xmlns:a16="http://schemas.microsoft.com/office/drawing/2014/main" id="{D6811CF3-04FD-661F-1FCB-633A229B432F}"/>
              </a:ext>
            </a:extLst>
          </xdr:cNvPr>
          <xdr:cNvSpPr/>
        </xdr:nvSpPr>
        <xdr:spPr>
          <a:xfrm>
            <a:off x="1574800" y="8439150"/>
            <a:ext cx="6350000" cy="3302000"/>
          </a:xfrm>
          <a:prstGeom prst="rect">
            <a:avLst/>
          </a:prstGeom>
          <a:solidFill>
            <a:srgbClr val="EBEBEB"/>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1" name="Elipse 20">
            <a:extLst>
              <a:ext uri="{FF2B5EF4-FFF2-40B4-BE49-F238E27FC236}">
                <a16:creationId xmlns:a16="http://schemas.microsoft.com/office/drawing/2014/main" id="{03325EA3-6354-C76E-2BE2-6A833397A01C}"/>
              </a:ext>
            </a:extLst>
          </xdr:cNvPr>
          <xdr:cNvSpPr/>
        </xdr:nvSpPr>
        <xdr:spPr>
          <a:xfrm>
            <a:off x="1871133" y="9163050"/>
            <a:ext cx="1524000" cy="1524000"/>
          </a:xfrm>
          <a:prstGeom prst="ellipse">
            <a:avLst/>
          </a:prstGeom>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4,73</a:t>
            </a:r>
          </a:p>
        </xdr:txBody>
      </xdr:sp>
      <xdr:sp macro="" textlink="">
        <xdr:nvSpPr>
          <xdr:cNvPr id="22" name="Rectángulo 21">
            <a:extLst>
              <a:ext uri="{FF2B5EF4-FFF2-40B4-BE49-F238E27FC236}">
                <a16:creationId xmlns:a16="http://schemas.microsoft.com/office/drawing/2014/main" id="{43EC51FF-4C15-238D-EBA5-428FA0CED253}"/>
              </a:ext>
            </a:extLst>
          </xdr:cNvPr>
          <xdr:cNvSpPr/>
        </xdr:nvSpPr>
        <xdr:spPr>
          <a:xfrm>
            <a:off x="4432300" y="9163050"/>
            <a:ext cx="635000" cy="1524000"/>
          </a:xfrm>
          <a:prstGeom prst="rect">
            <a:avLst/>
          </a:prstGeom>
          <a:noFill/>
          <a:ln w="19050" cap="flat" cmpd="sng" algn="ctr">
            <a:solidFill>
              <a:schemeClr val="tx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3" name="Rectángulo 22">
            <a:extLst>
              <a:ext uri="{FF2B5EF4-FFF2-40B4-BE49-F238E27FC236}">
                <a16:creationId xmlns:a16="http://schemas.microsoft.com/office/drawing/2014/main" id="{F7FAA8D2-6324-35E2-AA48-6A7D4DAD2B6B}"/>
              </a:ext>
            </a:extLst>
          </xdr:cNvPr>
          <xdr:cNvSpPr/>
        </xdr:nvSpPr>
        <xdr:spPr>
          <a:xfrm>
            <a:off x="4432300" y="10290810"/>
            <a:ext cx="635000" cy="39624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26%</a:t>
            </a:r>
          </a:p>
        </xdr:txBody>
      </xdr:sp>
      <xdr:sp macro="" textlink="">
        <xdr:nvSpPr>
          <xdr:cNvPr id="24" name="CuadroTexto 23">
            <a:extLst>
              <a:ext uri="{FF2B5EF4-FFF2-40B4-BE49-F238E27FC236}">
                <a16:creationId xmlns:a16="http://schemas.microsoft.com/office/drawing/2014/main" id="{AFF9FFC3-9950-C8B4-6987-CA9967D37A1D}"/>
              </a:ext>
            </a:extLst>
          </xdr:cNvPr>
          <xdr:cNvSpPr txBox="1"/>
        </xdr:nvSpPr>
        <xdr:spPr>
          <a:xfrm>
            <a:off x="3987800" y="8883650"/>
            <a:ext cx="1524000" cy="254000"/>
          </a:xfrm>
          <a:prstGeom prst="rect">
            <a:avLst/>
          </a:prstGeom>
          <a:solidFill>
            <a:srgbClr val="EBEBEB"/>
          </a:solidFill>
          <a:ln w="63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pPr algn="ctr"/>
            <a:r>
              <a:rPr lang="es-ES" sz="800" b="1"/>
              <a:t>Mejor alumno</a:t>
            </a:r>
          </a:p>
        </xdr:txBody>
      </xdr:sp>
      <xdr:sp macro="" textlink="">
        <xdr:nvSpPr>
          <xdr:cNvPr id="25" name="CuadroTexto 24">
            <a:extLst>
              <a:ext uri="{FF2B5EF4-FFF2-40B4-BE49-F238E27FC236}">
                <a16:creationId xmlns:a16="http://schemas.microsoft.com/office/drawing/2014/main" id="{60DBB120-FBA1-DCAA-1FF4-688763E25250}"/>
              </a:ext>
            </a:extLst>
          </xdr:cNvPr>
          <xdr:cNvSpPr txBox="1"/>
        </xdr:nvSpPr>
        <xdr:spPr>
          <a:xfrm>
            <a:off x="3987800" y="10712450"/>
            <a:ext cx="1524000" cy="254000"/>
          </a:xfrm>
          <a:prstGeom prst="rect">
            <a:avLst/>
          </a:prstGeom>
          <a:solidFill>
            <a:srgbClr val="EBEBEB"/>
          </a:solidFill>
          <a:ln w="63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pPr algn="ctr"/>
            <a:r>
              <a:rPr lang="es-ES" sz="800" b="1"/>
              <a:t>Peor alumno</a:t>
            </a:r>
          </a:p>
        </xdr:txBody>
      </xdr:sp>
      <xdr:sp macro="" textlink="">
        <xdr:nvSpPr>
          <xdr:cNvPr id="26" name="Elipse 25">
            <a:extLst>
              <a:ext uri="{FF2B5EF4-FFF2-40B4-BE49-F238E27FC236}">
                <a16:creationId xmlns:a16="http://schemas.microsoft.com/office/drawing/2014/main" id="{529318D2-C173-F1D0-B2FE-474EA37E588A}"/>
              </a:ext>
            </a:extLst>
          </xdr:cNvPr>
          <xdr:cNvSpPr/>
        </xdr:nvSpPr>
        <xdr:spPr>
          <a:xfrm>
            <a:off x="6104467" y="9163050"/>
            <a:ext cx="1523999" cy="1524000"/>
          </a:xfrm>
          <a:prstGeom prst="ellipse">
            <a:avLst/>
          </a:prstGeom>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300" b="1">
                <a:solidFill>
                  <a:srgbClr val="FFFFFF"/>
                </a:solidFill>
              </a:rPr>
              <a:t>No Procede</a:t>
            </a:r>
          </a:p>
        </xdr:txBody>
      </xdr:sp>
      <xdr:sp macro="" textlink="">
        <xdr:nvSpPr>
          <xdr:cNvPr id="27" name="CuadroTexto 26">
            <a:extLst>
              <a:ext uri="{FF2B5EF4-FFF2-40B4-BE49-F238E27FC236}">
                <a16:creationId xmlns:a16="http://schemas.microsoft.com/office/drawing/2014/main" id="{F7704570-E16F-56C9-57AE-B3068CCA52E9}"/>
              </a:ext>
            </a:extLst>
          </xdr:cNvPr>
          <xdr:cNvSpPr txBox="1"/>
        </xdr:nvSpPr>
        <xdr:spPr>
          <a:xfrm>
            <a:off x="1744133" y="1104265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s-ES" sz="900" b="1"/>
              <a:t>Nota media ponderada</a:t>
            </a:r>
          </a:p>
        </xdr:txBody>
      </xdr:sp>
      <xdr:sp macro="" textlink="">
        <xdr:nvSpPr>
          <xdr:cNvPr id="28" name="CuadroTexto 27">
            <a:extLst>
              <a:ext uri="{FF2B5EF4-FFF2-40B4-BE49-F238E27FC236}">
                <a16:creationId xmlns:a16="http://schemas.microsoft.com/office/drawing/2014/main" id="{B76E50F3-88D0-BA92-97D9-B8168DEFB4E5}"/>
              </a:ext>
            </a:extLst>
          </xdr:cNvPr>
          <xdr:cNvSpPr txBox="1"/>
        </xdr:nvSpPr>
        <xdr:spPr>
          <a:xfrm>
            <a:off x="3987800" y="11042650"/>
            <a:ext cx="1524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s-ES" sz="900" b="1"/>
              <a:t>Percentil</a:t>
            </a:r>
          </a:p>
        </xdr:txBody>
      </xdr:sp>
      <xdr:sp macro="" textlink="">
        <xdr:nvSpPr>
          <xdr:cNvPr id="29" name="CuadroTexto 28">
            <a:extLst>
              <a:ext uri="{FF2B5EF4-FFF2-40B4-BE49-F238E27FC236}">
                <a16:creationId xmlns:a16="http://schemas.microsoft.com/office/drawing/2014/main" id="{0763E312-9C1E-D9BA-18D6-45DA4D550E98}"/>
              </a:ext>
            </a:extLst>
          </xdr:cNvPr>
          <xdr:cNvSpPr txBox="1"/>
        </xdr:nvSpPr>
        <xdr:spPr>
          <a:xfrm>
            <a:off x="5977467" y="1104265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s-ES" sz="900" b="1"/>
              <a:t>Nota necesaria para aprobar</a:t>
            </a:r>
          </a:p>
        </xdr:txBody>
      </xdr:sp>
    </xdr:grpSp>
    <xdr:clientData/>
  </xdr:twoCellAnchor>
  <xdr:twoCellAnchor>
    <xdr:from>
      <xdr:col>4</xdr:col>
      <xdr:colOff>1066800</xdr:colOff>
      <xdr:row>20</xdr:row>
      <xdr:rowOff>0</xdr:rowOff>
    </xdr:from>
    <xdr:to>
      <xdr:col>7</xdr:col>
      <xdr:colOff>2108200</xdr:colOff>
      <xdr:row>42</xdr:row>
      <xdr:rowOff>0</xdr:rowOff>
    </xdr:to>
    <xdr:sp macro="" textlink="">
      <xdr:nvSpPr>
        <xdr:cNvPr id="31" name="Rectángulo 30">
          <a:extLst>
            <a:ext uri="{FF2B5EF4-FFF2-40B4-BE49-F238E27FC236}">
              <a16:creationId xmlns:a16="http://schemas.microsoft.com/office/drawing/2014/main" id="{9C01F169-6266-4640-9A22-34B5EB7951A3}"/>
            </a:ext>
          </a:extLst>
        </xdr:cNvPr>
        <xdr:cNvSpPr/>
      </xdr:nvSpPr>
      <xdr:spPr>
        <a:xfrm>
          <a:off x="8401050" y="4019550"/>
          <a:ext cx="6350000" cy="4051300"/>
        </a:xfrm>
        <a:prstGeom prst="rect">
          <a:avLst/>
        </a:prstGeom>
        <a:solidFill>
          <a:srgbClr val="EBEBEB"/>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1066800</xdr:colOff>
      <xdr:row>23</xdr:row>
      <xdr:rowOff>12700</xdr:rowOff>
    </xdr:from>
    <xdr:to>
      <xdr:col>7</xdr:col>
      <xdr:colOff>2108200</xdr:colOff>
      <xdr:row>24</xdr:row>
      <xdr:rowOff>82550</xdr:rowOff>
    </xdr:to>
    <xdr:sp macro="" textlink="">
      <xdr:nvSpPr>
        <xdr:cNvPr id="32" name="CuadroTexto 31">
          <a:extLst>
            <a:ext uri="{FF2B5EF4-FFF2-40B4-BE49-F238E27FC236}">
              <a16:creationId xmlns:a16="http://schemas.microsoft.com/office/drawing/2014/main" id="{9E18B2D0-EFFB-8EB6-3855-12912D1630F3}"/>
            </a:ext>
          </a:extLst>
        </xdr:cNvPr>
        <xdr:cNvSpPr txBox="1"/>
      </xdr:nvSpPr>
      <xdr:spPr>
        <a:xfrm>
          <a:off x="8401050" y="4584700"/>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100" b="1"/>
            <a:t>Análisis de Consistencia</a:t>
          </a:r>
        </a:p>
      </xdr:txBody>
    </xdr:sp>
    <xdr:clientData/>
  </xdr:twoCellAnchor>
  <xdr:twoCellAnchor>
    <xdr:from>
      <xdr:col>5</xdr:col>
      <xdr:colOff>698500</xdr:colOff>
      <xdr:row>24</xdr:row>
      <xdr:rowOff>146050</xdr:rowOff>
    </xdr:from>
    <xdr:to>
      <xdr:col>7</xdr:col>
      <xdr:colOff>838200</xdr:colOff>
      <xdr:row>27</xdr:row>
      <xdr:rowOff>38100</xdr:rowOff>
    </xdr:to>
    <xdr:sp macro="" textlink="">
      <xdr:nvSpPr>
        <xdr:cNvPr id="33" name="Rectángulo 32">
          <a:extLst>
            <a:ext uri="{FF2B5EF4-FFF2-40B4-BE49-F238E27FC236}">
              <a16:creationId xmlns:a16="http://schemas.microsoft.com/office/drawing/2014/main" id="{BD616798-E7E5-EB34-890B-C6B123F356ED}"/>
            </a:ext>
          </a:extLst>
        </xdr:cNvPr>
        <xdr:cNvSpPr/>
      </xdr:nvSpPr>
      <xdr:spPr>
        <a:xfrm>
          <a:off x="9671050" y="4902200"/>
          <a:ext cx="3810000" cy="444500"/>
        </a:xfrm>
        <a:prstGeom prst="rect">
          <a:avLst/>
        </a:prstGeom>
        <a:solidFill>
          <a:srgbClr val="FFFFFF"/>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698500</xdr:colOff>
      <xdr:row>24</xdr:row>
      <xdr:rowOff>146050</xdr:rowOff>
    </xdr:from>
    <xdr:to>
      <xdr:col>6</xdr:col>
      <xdr:colOff>1441806</xdr:colOff>
      <xdr:row>27</xdr:row>
      <xdr:rowOff>38100</xdr:rowOff>
    </xdr:to>
    <xdr:sp macro="" textlink="">
      <xdr:nvSpPr>
        <xdr:cNvPr id="34" name="Rectángulo 33">
          <a:extLst>
            <a:ext uri="{FF2B5EF4-FFF2-40B4-BE49-F238E27FC236}">
              <a16:creationId xmlns:a16="http://schemas.microsoft.com/office/drawing/2014/main" id="{38DEA4C6-F41D-0E2C-7D3B-58D4747DA2A2}"/>
            </a:ext>
          </a:extLst>
        </xdr:cNvPr>
        <xdr:cNvSpPr/>
      </xdr:nvSpPr>
      <xdr:spPr>
        <a:xfrm>
          <a:off x="9671050" y="4902200"/>
          <a:ext cx="2667356" cy="444500"/>
        </a:xfrm>
        <a:prstGeom prst="rect">
          <a:avLst/>
        </a:prstGeom>
        <a:solidFill>
          <a:srgbClr val="00B05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1130300</xdr:colOff>
      <xdr:row>24</xdr:row>
      <xdr:rowOff>146050</xdr:rowOff>
    </xdr:from>
    <xdr:to>
      <xdr:col>5</xdr:col>
      <xdr:colOff>635000</xdr:colOff>
      <xdr:row>27</xdr:row>
      <xdr:rowOff>38100</xdr:rowOff>
    </xdr:to>
    <xdr:sp macro="" textlink="">
      <xdr:nvSpPr>
        <xdr:cNvPr id="35" name="CuadroTexto 34">
          <a:extLst>
            <a:ext uri="{FF2B5EF4-FFF2-40B4-BE49-F238E27FC236}">
              <a16:creationId xmlns:a16="http://schemas.microsoft.com/office/drawing/2014/main" id="{D6033709-BC90-D2E8-087E-204B126881F6}"/>
            </a:ext>
          </a:extLst>
        </xdr:cNvPr>
        <xdr:cNvSpPr txBox="1"/>
      </xdr:nvSpPr>
      <xdr:spPr>
        <a:xfrm>
          <a:off x="8464550" y="49022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s-ES" sz="800" b="0"/>
            <a:t>Poca consistencia</a:t>
          </a:r>
        </a:p>
      </xdr:txBody>
    </xdr:sp>
    <xdr:clientData/>
  </xdr:twoCellAnchor>
  <xdr:twoCellAnchor>
    <xdr:from>
      <xdr:col>7</xdr:col>
      <xdr:colOff>901700</xdr:colOff>
      <xdr:row>24</xdr:row>
      <xdr:rowOff>146050</xdr:rowOff>
    </xdr:from>
    <xdr:to>
      <xdr:col>7</xdr:col>
      <xdr:colOff>2044700</xdr:colOff>
      <xdr:row>27</xdr:row>
      <xdr:rowOff>38100</xdr:rowOff>
    </xdr:to>
    <xdr:sp macro="" textlink="">
      <xdr:nvSpPr>
        <xdr:cNvPr id="36" name="CuadroTexto 35">
          <a:extLst>
            <a:ext uri="{FF2B5EF4-FFF2-40B4-BE49-F238E27FC236}">
              <a16:creationId xmlns:a16="http://schemas.microsoft.com/office/drawing/2014/main" id="{2B923A1F-6217-A322-EACF-0D39E9153C2B}"/>
            </a:ext>
          </a:extLst>
        </xdr:cNvPr>
        <xdr:cNvSpPr txBox="1"/>
      </xdr:nvSpPr>
      <xdr:spPr>
        <a:xfrm>
          <a:off x="13544550" y="49022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s-ES" sz="800" b="0"/>
            <a:t>Mucha consistencia</a:t>
          </a:r>
        </a:p>
      </xdr:txBody>
    </xdr:sp>
    <xdr:clientData/>
  </xdr:twoCellAnchor>
  <xdr:twoCellAnchor>
    <xdr:from>
      <xdr:col>4</xdr:col>
      <xdr:colOff>1066800</xdr:colOff>
      <xdr:row>28</xdr:row>
      <xdr:rowOff>171450</xdr:rowOff>
    </xdr:from>
    <xdr:to>
      <xdr:col>7</xdr:col>
      <xdr:colOff>2108200</xdr:colOff>
      <xdr:row>30</xdr:row>
      <xdr:rowOff>57150</xdr:rowOff>
    </xdr:to>
    <xdr:sp macro="" textlink="">
      <xdr:nvSpPr>
        <xdr:cNvPr id="37" name="CuadroTexto 36">
          <a:extLst>
            <a:ext uri="{FF2B5EF4-FFF2-40B4-BE49-F238E27FC236}">
              <a16:creationId xmlns:a16="http://schemas.microsoft.com/office/drawing/2014/main" id="{165C4C2D-7C8D-677C-D824-6DD4B146A73B}"/>
            </a:ext>
          </a:extLst>
        </xdr:cNvPr>
        <xdr:cNvSpPr txBox="1"/>
      </xdr:nvSpPr>
      <xdr:spPr>
        <a:xfrm>
          <a:off x="8401050" y="5664200"/>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100" b="1"/>
            <a:t>Rendimiento bajo presión (Correlación)</a:t>
          </a:r>
        </a:p>
      </xdr:txBody>
    </xdr:sp>
    <xdr:clientData/>
  </xdr:twoCellAnchor>
  <xdr:twoCellAnchor>
    <xdr:from>
      <xdr:col>5</xdr:col>
      <xdr:colOff>698500</xdr:colOff>
      <xdr:row>30</xdr:row>
      <xdr:rowOff>120650</xdr:rowOff>
    </xdr:from>
    <xdr:to>
      <xdr:col>7</xdr:col>
      <xdr:colOff>838200</xdr:colOff>
      <xdr:row>33</xdr:row>
      <xdr:rowOff>12700</xdr:rowOff>
    </xdr:to>
    <xdr:sp macro="" textlink="">
      <xdr:nvSpPr>
        <xdr:cNvPr id="38" name="Rectángulo 37">
          <a:extLst>
            <a:ext uri="{FF2B5EF4-FFF2-40B4-BE49-F238E27FC236}">
              <a16:creationId xmlns:a16="http://schemas.microsoft.com/office/drawing/2014/main" id="{DC7D0039-4E0F-9ABF-A3B6-C396E1ACF9E9}"/>
            </a:ext>
          </a:extLst>
        </xdr:cNvPr>
        <xdr:cNvSpPr/>
      </xdr:nvSpPr>
      <xdr:spPr>
        <a:xfrm>
          <a:off x="9671050" y="5981700"/>
          <a:ext cx="3810000" cy="444500"/>
        </a:xfrm>
        <a:prstGeom prst="rect">
          <a:avLst/>
        </a:prstGeom>
        <a:solidFill>
          <a:srgbClr val="FFFFFF"/>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698500</xdr:colOff>
      <xdr:row>30</xdr:row>
      <xdr:rowOff>120650</xdr:rowOff>
    </xdr:from>
    <xdr:to>
      <xdr:col>6</xdr:col>
      <xdr:colOff>698506</xdr:colOff>
      <xdr:row>33</xdr:row>
      <xdr:rowOff>12700</xdr:rowOff>
    </xdr:to>
    <xdr:sp macro="" textlink="">
      <xdr:nvSpPr>
        <xdr:cNvPr id="39" name="Rectángulo 38">
          <a:extLst>
            <a:ext uri="{FF2B5EF4-FFF2-40B4-BE49-F238E27FC236}">
              <a16:creationId xmlns:a16="http://schemas.microsoft.com/office/drawing/2014/main" id="{5D6D3866-793E-07E7-D3BF-351B1A30F28F}"/>
            </a:ext>
          </a:extLst>
        </xdr:cNvPr>
        <xdr:cNvSpPr/>
      </xdr:nvSpPr>
      <xdr:spPr>
        <a:xfrm>
          <a:off x="9671050" y="5981700"/>
          <a:ext cx="1924056" cy="444500"/>
        </a:xfrm>
        <a:prstGeom prst="rect">
          <a:avLst/>
        </a:prstGeom>
        <a:solidFill>
          <a:srgbClr val="00B05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1130300</xdr:colOff>
      <xdr:row>30</xdr:row>
      <xdr:rowOff>120650</xdr:rowOff>
    </xdr:from>
    <xdr:to>
      <xdr:col>5</xdr:col>
      <xdr:colOff>635000</xdr:colOff>
      <xdr:row>33</xdr:row>
      <xdr:rowOff>12700</xdr:rowOff>
    </xdr:to>
    <xdr:sp macro="" textlink="">
      <xdr:nvSpPr>
        <xdr:cNvPr id="40" name="CuadroTexto 39">
          <a:extLst>
            <a:ext uri="{FF2B5EF4-FFF2-40B4-BE49-F238E27FC236}">
              <a16:creationId xmlns:a16="http://schemas.microsoft.com/office/drawing/2014/main" id="{633B63FD-9B70-95D3-8D94-0255A4A77D9C}"/>
            </a:ext>
          </a:extLst>
        </xdr:cNvPr>
        <xdr:cNvSpPr txBox="1"/>
      </xdr:nvSpPr>
      <xdr:spPr>
        <a:xfrm>
          <a:off x="8464550" y="59817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s-ES" sz="800" b="0"/>
            <a:t>Poco rendimiento</a:t>
          </a:r>
        </a:p>
      </xdr:txBody>
    </xdr:sp>
    <xdr:clientData/>
  </xdr:twoCellAnchor>
  <xdr:twoCellAnchor>
    <xdr:from>
      <xdr:col>7</xdr:col>
      <xdr:colOff>901700</xdr:colOff>
      <xdr:row>30</xdr:row>
      <xdr:rowOff>120650</xdr:rowOff>
    </xdr:from>
    <xdr:to>
      <xdr:col>7</xdr:col>
      <xdr:colOff>2044700</xdr:colOff>
      <xdr:row>33</xdr:row>
      <xdr:rowOff>12700</xdr:rowOff>
    </xdr:to>
    <xdr:sp macro="" textlink="">
      <xdr:nvSpPr>
        <xdr:cNvPr id="41" name="CuadroTexto 40">
          <a:extLst>
            <a:ext uri="{FF2B5EF4-FFF2-40B4-BE49-F238E27FC236}">
              <a16:creationId xmlns:a16="http://schemas.microsoft.com/office/drawing/2014/main" id="{375FE36C-3FF8-95F9-C818-D61EDEA5ADE2}"/>
            </a:ext>
          </a:extLst>
        </xdr:cNvPr>
        <xdr:cNvSpPr txBox="1"/>
      </xdr:nvSpPr>
      <xdr:spPr>
        <a:xfrm>
          <a:off x="13544550" y="59817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s-ES" sz="800" b="0"/>
            <a:t>Buen rendimiento</a:t>
          </a:r>
        </a:p>
      </xdr:txBody>
    </xdr:sp>
    <xdr:clientData/>
  </xdr:twoCellAnchor>
  <xdr:twoCellAnchor>
    <xdr:from>
      <xdr:col>4</xdr:col>
      <xdr:colOff>1066800</xdr:colOff>
      <xdr:row>34</xdr:row>
      <xdr:rowOff>146050</xdr:rowOff>
    </xdr:from>
    <xdr:to>
      <xdr:col>7</xdr:col>
      <xdr:colOff>2108200</xdr:colOff>
      <xdr:row>36</xdr:row>
      <xdr:rowOff>31750</xdr:rowOff>
    </xdr:to>
    <xdr:sp macro="" textlink="">
      <xdr:nvSpPr>
        <xdr:cNvPr id="42" name="CuadroTexto 41">
          <a:extLst>
            <a:ext uri="{FF2B5EF4-FFF2-40B4-BE49-F238E27FC236}">
              <a16:creationId xmlns:a16="http://schemas.microsoft.com/office/drawing/2014/main" id="{B538CF32-6413-5D8B-D3AB-E3A67065AD3B}"/>
            </a:ext>
          </a:extLst>
        </xdr:cNvPr>
        <xdr:cNvSpPr txBox="1"/>
      </xdr:nvSpPr>
      <xdr:spPr>
        <a:xfrm>
          <a:off x="8401050" y="6743700"/>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100" b="1"/>
            <a:t>Impacto Actividades</a:t>
          </a:r>
        </a:p>
      </xdr:txBody>
    </xdr:sp>
    <xdr:clientData/>
  </xdr:twoCellAnchor>
  <xdr:twoCellAnchor>
    <xdr:from>
      <xdr:col>5</xdr:col>
      <xdr:colOff>698500</xdr:colOff>
      <xdr:row>36</xdr:row>
      <xdr:rowOff>95250</xdr:rowOff>
    </xdr:from>
    <xdr:to>
      <xdr:col>7</xdr:col>
      <xdr:colOff>838200</xdr:colOff>
      <xdr:row>38</xdr:row>
      <xdr:rowOff>171450</xdr:rowOff>
    </xdr:to>
    <xdr:sp macro="" textlink="">
      <xdr:nvSpPr>
        <xdr:cNvPr id="43" name="Rectángulo 42">
          <a:extLst>
            <a:ext uri="{FF2B5EF4-FFF2-40B4-BE49-F238E27FC236}">
              <a16:creationId xmlns:a16="http://schemas.microsoft.com/office/drawing/2014/main" id="{69EFBDDB-3328-6857-69F6-4F0329575E56}"/>
            </a:ext>
          </a:extLst>
        </xdr:cNvPr>
        <xdr:cNvSpPr/>
      </xdr:nvSpPr>
      <xdr:spPr>
        <a:xfrm>
          <a:off x="9671050" y="7061200"/>
          <a:ext cx="3810000" cy="444500"/>
        </a:xfrm>
        <a:prstGeom prst="rect">
          <a:avLst/>
        </a:prstGeom>
        <a:solidFill>
          <a:srgbClr val="FFFFFF"/>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679450</xdr:colOff>
      <xdr:row>36</xdr:row>
      <xdr:rowOff>95250</xdr:rowOff>
    </xdr:from>
    <xdr:to>
      <xdr:col>7</xdr:col>
      <xdr:colOff>146050</xdr:colOff>
      <xdr:row>38</xdr:row>
      <xdr:rowOff>171450</xdr:rowOff>
    </xdr:to>
    <xdr:sp macro="" textlink="">
      <xdr:nvSpPr>
        <xdr:cNvPr id="44" name="Rectángulo 43">
          <a:extLst>
            <a:ext uri="{FF2B5EF4-FFF2-40B4-BE49-F238E27FC236}">
              <a16:creationId xmlns:a16="http://schemas.microsoft.com/office/drawing/2014/main" id="{5DD3E42F-EC02-25EF-0860-6A7C50AA4EE3}"/>
            </a:ext>
          </a:extLst>
        </xdr:cNvPr>
        <xdr:cNvSpPr/>
      </xdr:nvSpPr>
      <xdr:spPr>
        <a:xfrm>
          <a:off x="11576050" y="7061200"/>
          <a:ext cx="1212850" cy="444500"/>
        </a:xfrm>
        <a:prstGeom prst="rect">
          <a:avLst/>
        </a:prstGeom>
        <a:solidFill>
          <a:srgbClr val="00B05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1485900</xdr:colOff>
      <xdr:row>36</xdr:row>
      <xdr:rowOff>95250</xdr:rowOff>
    </xdr:from>
    <xdr:to>
      <xdr:col>7</xdr:col>
      <xdr:colOff>120650</xdr:colOff>
      <xdr:row>38</xdr:row>
      <xdr:rowOff>171450</xdr:rowOff>
    </xdr:to>
    <xdr:sp macro="" textlink="">
      <xdr:nvSpPr>
        <xdr:cNvPr id="45" name="CuadroTexto 44">
          <a:extLst>
            <a:ext uri="{FF2B5EF4-FFF2-40B4-BE49-F238E27FC236}">
              <a16:creationId xmlns:a16="http://schemas.microsoft.com/office/drawing/2014/main" id="{A39A9C9D-CDBC-75DF-0A1B-99828BA47ECF}"/>
            </a:ext>
          </a:extLst>
        </xdr:cNvPr>
        <xdr:cNvSpPr txBox="1"/>
      </xdr:nvSpPr>
      <xdr:spPr>
        <a:xfrm>
          <a:off x="12382500" y="7061200"/>
          <a:ext cx="381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s-ES" sz="900" b="1">
              <a:solidFill>
                <a:srgbClr val="FFFFFF"/>
              </a:solidFill>
            </a:rPr>
            <a:t>1,6</a:t>
          </a:r>
        </a:p>
      </xdr:txBody>
    </xdr:sp>
    <xdr:clientData/>
  </xdr:twoCellAnchor>
  <xdr:twoCellAnchor>
    <xdr:from>
      <xdr:col>6</xdr:col>
      <xdr:colOff>679450</xdr:colOff>
      <xdr:row>36</xdr:row>
      <xdr:rowOff>31750</xdr:rowOff>
    </xdr:from>
    <xdr:to>
      <xdr:col>6</xdr:col>
      <xdr:colOff>679450</xdr:colOff>
      <xdr:row>39</xdr:row>
      <xdr:rowOff>50800</xdr:rowOff>
    </xdr:to>
    <xdr:cxnSp macro="">
      <xdr:nvCxnSpPr>
        <xdr:cNvPr id="46" name="Conector recto 45">
          <a:extLst>
            <a:ext uri="{FF2B5EF4-FFF2-40B4-BE49-F238E27FC236}">
              <a16:creationId xmlns:a16="http://schemas.microsoft.com/office/drawing/2014/main" id="{2CD63A4F-20F8-6B76-033A-12F6C75C3EEC}"/>
            </a:ext>
          </a:extLst>
        </xdr:cNvPr>
        <xdr:cNvCxnSpPr/>
      </xdr:nvCxnSpPr>
      <xdr:spPr>
        <a:xfrm>
          <a:off x="11576050" y="6997700"/>
          <a:ext cx="0" cy="571500"/>
        </a:xfrm>
        <a:prstGeom prst="line">
          <a:avLst/>
        </a:prstGeom>
        <a:ln w="1270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552450</xdr:colOff>
      <xdr:row>39</xdr:row>
      <xdr:rowOff>12700</xdr:rowOff>
    </xdr:from>
    <xdr:to>
      <xdr:col>6</xdr:col>
      <xdr:colOff>806450</xdr:colOff>
      <xdr:row>40</xdr:row>
      <xdr:rowOff>19050</xdr:rowOff>
    </xdr:to>
    <xdr:sp macro="" textlink="">
      <xdr:nvSpPr>
        <xdr:cNvPr id="47" name="CuadroTexto 46">
          <a:extLst>
            <a:ext uri="{FF2B5EF4-FFF2-40B4-BE49-F238E27FC236}">
              <a16:creationId xmlns:a16="http://schemas.microsoft.com/office/drawing/2014/main" id="{FC930E4F-8DCA-63C6-DD41-F9120E9C9CFB}"/>
            </a:ext>
          </a:extLst>
        </xdr:cNvPr>
        <xdr:cNvSpPr txBox="1"/>
      </xdr:nvSpPr>
      <xdr:spPr>
        <a:xfrm>
          <a:off x="11449050" y="7531100"/>
          <a:ext cx="25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800" b="1"/>
            <a:t>0</a:t>
          </a:r>
        </a:p>
      </xdr:txBody>
    </xdr:sp>
    <xdr:clientData/>
  </xdr:twoCellAnchor>
  <xdr:twoCellAnchor>
    <xdr:from>
      <xdr:col>4</xdr:col>
      <xdr:colOff>1130300</xdr:colOff>
      <xdr:row>36</xdr:row>
      <xdr:rowOff>95250</xdr:rowOff>
    </xdr:from>
    <xdr:to>
      <xdr:col>5</xdr:col>
      <xdr:colOff>635000</xdr:colOff>
      <xdr:row>38</xdr:row>
      <xdr:rowOff>171450</xdr:rowOff>
    </xdr:to>
    <xdr:sp macro="" textlink="">
      <xdr:nvSpPr>
        <xdr:cNvPr id="48" name="CuadroTexto 47">
          <a:extLst>
            <a:ext uri="{FF2B5EF4-FFF2-40B4-BE49-F238E27FC236}">
              <a16:creationId xmlns:a16="http://schemas.microsoft.com/office/drawing/2014/main" id="{1072F6A5-0A00-9DB4-F40A-1AD8BEC8DF72}"/>
            </a:ext>
          </a:extLst>
        </xdr:cNvPr>
        <xdr:cNvSpPr txBox="1"/>
      </xdr:nvSpPr>
      <xdr:spPr>
        <a:xfrm>
          <a:off x="8464550" y="70612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s-ES" sz="800" b="0"/>
            <a:t>Impacto negativo</a:t>
          </a:r>
        </a:p>
      </xdr:txBody>
    </xdr:sp>
    <xdr:clientData/>
  </xdr:twoCellAnchor>
  <xdr:twoCellAnchor>
    <xdr:from>
      <xdr:col>7</xdr:col>
      <xdr:colOff>901700</xdr:colOff>
      <xdr:row>36</xdr:row>
      <xdr:rowOff>95250</xdr:rowOff>
    </xdr:from>
    <xdr:to>
      <xdr:col>7</xdr:col>
      <xdr:colOff>2044700</xdr:colOff>
      <xdr:row>38</xdr:row>
      <xdr:rowOff>171450</xdr:rowOff>
    </xdr:to>
    <xdr:sp macro="" textlink="">
      <xdr:nvSpPr>
        <xdr:cNvPr id="49" name="CuadroTexto 48">
          <a:extLst>
            <a:ext uri="{FF2B5EF4-FFF2-40B4-BE49-F238E27FC236}">
              <a16:creationId xmlns:a16="http://schemas.microsoft.com/office/drawing/2014/main" id="{4EFE08C8-7C34-36D7-4C32-FD3B27341250}"/>
            </a:ext>
          </a:extLst>
        </xdr:cNvPr>
        <xdr:cNvSpPr txBox="1"/>
      </xdr:nvSpPr>
      <xdr:spPr>
        <a:xfrm>
          <a:off x="13544550" y="7061200"/>
          <a:ext cx="1143000" cy="44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s-ES" sz="800" b="0"/>
            <a:t>Impacto positivo</a:t>
          </a:r>
        </a:p>
      </xdr:txBody>
    </xdr:sp>
    <xdr:clientData/>
  </xdr:twoCellAnchor>
  <xdr:twoCellAnchor>
    <xdr:from>
      <xdr:col>4</xdr:col>
      <xdr:colOff>1066800</xdr:colOff>
      <xdr:row>44</xdr:row>
      <xdr:rowOff>0</xdr:rowOff>
    </xdr:from>
    <xdr:to>
      <xdr:col>6</xdr:col>
      <xdr:colOff>1695450</xdr:colOff>
      <xdr:row>61</xdr:row>
      <xdr:rowOff>171450</xdr:rowOff>
    </xdr:to>
    <xdr:graphicFrame macro="">
      <xdr:nvGraphicFramePr>
        <xdr:cNvPr id="50" name="Gráfico 49">
          <a:extLst>
            <a:ext uri="{FF2B5EF4-FFF2-40B4-BE49-F238E27FC236}">
              <a16:creationId xmlns:a16="http://schemas.microsoft.com/office/drawing/2014/main" id="{0C91F27C-E7DC-02E7-D238-66341F3A3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1695450</xdr:colOff>
      <xdr:row>44</xdr:row>
      <xdr:rowOff>0</xdr:rowOff>
    </xdr:from>
    <xdr:to>
      <xdr:col>7</xdr:col>
      <xdr:colOff>2108200</xdr:colOff>
      <xdr:row>61</xdr:row>
      <xdr:rowOff>171450</xdr:rowOff>
    </xdr:to>
    <xdr:graphicFrame macro="">
      <xdr:nvGraphicFramePr>
        <xdr:cNvPr id="51" name="Gráfico 50">
          <a:extLst>
            <a:ext uri="{FF2B5EF4-FFF2-40B4-BE49-F238E27FC236}">
              <a16:creationId xmlns:a16="http://schemas.microsoft.com/office/drawing/2014/main" id="{54E425B4-4A5F-8B91-6CB6-1A292659A1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16</xdr:row>
      <xdr:rowOff>0</xdr:rowOff>
    </xdr:from>
    <xdr:to>
      <xdr:col>7</xdr:col>
      <xdr:colOff>2133600</xdr:colOff>
      <xdr:row>19</xdr:row>
      <xdr:rowOff>0</xdr:rowOff>
    </xdr:to>
    <xdr:sp macro="" textlink="">
      <xdr:nvSpPr>
        <xdr:cNvPr id="53" name="TituloDashboard">
          <a:extLst>
            <a:ext uri="{FF2B5EF4-FFF2-40B4-BE49-F238E27FC236}">
              <a16:creationId xmlns:a16="http://schemas.microsoft.com/office/drawing/2014/main" id="{9839ADC2-5D96-40C6-BB03-1E5B619C037B}"/>
            </a:ext>
          </a:extLst>
        </xdr:cNvPr>
        <xdr:cNvSpPr/>
      </xdr:nvSpPr>
      <xdr:spPr>
        <a:xfrm>
          <a:off x="1574800" y="3282950"/>
          <a:ext cx="13201650" cy="552450"/>
        </a:xfrm>
        <a:prstGeom prst="rect">
          <a:avLst/>
        </a:prstGeom>
        <a:solidFill>
          <a:srgbClr val="A9D08E"/>
        </a:solidFill>
        <a:ln w="381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600" b="1">
              <a:solidFill>
                <a:srgbClr val="000000"/>
              </a:solidFill>
            </a:rPr>
            <a:t>GRÁFICOS ESTADÍSTICOS</a:t>
          </a:r>
        </a:p>
      </xdr:txBody>
    </xdr:sp>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13</xdr:col>
          <xdr:colOff>0</xdr:colOff>
          <xdr:row>2</xdr:row>
          <xdr:rowOff>0</xdr:rowOff>
        </xdr:to>
        <xdr:sp macro="" textlink="">
          <xdr:nvSpPr>
            <xdr:cNvPr id="292866" name="btnExportarPDF" hidden="1">
              <a:extLst>
                <a:ext uri="{63B3BB69-23CF-44E3-9099-C40C66FF867C}">
                  <a14:compatExt spid="_x0000_s292866"/>
                </a:ext>
                <a:ext uri="{FF2B5EF4-FFF2-40B4-BE49-F238E27FC236}">
                  <a16:creationId xmlns:a16="http://schemas.microsoft.com/office/drawing/2014/main" id="{C53741A0-5B40-3788-BA6E-FF785A2BF59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EXPORTAR INFORME A PDF</a:t>
              </a:r>
            </a:p>
          </xdr:txBody>
        </xdr:sp>
        <xdr:clientData fPrintsWithSheet="0"/>
      </xdr:twoCellAnchor>
    </mc:Choice>
    <mc:Fallback/>
  </mc:AlternateContent>
  <xdr:twoCellAnchor>
    <xdr:from>
      <xdr:col>8</xdr:col>
      <xdr:colOff>952500</xdr:colOff>
      <xdr:row>15</xdr:row>
      <xdr:rowOff>0</xdr:rowOff>
    </xdr:from>
    <xdr:to>
      <xdr:col>17</xdr:col>
      <xdr:colOff>0</xdr:colOff>
      <xdr:row>64</xdr:row>
      <xdr:rowOff>0</xdr:rowOff>
    </xdr:to>
    <xdr:sp macro="" textlink="">
      <xdr:nvSpPr>
        <xdr:cNvPr id="54" name="ContenedorInformeAlumno">
          <a:extLst>
            <a:ext uri="{FF2B5EF4-FFF2-40B4-BE49-F238E27FC236}">
              <a16:creationId xmlns:a16="http://schemas.microsoft.com/office/drawing/2014/main" id="{89D2C21E-F196-D9BC-B824-F60C06250A46}"/>
            </a:ext>
          </a:extLst>
        </xdr:cNvPr>
        <xdr:cNvSpPr txBox="1"/>
      </xdr:nvSpPr>
      <xdr:spPr>
        <a:xfrm>
          <a:off x="16236950" y="3098800"/>
          <a:ext cx="8255000" cy="9023350"/>
        </a:xfrm>
        <a:prstGeom prst="rect">
          <a:avLst/>
        </a:prstGeom>
        <a:solidFill>
          <a:srgbClr val="FFFFFF"/>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90500" tIns="190500" rIns="190500" bIns="190500" rtlCol="0" anchor="t"/>
        <a:lstStyle/>
        <a:p>
          <a:r>
            <a:rPr lang="es-ES" sz="1400" b="1" u="sng">
              <a:latin typeface="Calibri" panose="020F0502020204030204" pitchFamily="34" charset="0"/>
            </a:rPr>
            <a:t>INFORME PERSONALIZADO DE EVALUACIÓN</a:t>
          </a:r>
        </a:p>
        <a:p>
          <a:endParaRPr lang="es-ES" sz="1400">
            <a:latin typeface="Calibri" panose="020F0502020204030204" pitchFamily="34" charset="0"/>
          </a:endParaRPr>
        </a:p>
        <a:p>
          <a:r>
            <a:rPr lang="es-ES" sz="1400">
              <a:latin typeface="Calibri" panose="020F0502020204030204" pitchFamily="34" charset="0"/>
            </a:rPr>
            <a:t>El alumno Pepe Garcia Garcia ha realizado hasta ahora </a:t>
          </a:r>
          <a:r>
            <a:rPr lang="es-ES" sz="1400" b="1">
              <a:latin typeface="Calibri" panose="020F0502020204030204" pitchFamily="34" charset="0"/>
            </a:rPr>
            <a:t>5 pruebas</a:t>
          </a:r>
          <a:r>
            <a:rPr lang="es-ES" sz="1400">
              <a:latin typeface="Calibri" panose="020F0502020204030204" pitchFamily="34" charset="0"/>
            </a:rPr>
            <a:t>, con las siguientes calificaciones:</a:t>
          </a:r>
        </a:p>
        <a:p>
          <a:endParaRPr lang="es-ES" sz="1400">
            <a:latin typeface="Calibri" panose="020F0502020204030204" pitchFamily="34" charset="0"/>
          </a:endParaRPr>
        </a:p>
        <a:p>
          <a:r>
            <a:rPr lang="es-ES" sz="1400">
              <a:latin typeface="Calibri" panose="020F0502020204030204" pitchFamily="34" charset="0"/>
            </a:rPr>
            <a:t>     • 1º PARCIAL (15%) – Nota: </a:t>
          </a:r>
          <a:r>
            <a:rPr lang="es-ES" sz="1400" b="1">
              <a:latin typeface="Calibri" panose="020F0502020204030204" pitchFamily="34" charset="0"/>
            </a:rPr>
            <a:t>4,00</a:t>
          </a:r>
          <a:r>
            <a:rPr lang="es-ES" sz="1400">
              <a:latin typeface="Calibri" panose="020F0502020204030204" pitchFamily="34" charset="0"/>
            </a:rPr>
            <a:t> con un Z-Score de </a:t>
          </a:r>
          <a:r>
            <a:rPr lang="es-ES" sz="1400" b="1">
              <a:latin typeface="Calibri" panose="020F0502020204030204" pitchFamily="34" charset="0"/>
            </a:rPr>
            <a:t>-0,6</a:t>
          </a:r>
          <a:r>
            <a:rPr lang="es-ES" sz="1400">
              <a:latin typeface="Calibri" panose="020F0502020204030204" pitchFamily="34" charset="0"/>
            </a:rPr>
            <a:t>. Su desempeño fue </a:t>
          </a:r>
          <a:r>
            <a:rPr lang="es-ES" sz="1400" b="1">
              <a:latin typeface="Calibri" panose="020F0502020204030204" pitchFamily="34" charset="0"/>
            </a:rPr>
            <a:t>por debajo de la media</a:t>
          </a:r>
          <a:r>
            <a:rPr lang="es-ES" sz="1400">
              <a:latin typeface="Calibri" panose="020F0502020204030204" pitchFamily="34" charset="0"/>
            </a:rPr>
            <a:t>.</a:t>
          </a:r>
        </a:p>
        <a:p>
          <a:r>
            <a:rPr lang="es-ES" sz="1400">
              <a:latin typeface="Calibri" panose="020F0502020204030204" pitchFamily="34" charset="0"/>
            </a:rPr>
            <a:t>     • 2º PARCIAL (15%) – Nota: </a:t>
          </a:r>
          <a:r>
            <a:rPr lang="es-ES" sz="1400" b="1">
              <a:latin typeface="Calibri" panose="020F0502020204030204" pitchFamily="34" charset="0"/>
            </a:rPr>
            <a:t>3,50</a:t>
          </a:r>
          <a:r>
            <a:rPr lang="es-ES" sz="1400">
              <a:latin typeface="Calibri" panose="020F0502020204030204" pitchFamily="34" charset="0"/>
            </a:rPr>
            <a:t> con un Z-Score de </a:t>
          </a:r>
          <a:r>
            <a:rPr lang="es-ES" sz="1400" b="1">
              <a:latin typeface="Calibri" panose="020F0502020204030204" pitchFamily="34" charset="0"/>
            </a:rPr>
            <a:t>-0,7</a:t>
          </a:r>
          <a:r>
            <a:rPr lang="es-ES" sz="1400">
              <a:latin typeface="Calibri" panose="020F0502020204030204" pitchFamily="34" charset="0"/>
            </a:rPr>
            <a:t>. Su desempeño fue </a:t>
          </a:r>
          <a:r>
            <a:rPr lang="es-ES" sz="1400" b="1">
              <a:latin typeface="Calibri" panose="020F0502020204030204" pitchFamily="34" charset="0"/>
            </a:rPr>
            <a:t>por debajo de la media</a:t>
          </a:r>
          <a:r>
            <a:rPr lang="es-ES" sz="1400">
              <a:latin typeface="Calibri" panose="020F0502020204030204" pitchFamily="34" charset="0"/>
            </a:rPr>
            <a:t>.</a:t>
          </a:r>
        </a:p>
        <a:p>
          <a:r>
            <a:rPr lang="es-ES" sz="1400">
              <a:latin typeface="Calibri" panose="020F0502020204030204" pitchFamily="34" charset="0"/>
            </a:rPr>
            <a:t>     • MATLAB (15%) – Nota: </a:t>
          </a:r>
          <a:r>
            <a:rPr lang="es-ES" sz="1400" b="1">
              <a:latin typeface="Calibri" panose="020F0502020204030204" pitchFamily="34" charset="0"/>
            </a:rPr>
            <a:t>3,75</a:t>
          </a:r>
          <a:r>
            <a:rPr lang="es-ES" sz="1400">
              <a:latin typeface="Calibri" panose="020F0502020204030204" pitchFamily="34" charset="0"/>
            </a:rPr>
            <a:t> con un Z-Score de </a:t>
          </a:r>
          <a:r>
            <a:rPr lang="es-ES" sz="1400" b="1">
              <a:latin typeface="Calibri" panose="020F0502020204030204" pitchFamily="34" charset="0"/>
            </a:rPr>
            <a:t>-0,7</a:t>
          </a:r>
          <a:r>
            <a:rPr lang="es-ES" sz="1400">
              <a:latin typeface="Calibri" panose="020F0502020204030204" pitchFamily="34" charset="0"/>
            </a:rPr>
            <a:t>. Su desempeño fue </a:t>
          </a:r>
          <a:r>
            <a:rPr lang="es-ES" sz="1400" b="1">
              <a:latin typeface="Calibri" panose="020F0502020204030204" pitchFamily="34" charset="0"/>
            </a:rPr>
            <a:t>por debajo de la media</a:t>
          </a:r>
          <a:r>
            <a:rPr lang="es-ES" sz="1400">
              <a:latin typeface="Calibri" panose="020F0502020204030204" pitchFamily="34" charset="0"/>
            </a:rPr>
            <a:t>.</a:t>
          </a:r>
        </a:p>
        <a:p>
          <a:r>
            <a:rPr lang="es-ES" sz="1400">
              <a:latin typeface="Calibri" panose="020F0502020204030204" pitchFamily="34" charset="0"/>
            </a:rPr>
            <a:t>     • ACT COMP (15%) – Nota: </a:t>
          </a:r>
          <a:r>
            <a:rPr lang="es-ES" sz="1400" b="1">
              <a:latin typeface="Calibri" panose="020F0502020204030204" pitchFamily="34" charset="0"/>
            </a:rPr>
            <a:t>7,60</a:t>
          </a:r>
          <a:r>
            <a:rPr lang="es-ES" sz="1400">
              <a:latin typeface="Calibri" panose="020F0502020204030204" pitchFamily="34" charset="0"/>
            </a:rPr>
            <a:t> con un Z-Score de </a:t>
          </a:r>
          <a:r>
            <a:rPr lang="es-ES" sz="1400" b="1">
              <a:latin typeface="Calibri" panose="020F0502020204030204" pitchFamily="34" charset="0"/>
            </a:rPr>
            <a:t>0,7</a:t>
          </a:r>
          <a:r>
            <a:rPr lang="es-ES" sz="1400">
              <a:latin typeface="Calibri" panose="020F0502020204030204" pitchFamily="34" charset="0"/>
            </a:rPr>
            <a:t>. Su desempeño fue </a:t>
          </a:r>
          <a:r>
            <a:rPr lang="es-ES" sz="1400" b="1">
              <a:latin typeface="Calibri" panose="020F0502020204030204" pitchFamily="34" charset="0"/>
            </a:rPr>
            <a:t>por encima de la media</a:t>
          </a:r>
          <a:r>
            <a:rPr lang="es-ES" sz="1400">
              <a:latin typeface="Calibri" panose="020F0502020204030204" pitchFamily="34" charset="0"/>
            </a:rPr>
            <a:t>.</a:t>
          </a:r>
        </a:p>
        <a:p>
          <a:r>
            <a:rPr lang="es-ES" sz="1400">
              <a:latin typeface="Calibri" panose="020F0502020204030204" pitchFamily="34" charset="0"/>
            </a:rPr>
            <a:t>     • EX FINAL (40%) – Nota: </a:t>
          </a:r>
          <a:r>
            <a:rPr lang="es-ES" sz="1400" b="1">
              <a:latin typeface="Calibri" panose="020F0502020204030204" pitchFamily="34" charset="0"/>
            </a:rPr>
            <a:t>4,75</a:t>
          </a:r>
          <a:r>
            <a:rPr lang="es-ES" sz="1400">
              <a:latin typeface="Calibri" panose="020F0502020204030204" pitchFamily="34" charset="0"/>
            </a:rPr>
            <a:t> con un Z-Score de </a:t>
          </a:r>
          <a:r>
            <a:rPr lang="es-ES" sz="1400" b="1">
              <a:latin typeface="Calibri" panose="020F0502020204030204" pitchFamily="34" charset="0"/>
            </a:rPr>
            <a:t>-0,3</a:t>
          </a:r>
          <a:r>
            <a:rPr lang="es-ES" sz="1400">
              <a:latin typeface="Calibri" panose="020F0502020204030204" pitchFamily="34" charset="0"/>
            </a:rPr>
            <a:t>. Su desempeño fue </a:t>
          </a:r>
          <a:r>
            <a:rPr lang="es-ES" sz="1400" b="1">
              <a:latin typeface="Calibri" panose="020F0502020204030204" pitchFamily="34" charset="0"/>
            </a:rPr>
            <a:t>en la media</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Como vemos, dado que su desviación típica es de </a:t>
          </a:r>
          <a:r>
            <a:rPr lang="es-ES" sz="1400" b="1">
              <a:latin typeface="Calibri" panose="020F0502020204030204" pitchFamily="34" charset="0"/>
            </a:rPr>
            <a:t>1,50</a:t>
          </a:r>
          <a:r>
            <a:rPr lang="es-ES" sz="1400">
              <a:latin typeface="Calibri" panose="020F0502020204030204" pitchFamily="34" charset="0"/>
            </a:rPr>
            <a:t> y su rango de notas oscila entre </a:t>
          </a:r>
          <a:r>
            <a:rPr lang="es-ES" sz="1400" b="1">
              <a:latin typeface="Calibri" panose="020F0502020204030204" pitchFamily="34" charset="0"/>
            </a:rPr>
            <a:t>7,60 (máx)</a:t>
          </a:r>
          <a:r>
            <a:rPr lang="es-ES" sz="1400">
              <a:latin typeface="Calibri" panose="020F0502020204030204" pitchFamily="34" charset="0"/>
            </a:rPr>
            <a:t> y </a:t>
          </a:r>
          <a:r>
            <a:rPr lang="es-ES" sz="1400" b="1">
              <a:latin typeface="Calibri" panose="020F0502020204030204" pitchFamily="34" charset="0"/>
            </a:rPr>
            <a:t>3,50 (mín)</a:t>
          </a:r>
          <a:r>
            <a:rPr lang="es-ES" sz="1400">
              <a:latin typeface="Calibri" panose="020F0502020204030204" pitchFamily="34" charset="0"/>
            </a:rPr>
            <a:t>, sus calificaciones por ahora son </a:t>
          </a:r>
          <a:r>
            <a:rPr lang="es-ES" sz="1400" b="1">
              <a:latin typeface="Calibri" panose="020F0502020204030204" pitchFamily="34" charset="0"/>
            </a:rPr>
            <a:t>poco estables</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Su nota media ponderada actual es de </a:t>
          </a:r>
          <a:r>
            <a:rPr lang="es-ES" sz="1400" b="1">
              <a:latin typeface="Calibri" panose="020F0502020204030204" pitchFamily="34" charset="0"/>
            </a:rPr>
            <a:t>4,73</a:t>
          </a:r>
          <a:r>
            <a:rPr lang="es-ES" sz="1400">
              <a:latin typeface="Calibri" panose="020F0502020204030204" pitchFamily="34" charset="0"/>
            </a:rPr>
            <a:t> que se encuentra </a:t>
          </a:r>
          <a:r>
            <a:rPr lang="es-ES" sz="1400" b="1">
              <a:latin typeface="Calibri" panose="020F0502020204030204" pitchFamily="34" charset="0"/>
            </a:rPr>
            <a:t>por debajo de la media</a:t>
          </a:r>
          <a:r>
            <a:rPr lang="es-ES" sz="1400">
              <a:latin typeface="Calibri" panose="020F0502020204030204" pitchFamily="34" charset="0"/>
            </a:rPr>
            <a:t> de su clase.</a:t>
          </a:r>
        </a:p>
        <a:p>
          <a:endParaRPr lang="es-ES" sz="1400">
            <a:latin typeface="Calibri" panose="020F0502020204030204" pitchFamily="34" charset="0"/>
          </a:endParaRPr>
        </a:p>
        <a:p>
          <a:r>
            <a:rPr lang="es-ES" sz="1400">
              <a:latin typeface="Calibri" panose="020F0502020204030204" pitchFamily="34" charset="0"/>
            </a:rPr>
            <a:t>Este alumno se encuentra en el percentil </a:t>
          </a:r>
          <a:r>
            <a:rPr lang="es-ES" sz="1400" b="1">
              <a:latin typeface="Calibri" panose="020F0502020204030204" pitchFamily="34" charset="0"/>
            </a:rPr>
            <a:t>26%</a:t>
          </a:r>
          <a:r>
            <a:rPr lang="es-ES" sz="1400">
              <a:latin typeface="Calibri" panose="020F0502020204030204" pitchFamily="34" charset="0"/>
            </a:rPr>
            <a:t> de su clase, lo que lo sitúa como </a:t>
          </a:r>
          <a:r>
            <a:rPr lang="es-ES" sz="1400" b="1">
              <a:latin typeface="Calibri" panose="020F0502020204030204" pitchFamily="34" charset="0"/>
            </a:rPr>
            <a:t>un alumno de rendimiento medio</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Si diferenciamos su rendimiento entre los exámenes y las actividades evaluadoras, podemos ver que la media de sus exámenes, a día de hoy, es de </a:t>
          </a:r>
          <a:r>
            <a:rPr lang="es-ES" sz="1400" b="1">
              <a:latin typeface="Calibri" panose="020F0502020204030204" pitchFamily="34" charset="0"/>
            </a:rPr>
            <a:t>4,08</a:t>
          </a:r>
          <a:r>
            <a:rPr lang="es-ES" sz="1400">
              <a:latin typeface="Calibri" panose="020F0502020204030204" pitchFamily="34" charset="0"/>
            </a:rPr>
            <a:t>, mientras que la media de sus actividades complementarias es de </a:t>
          </a:r>
          <a:r>
            <a:rPr lang="es-ES" sz="1400" b="1">
              <a:latin typeface="Calibri" panose="020F0502020204030204" pitchFamily="34" charset="0"/>
            </a:rPr>
            <a:t>5,68</a:t>
          </a:r>
          <a:r>
            <a:rPr lang="es-ES" sz="1400">
              <a:latin typeface="Calibri" panose="020F0502020204030204" pitchFamily="34" charset="0"/>
            </a:rPr>
            <a:t>. Esto nos muestra que su media final se encuentre </a:t>
          </a:r>
          <a:r>
            <a:rPr lang="es-ES" sz="1400" b="1">
              <a:latin typeface="Calibri" panose="020F0502020204030204" pitchFamily="34" charset="0"/>
            </a:rPr>
            <a:t>muy influenciada</a:t>
          </a:r>
          <a:r>
            <a:rPr lang="es-ES" sz="1400">
              <a:latin typeface="Calibri" panose="020F0502020204030204" pitchFamily="34" charset="0"/>
            </a:rPr>
            <a:t> por las actividades evaluadoras, en el sentido de que le </a:t>
          </a:r>
          <a:r>
            <a:rPr lang="es-ES" sz="1400" b="1">
              <a:latin typeface="Calibri" panose="020F0502020204030204" pitchFamily="34" charset="0"/>
            </a:rPr>
            <a:t>suben mucho</a:t>
          </a:r>
          <a:r>
            <a:rPr lang="es-ES" sz="1400">
              <a:latin typeface="Calibri" panose="020F0502020204030204" pitchFamily="34" charset="0"/>
            </a:rPr>
            <a:t> su media. En otras palabras, las actividades evaluadoras están </a:t>
          </a:r>
          <a:r>
            <a:rPr lang="es-ES" sz="1400" b="1">
              <a:latin typeface="Calibri" panose="020F0502020204030204" pitchFamily="34" charset="0"/>
            </a:rPr>
            <a:t>beneficiando</a:t>
          </a:r>
          <a:r>
            <a:rPr lang="es-ES" sz="1400">
              <a:latin typeface="Calibri" panose="020F0502020204030204" pitchFamily="34" charset="0"/>
            </a:rPr>
            <a:t> a Pepe Garcia Garcia.</a:t>
          </a:r>
        </a:p>
        <a:p>
          <a:endParaRPr lang="es-ES" sz="1400">
            <a:latin typeface="Calibri" panose="020F0502020204030204" pitchFamily="34" charset="0"/>
          </a:endParaRPr>
        </a:p>
        <a:p>
          <a:r>
            <a:rPr lang="es-ES" sz="1400">
              <a:latin typeface="Calibri" panose="020F0502020204030204" pitchFamily="34" charset="0"/>
            </a:rPr>
            <a:t>Podemos ver que Pepe Garcia Garcia suele sacar </a:t>
          </a:r>
          <a:r>
            <a:rPr lang="es-ES" sz="1400" b="1">
              <a:latin typeface="Calibri" panose="020F0502020204030204" pitchFamily="34" charset="0"/>
            </a:rPr>
            <a:t>notas estables independientemente de la ponderación</a:t>
          </a:r>
          <a:r>
            <a:rPr lang="es-ES" sz="1400">
              <a:latin typeface="Calibri" panose="020F0502020204030204" pitchFamily="34" charset="0"/>
            </a:rPr>
            <a:t> en exámenes de mayor peso, por lo que se puede inferir que la presión de exámenes importantes </a:t>
          </a:r>
          <a:r>
            <a:rPr lang="es-ES" sz="1400" b="1">
              <a:latin typeface="Calibri" panose="020F0502020204030204" pitchFamily="34" charset="0"/>
            </a:rPr>
            <a:t>le afecta poco</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Como podemos ver, la nota media sus exámenes parciales es de </a:t>
          </a:r>
          <a:r>
            <a:rPr lang="es-ES" sz="1400" b="1">
              <a:latin typeface="Calibri" panose="020F0502020204030204" pitchFamily="34" charset="0"/>
            </a:rPr>
            <a:t>3,75</a:t>
          </a:r>
          <a:r>
            <a:rPr lang="es-ES" sz="1400">
              <a:latin typeface="Calibri" panose="020F0502020204030204" pitchFamily="34" charset="0"/>
            </a:rPr>
            <a:t>, mientras que la nota media de su examen final es de </a:t>
          </a:r>
          <a:r>
            <a:rPr lang="es-ES" sz="1400" b="1">
              <a:latin typeface="Calibri" panose="020F0502020204030204" pitchFamily="34" charset="0"/>
            </a:rPr>
            <a:t>4,75</a:t>
          </a:r>
          <a:r>
            <a:rPr lang="es-ES" sz="1400">
              <a:latin typeface="Calibri" panose="020F0502020204030204" pitchFamily="34" charset="0"/>
            </a:rPr>
            <a:t>. Eso nos muestra que en el examen final tuvo </a:t>
          </a:r>
          <a:r>
            <a:rPr lang="es-ES" sz="1400" b="1">
              <a:latin typeface="Calibri" panose="020F0502020204030204" pitchFamily="34" charset="0"/>
            </a:rPr>
            <a:t>un rendimiento por encima del esperado</a:t>
          </a:r>
          <a:r>
            <a:rPr lang="es-ES" sz="1400">
              <a:latin typeface="Calibri" panose="020F0502020204030204" pitchFamily="34" charset="0"/>
            </a:rPr>
            <a:t> de acuerdo con las calificaciones de sus exámenes parciales anteriores.</a:t>
          </a:r>
        </a:p>
        <a:p>
          <a:endParaRPr lang="es-ES" sz="1400">
            <a:latin typeface="Calibri" panose="020F0502020204030204" pitchFamily="34" charset="0"/>
          </a:endParaRPr>
        </a:p>
        <a:p>
          <a:r>
            <a:rPr lang="es-ES" sz="1400">
              <a:latin typeface="Calibri" panose="020F0502020204030204" pitchFamily="34" charset="0"/>
            </a:rPr>
            <a:t>Teniendo en cuenta todas las calificaciones obtenidas durante la evaluación continua, su nota final de la asignatura es de </a:t>
          </a:r>
          <a:r>
            <a:rPr lang="es-ES" sz="1400" b="1">
              <a:latin typeface="Calibri" panose="020F0502020204030204" pitchFamily="34" charset="0"/>
            </a:rPr>
            <a:t>4,73</a:t>
          </a:r>
          <a:r>
            <a:rPr lang="es-ES" sz="1400">
              <a:latin typeface="Calibri" panose="020F0502020204030204" pitchFamily="34" charset="0"/>
            </a:rPr>
            <a:t>, que es una calificación </a:t>
          </a:r>
          <a:r>
            <a:rPr lang="es-ES" sz="1400" b="1">
              <a:latin typeface="Calibri" panose="020F0502020204030204" pitchFamily="34" charset="0"/>
            </a:rPr>
            <a:t>por debajo de la media de la clase</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Con las calificaciones actuales, el alumno sigue el perfil de </a:t>
          </a:r>
          <a:r>
            <a:rPr lang="es-ES" sz="1400" b="1">
              <a:latin typeface="Calibri" panose="020F0502020204030204" pitchFamily="34" charset="0"/>
            </a:rPr>
            <a:t>Alumno que Está muy Cerca del Aprobado</a:t>
          </a:r>
          <a:r>
            <a:rPr lang="es-ES" sz="1400">
              <a:latin typeface="Calibri" panose="020F0502020204030204" pitchFamily="34" charset="0"/>
            </a:rPr>
            <a:t>.</a:t>
          </a:r>
        </a:p>
      </xdr:txBody>
    </xdr:sp>
    <xdr:clientData/>
  </xdr:twoCellAnchor>
  <xdr:twoCellAnchor>
    <xdr:from>
      <xdr:col>1</xdr:col>
      <xdr:colOff>0</xdr:colOff>
      <xdr:row>15</xdr:row>
      <xdr:rowOff>0</xdr:rowOff>
    </xdr:from>
    <xdr:to>
      <xdr:col>7</xdr:col>
      <xdr:colOff>1314450</xdr:colOff>
      <xdr:row>56</xdr:row>
      <xdr:rowOff>69850</xdr:rowOff>
    </xdr:to>
    <xdr:sp macro="" textlink="">
      <xdr:nvSpPr>
        <xdr:cNvPr id="55" name="CuadroGuia" hidden="1">
          <a:extLst>
            <a:ext uri="{FF2B5EF4-FFF2-40B4-BE49-F238E27FC236}">
              <a16:creationId xmlns:a16="http://schemas.microsoft.com/office/drawing/2014/main" id="{ABBD3A07-9C93-3F76-395E-C5783F750C91}"/>
            </a:ext>
          </a:extLst>
        </xdr:cNvPr>
        <xdr:cNvSpPr txBox="1"/>
      </xdr:nvSpPr>
      <xdr:spPr>
        <a:xfrm>
          <a:off x="1574800" y="3098800"/>
          <a:ext cx="12382500" cy="7620000"/>
        </a:xfrm>
        <a:prstGeom prst="rect">
          <a:avLst/>
        </a:prstGeom>
        <a:solidFill>
          <a:srgbClr val="FFFFEB"/>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s-ES" sz="1400" b="1" u="sng">
              <a:solidFill>
                <a:srgbClr val="000000"/>
              </a:solidFill>
              <a:latin typeface="Calibri" panose="020F0502020204030204" pitchFamily="34" charset="0"/>
            </a:rPr>
            <a:t>GUÍA RÁPIDA DE ESTADÍSTICA</a:t>
          </a:r>
          <a:r>
            <a:rPr lang="es-ES" sz="1400">
              <a:solidFill>
                <a:srgbClr val="000000"/>
              </a:solidFill>
              <a:latin typeface="Calibri" panose="020F0502020204030204" pitchFamily="34" charset="0"/>
            </a:rPr>
            <a:t>:</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Z-SCORE: Mide cuántas desviaciones estándar se encuentra la nota de un alumno por encima o por debajo de la media de la clase en una prueba concreta.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PERCENTILES: Mide posición acumulada dentro del grupo.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EXÁMENES: Indica la nota media obtenida por el alumno en los Exámenes.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Z-SCORE EXÁMENES: Mide cuántas desviaciones estándar se encuentra la nota de un alumno por encima o por debajo de la media de la clase en los Exámenes. </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PERCENTILES EXÁMENES: Mide posición acumulada dentro del grupo en Exámenes.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ACTIVIDADES: Indica la nota media obtenida por el alumno en las Actividades.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Z-SCORE ACTIVIDADES: Mide cuántas desviaciones estándar se encuentra la nota de un alumno por encima o por debajo de la media de la clase en las Actividades.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ABSOLUTA: Media aritmética simple de todas las calificaciones obtenidas por el alumno, sin tener en cuenta las ponderaciones oficiales de cada prueba.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IMPACTO ACTIVIDADES: Analiza cuanto aportan a la nota final las actividades.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PERFIL ALUMNO: Analiza el rendimiento del alumno en exámenes y actividades e indica en cual rinde mejor.</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DESV. ESTÁNDAR Z-SCORE EXÁMENES: Mide la variabilidad del rendimieno relativo del alumno entre pruebas.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CONSISTENCIA INTERNA: Permite analizar si las calificaciones del alumno son constantes y homogéneas o si presentan grandes variaciones.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RENDIMIENTO BAJO PRESIÓN: Analiza el rendimineto en pruebas con mayor peso en la asignatura frente a aquellas de menor peso.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TENDENCIA EN EXÁMENES: Proporciona la tendencia del alumno en las diferentes pruebas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COHERENCIA PARCIALES Y EX. FINAL: Analiza la variación entre la calificación obtenida en el examen final y la media de las calficaciones obtenidas en los exámenes.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ÍNDICE VIABILIDAD SUPERACIÓN ASIGNATURA: Muestra la nota que el alumno debe obtener en lo restante de la asignatura para aprobar.</a:t>
          </a:r>
        </a:p>
      </xdr:txBody>
    </xdr:sp>
    <xdr:clientData/>
  </xdr:twoCellAnchor>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292867" name="BtnAyudaEst" hidden="1">
              <a:extLst>
                <a:ext uri="{63B3BB69-23CF-44E3-9099-C40C66FF867C}">
                  <a14:compatExt spid="_x0000_s292867"/>
                </a:ext>
                <a:ext uri="{FF2B5EF4-FFF2-40B4-BE49-F238E27FC236}">
                  <a16:creationId xmlns:a16="http://schemas.microsoft.com/office/drawing/2014/main" id="{F54C5E40-5437-6850-ADDF-F446652891D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Calibri"/>
                  <a:cs typeface="Calibri"/>
                </a:rPr>
                <a:t>GUÍA ESTADÍSTICA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7</xdr:col>
      <xdr:colOff>0</xdr:colOff>
      <xdr:row>4</xdr:row>
      <xdr:rowOff>0</xdr:rowOff>
    </xdr:from>
    <xdr:to>
      <xdr:col>24</xdr:col>
      <xdr:colOff>0</xdr:colOff>
      <xdr:row>6</xdr:row>
      <xdr:rowOff>0</xdr:rowOff>
    </xdr:to>
    <xdr:sp macro="" textlink="">
      <xdr:nvSpPr>
        <xdr:cNvPr id="2" name="GRÁFICOS ESTADÍSTICOS">
          <a:extLst>
            <a:ext uri="{FF2B5EF4-FFF2-40B4-BE49-F238E27FC236}">
              <a16:creationId xmlns:a16="http://schemas.microsoft.com/office/drawing/2014/main" id="{3B29DB05-DF5B-83F0-11BD-73D816494DBB}"/>
            </a:ext>
          </a:extLst>
        </xdr:cNvPr>
        <xdr:cNvSpPr txBox="1"/>
      </xdr:nvSpPr>
      <xdr:spPr>
        <a:xfrm>
          <a:off x="5334000" y="787400"/>
          <a:ext cx="12954000" cy="368300"/>
        </a:xfrm>
        <a:prstGeom prst="rect">
          <a:avLst/>
        </a:prstGeom>
        <a:solidFill>
          <a:srgbClr val="A9D08E"/>
        </a:solidFill>
        <a:ln w="254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400" b="1">
              <a:solidFill>
                <a:srgbClr val="000000"/>
              </a:solidFill>
              <a:latin typeface="Arial" panose="020B0604020202020204" pitchFamily="34" charset="0"/>
            </a:rPr>
            <a:t>GRÁFICOS ESTADÍSTICOS</a:t>
          </a:r>
        </a:p>
      </xdr:txBody>
    </xdr:sp>
    <xdr:clientData/>
  </xdr:twoCellAnchor>
  <xdr:twoCellAnchor>
    <xdr:from>
      <xdr:col>27</xdr:col>
      <xdr:colOff>0</xdr:colOff>
      <xdr:row>4</xdr:row>
      <xdr:rowOff>0</xdr:rowOff>
    </xdr:from>
    <xdr:to>
      <xdr:col>32</xdr:col>
      <xdr:colOff>0</xdr:colOff>
      <xdr:row>6</xdr:row>
      <xdr:rowOff>0</xdr:rowOff>
    </xdr:to>
    <xdr:sp macro="" textlink="">
      <xdr:nvSpPr>
        <xdr:cNvPr id="3" name="Análisis ACT COMP (15%)">
          <a:extLst>
            <a:ext uri="{FF2B5EF4-FFF2-40B4-BE49-F238E27FC236}">
              <a16:creationId xmlns:a16="http://schemas.microsoft.com/office/drawing/2014/main" id="{F267535F-89C5-A1D6-1065-35220477206F}"/>
            </a:ext>
          </a:extLst>
        </xdr:cNvPr>
        <xdr:cNvSpPr txBox="1"/>
      </xdr:nvSpPr>
      <xdr:spPr>
        <a:xfrm>
          <a:off x="20574000" y="787400"/>
          <a:ext cx="3810000" cy="368300"/>
        </a:xfrm>
        <a:prstGeom prst="rect">
          <a:avLst/>
        </a:prstGeom>
        <a:solidFill>
          <a:srgbClr val="A9D08E"/>
        </a:solidFill>
        <a:ln w="254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s-ES" sz="1400" b="1">
              <a:solidFill>
                <a:srgbClr val="000000"/>
              </a:solidFill>
              <a:latin typeface="Arial" panose="020B0604020202020204" pitchFamily="34" charset="0"/>
            </a:rPr>
            <a:t>Análisis ACT COMP (15%)</a:t>
          </a:r>
        </a:p>
      </xdr:txBody>
    </xdr:sp>
    <xdr:clientData/>
  </xdr:twoCellAnchor>
  <xdr:twoCellAnchor>
    <xdr:from>
      <xdr:col>16</xdr:col>
      <xdr:colOff>0</xdr:colOff>
      <xdr:row>8</xdr:row>
      <xdr:rowOff>0</xdr:rowOff>
    </xdr:from>
    <xdr:to>
      <xdr:col>22</xdr:col>
      <xdr:colOff>0</xdr:colOff>
      <xdr:row>21</xdr:row>
      <xdr:rowOff>203200</xdr:rowOff>
    </xdr:to>
    <xdr:graphicFrame macro="">
      <xdr:nvGraphicFramePr>
        <xdr:cNvPr id="4" name="Gráfico 3">
          <a:extLst>
            <a:ext uri="{FF2B5EF4-FFF2-40B4-BE49-F238E27FC236}">
              <a16:creationId xmlns:a16="http://schemas.microsoft.com/office/drawing/2014/main" id="{5EDA37F6-F9B4-E393-6804-BBAB5A2CC0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24</xdr:row>
      <xdr:rowOff>0</xdr:rowOff>
    </xdr:from>
    <xdr:to>
      <xdr:col>24</xdr:col>
      <xdr:colOff>0</xdr:colOff>
      <xdr:row>37</xdr:row>
      <xdr:rowOff>203200</xdr:rowOff>
    </xdr:to>
    <xdr:graphicFrame macro="">
      <xdr:nvGraphicFramePr>
        <xdr:cNvPr id="5" name="Gráfico 4">
          <a:extLst>
            <a:ext uri="{FF2B5EF4-FFF2-40B4-BE49-F238E27FC236}">
              <a16:creationId xmlns:a16="http://schemas.microsoft.com/office/drawing/2014/main" id="{D51E7053-D9CF-2F0D-D60E-2727E4937F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0</xdr:colOff>
      <xdr:row>8</xdr:row>
      <xdr:rowOff>0</xdr:rowOff>
    </xdr:from>
    <xdr:to>
      <xdr:col>24</xdr:col>
      <xdr:colOff>0</xdr:colOff>
      <xdr:row>21</xdr:row>
      <xdr:rowOff>203200</xdr:rowOff>
    </xdr:to>
    <xdr:sp macro="" textlink="">
      <xdr:nvSpPr>
        <xdr:cNvPr id="6" name="CuadroResumenEstadistico">
          <a:extLst>
            <a:ext uri="{FF2B5EF4-FFF2-40B4-BE49-F238E27FC236}">
              <a16:creationId xmlns:a16="http://schemas.microsoft.com/office/drawing/2014/main" id="{41D2819C-6D02-95B4-304A-D6078B835FCB}"/>
            </a:ext>
          </a:extLst>
        </xdr:cNvPr>
        <xdr:cNvSpPr txBox="1"/>
      </xdr:nvSpPr>
      <xdr:spPr>
        <a:xfrm>
          <a:off x="20821650" y="1924050"/>
          <a:ext cx="1524000" cy="3175000"/>
        </a:xfrm>
        <a:prstGeom prst="rect">
          <a:avLst/>
        </a:prstGeom>
        <a:solidFill>
          <a:srgbClr val="FFFFFF"/>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88900" tIns="88900" rIns="88900" rtlCol="0" anchor="t"/>
        <a:lstStyle/>
        <a:p>
          <a:r>
            <a:rPr lang="es-ES" sz="1100" b="1">
              <a:solidFill>
                <a:srgbClr val="000000"/>
              </a:solidFill>
              <a:latin typeface="Arial" panose="020B0604020202020204" pitchFamily="34" charset="0"/>
            </a:rPr>
            <a:t>Análisis Distribución:</a:t>
          </a:r>
        </a:p>
        <a:p>
          <a:endParaRPr lang="es-ES" sz="1000">
            <a:solidFill>
              <a:srgbClr val="000000"/>
            </a:solidFill>
            <a:latin typeface="Arial" panose="020B0604020202020204" pitchFamily="34" charset="0"/>
          </a:endParaRPr>
        </a:p>
        <a:p>
          <a:r>
            <a:rPr lang="es-ES" sz="1000">
              <a:solidFill>
                <a:srgbClr val="000000"/>
              </a:solidFill>
              <a:latin typeface="Arial" panose="020B0604020202020204" pitchFamily="34" charset="0"/>
            </a:rPr>
            <a:t>Desv. Típica: 2,73</a:t>
          </a:r>
        </a:p>
        <a:p>
          <a:r>
            <a:rPr lang="es-ES" sz="1000">
              <a:solidFill>
                <a:srgbClr val="000000"/>
              </a:solidFill>
              <a:latin typeface="Arial" panose="020B0604020202020204" pitchFamily="34" charset="0"/>
            </a:rPr>
            <a:t>Coef. Asimetría: -0,469</a:t>
          </a:r>
        </a:p>
        <a:p>
          <a:r>
            <a:rPr lang="es-ES" sz="1000">
              <a:solidFill>
                <a:srgbClr val="000000"/>
              </a:solidFill>
              <a:latin typeface="Arial" panose="020B0604020202020204" pitchFamily="34" charset="0"/>
            </a:rPr>
            <a:t>Curtosis: -0,793</a:t>
          </a:r>
        </a:p>
        <a:p>
          <a:endParaRPr lang="es-ES" sz="1000">
            <a:solidFill>
              <a:srgbClr val="000000"/>
            </a:solidFill>
            <a:latin typeface="Arial" panose="020B0604020202020204" pitchFamily="34" charset="0"/>
          </a:endParaRPr>
        </a:p>
        <a:p>
          <a:r>
            <a:rPr lang="es-ES" sz="1000">
              <a:solidFill>
                <a:srgbClr val="000000"/>
              </a:solidFill>
              <a:latin typeface="Arial" panose="020B0604020202020204" pitchFamily="34" charset="0"/>
            </a:rPr>
            <a:t>Ajuste a la Normal: BAJO. La distribución es asimétrica; el examen fue muy fácil o muy difícil.</a:t>
          </a:r>
        </a:p>
      </xdr:txBody>
    </xdr:sp>
    <xdr:clientData/>
  </xdr:twoCellAnchor>
  <xdr:twoCellAnchor>
    <xdr:from>
      <xdr:col>7</xdr:col>
      <xdr:colOff>0</xdr:colOff>
      <xdr:row>8</xdr:row>
      <xdr:rowOff>0</xdr:rowOff>
    </xdr:from>
    <xdr:to>
      <xdr:col>11</xdr:col>
      <xdr:colOff>0</xdr:colOff>
      <xdr:row>21</xdr:row>
      <xdr:rowOff>203200</xdr:rowOff>
    </xdr:to>
    <xdr:graphicFrame macro="">
      <xdr:nvGraphicFramePr>
        <xdr:cNvPr id="7" name="Gráfico 6">
          <a:extLst>
            <a:ext uri="{FF2B5EF4-FFF2-40B4-BE49-F238E27FC236}">
              <a16:creationId xmlns:a16="http://schemas.microsoft.com/office/drawing/2014/main" id="{C2643661-C57C-51C3-1B68-142928A787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8</xdr:row>
      <xdr:rowOff>0</xdr:rowOff>
    </xdr:from>
    <xdr:to>
      <xdr:col>15</xdr:col>
      <xdr:colOff>0</xdr:colOff>
      <xdr:row>14</xdr:row>
      <xdr:rowOff>215900</xdr:rowOff>
    </xdr:to>
    <xdr:graphicFrame macro="">
      <xdr:nvGraphicFramePr>
        <xdr:cNvPr id="8" name="GraficoAprobados">
          <a:extLst>
            <a:ext uri="{FF2B5EF4-FFF2-40B4-BE49-F238E27FC236}">
              <a16:creationId xmlns:a16="http://schemas.microsoft.com/office/drawing/2014/main" id="{FAB13580-3258-4844-BC9B-4F9999C648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15</xdr:row>
      <xdr:rowOff>0</xdr:rowOff>
    </xdr:from>
    <xdr:to>
      <xdr:col>15</xdr:col>
      <xdr:colOff>0</xdr:colOff>
      <xdr:row>21</xdr:row>
      <xdr:rowOff>215900</xdr:rowOff>
    </xdr:to>
    <xdr:graphicFrame macro="">
      <xdr:nvGraphicFramePr>
        <xdr:cNvPr id="9" name="GraficoDonutSuspensos">
          <a:extLst>
            <a:ext uri="{FF2B5EF4-FFF2-40B4-BE49-F238E27FC236}">
              <a16:creationId xmlns:a16="http://schemas.microsoft.com/office/drawing/2014/main" id="{34035947-6E1D-0D6F-4E0A-FD7C3970AE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190500</xdr:colOff>
      <xdr:row>7</xdr:row>
      <xdr:rowOff>0</xdr:rowOff>
    </xdr:from>
    <xdr:to>
      <xdr:col>32</xdr:col>
      <xdr:colOff>571500</xdr:colOff>
      <xdr:row>13</xdr:row>
      <xdr:rowOff>11856</xdr:rowOff>
    </xdr:to>
    <xdr:sp macro="" textlink="">
      <xdr:nvSpPr>
        <xdr:cNvPr id="10" name="CuadroAnalisis_General">
          <a:extLst>
            <a:ext uri="{FF2B5EF4-FFF2-40B4-BE49-F238E27FC236}">
              <a16:creationId xmlns:a16="http://schemas.microsoft.com/office/drawing/2014/main" id="{68B9E725-4F0B-8B7A-C6C4-98DBCA7F1AAA}"/>
            </a:ext>
          </a:extLst>
        </xdr:cNvPr>
        <xdr:cNvSpPr txBox="1"/>
      </xdr:nvSpPr>
      <xdr:spPr>
        <a:xfrm>
          <a:off x="24060150" y="1695450"/>
          <a:ext cx="4953000" cy="1383456"/>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Rendimiento Global:</a:t>
          </a:r>
        </a:p>
        <a:p>
          <a:endParaRPr lang="es-ES" sz="1000">
            <a:latin typeface="Calibri" panose="020F0502020204030204" pitchFamily="34" charset="0"/>
          </a:endParaRPr>
        </a:p>
        <a:p>
          <a:r>
            <a:rPr lang="es-ES" sz="1000">
              <a:latin typeface="Calibri" panose="020F0502020204030204" pitchFamily="34" charset="0"/>
            </a:rPr>
            <a:t>Resumen General: Suficiente</a:t>
          </a:r>
        </a:p>
        <a:p>
          <a:r>
            <a:rPr lang="es-ES" sz="1000">
              <a:latin typeface="Calibri" panose="020F0502020204030204" pitchFamily="34" charset="0"/>
            </a:rPr>
            <a:t>Media: 5,73 | Mediana: 6,25</a:t>
          </a:r>
        </a:p>
        <a:p>
          <a:r>
            <a:rPr lang="es-ES" sz="1000">
              <a:latin typeface="Calibri" panose="020F0502020204030204" pitchFamily="34" charset="0"/>
            </a:rPr>
            <a:t>Aprobados: 57% (65 alumnos)</a:t>
          </a:r>
        </a:p>
        <a:p>
          <a:r>
            <a:rPr lang="es-ES" sz="1000">
              <a:latin typeface="Calibri" panose="020F0502020204030204" pitchFamily="34" charset="0"/>
            </a:rPr>
            <a:t>Análisis Suspensos: Los suspensos son recuperables.</a:t>
          </a:r>
        </a:p>
        <a:p>
          <a:r>
            <a:rPr lang="es-ES" sz="1000">
              <a:latin typeface="Calibri" panose="020F0502020204030204" pitchFamily="34" charset="0"/>
            </a:rPr>
            <a:t>Tendencia: Los suspensos bajos no hunden el promedio general.</a:t>
          </a:r>
        </a:p>
      </xdr:txBody>
    </xdr:sp>
    <xdr:clientData/>
  </xdr:twoCellAnchor>
  <xdr:twoCellAnchor>
    <xdr:from>
      <xdr:col>26</xdr:col>
      <xdr:colOff>190500</xdr:colOff>
      <xdr:row>14</xdr:row>
      <xdr:rowOff>0</xdr:rowOff>
    </xdr:from>
    <xdr:to>
      <xdr:col>32</xdr:col>
      <xdr:colOff>571500</xdr:colOff>
      <xdr:row>18</xdr:row>
      <xdr:rowOff>156021</xdr:rowOff>
    </xdr:to>
    <xdr:sp macro="" textlink="">
      <xdr:nvSpPr>
        <xdr:cNvPr id="11" name="CuadroAnalisis_Tecnico">
          <a:extLst>
            <a:ext uri="{FF2B5EF4-FFF2-40B4-BE49-F238E27FC236}">
              <a16:creationId xmlns:a16="http://schemas.microsoft.com/office/drawing/2014/main" id="{9DD434F3-6A0D-B227-7B3C-CBCF800913BD}"/>
            </a:ext>
          </a:extLst>
        </xdr:cNvPr>
        <xdr:cNvSpPr txBox="1"/>
      </xdr:nvSpPr>
      <xdr:spPr>
        <a:xfrm>
          <a:off x="24060150" y="3295650"/>
          <a:ext cx="4953000" cy="1070421"/>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Métricas de Calidad y Calibración:</a:t>
          </a:r>
        </a:p>
        <a:p>
          <a:endParaRPr lang="es-ES" sz="1000">
            <a:latin typeface="Calibri" panose="020F0502020204030204" pitchFamily="34" charset="0"/>
          </a:endParaRPr>
        </a:p>
        <a:p>
          <a:r>
            <a:rPr lang="es-ES" sz="1000">
              <a:latin typeface="Calibri" panose="020F0502020204030204" pitchFamily="34" charset="0"/>
            </a:rPr>
            <a:t>Índice Dificultad: 0,57 | Discriminación: 0,69</a:t>
          </a:r>
        </a:p>
        <a:p>
          <a:r>
            <a:rPr lang="es-ES" sz="1000">
              <a:latin typeface="Calibri" panose="020F0502020204030204" pitchFamily="34" charset="0"/>
            </a:rPr>
            <a:t>Asimetría: -0,469 (Distribución Simétrica)</a:t>
          </a:r>
        </a:p>
        <a:p>
          <a:r>
            <a:rPr lang="es-ES" sz="1000">
              <a:latin typeface="Calibri" panose="020F0502020204030204" pitchFamily="34" charset="0"/>
            </a:rPr>
            <a:t>Curtosis: -0,793 (Distribución Platicúrtica (Dispersa))</a:t>
          </a:r>
        </a:p>
      </xdr:txBody>
    </xdr:sp>
    <xdr:clientData/>
  </xdr:twoCellAnchor>
  <xdr:twoCellAnchor>
    <xdr:from>
      <xdr:col>26</xdr:col>
      <xdr:colOff>190500</xdr:colOff>
      <xdr:row>19</xdr:row>
      <xdr:rowOff>190500</xdr:rowOff>
    </xdr:from>
    <xdr:to>
      <xdr:col>32</xdr:col>
      <xdr:colOff>571500</xdr:colOff>
      <xdr:row>24</xdr:row>
      <xdr:rowOff>117921</xdr:rowOff>
    </xdr:to>
    <xdr:sp macro="" textlink="">
      <xdr:nvSpPr>
        <xdr:cNvPr id="12" name="CuadroAnalisis_Diversidad">
          <a:extLst>
            <a:ext uri="{FF2B5EF4-FFF2-40B4-BE49-F238E27FC236}">
              <a16:creationId xmlns:a16="http://schemas.microsoft.com/office/drawing/2014/main" id="{23854CC9-F536-003C-8AF3-2BA650919749}"/>
            </a:ext>
          </a:extLst>
        </xdr:cNvPr>
        <xdr:cNvSpPr txBox="1"/>
      </xdr:nvSpPr>
      <xdr:spPr>
        <a:xfrm>
          <a:off x="24060150" y="4629150"/>
          <a:ext cx="4953000" cy="1070421"/>
        </a:xfrm>
        <a:prstGeom prst="rect">
          <a:avLst/>
        </a:prstGeom>
        <a:solidFill>
          <a:srgbClr val="FFFFFF"/>
        </a:solidFill>
        <a:ln w="1905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27000" rIns="127000" bIns="127000" rtlCol="0" anchor="t">
          <a:spAutoFit/>
        </a:bodyPr>
        <a:lstStyle/>
        <a:p>
          <a:r>
            <a:rPr lang="es-ES" sz="1200" b="1" u="sng">
              <a:latin typeface="Calibri" panose="020F0502020204030204" pitchFamily="34" charset="0"/>
            </a:rPr>
            <a:t>Métricas de Diversidad y Cohesión:</a:t>
          </a:r>
        </a:p>
        <a:p>
          <a:endParaRPr lang="es-ES" sz="1000">
            <a:latin typeface="Calibri" panose="020F0502020204030204" pitchFamily="34" charset="0"/>
          </a:endParaRPr>
        </a:p>
        <a:p>
          <a:r>
            <a:rPr lang="es-ES" sz="1000">
              <a:latin typeface="Calibri" panose="020F0502020204030204" pitchFamily="34" charset="0"/>
            </a:rPr>
            <a:t>Dispersión: Grupo muy homogéneo. Una sola estrategia de clase es útil</a:t>
          </a:r>
        </a:p>
        <a:p>
          <a:r>
            <a:rPr lang="es-ES" sz="1000">
              <a:latin typeface="Calibri" panose="020F0502020204030204" pitchFamily="34" charset="0"/>
            </a:rPr>
            <a:t>Desviación: Distribución de dispersión estándar.</a:t>
          </a:r>
        </a:p>
        <a:p>
          <a:r>
            <a:rPr lang="es-ES" sz="1000">
              <a:latin typeface="Calibri" panose="020F0502020204030204" pitchFamily="34" charset="0"/>
            </a:rPr>
            <a:t>Coef. Variación: 0,48</a:t>
          </a:r>
        </a:p>
      </xdr:txBody>
    </xdr:sp>
    <xdr:clientData/>
  </xdr:twoCellAnchor>
  <xdr:twoCellAnchor>
    <xdr:from>
      <xdr:col>7</xdr:col>
      <xdr:colOff>0</xdr:colOff>
      <xdr:row>24</xdr:row>
      <xdr:rowOff>0</xdr:rowOff>
    </xdr:from>
    <xdr:to>
      <xdr:col>15</xdr:col>
      <xdr:colOff>0</xdr:colOff>
      <xdr:row>37</xdr:row>
      <xdr:rowOff>203200</xdr:rowOff>
    </xdr:to>
    <xdr:graphicFrame macro="">
      <xdr:nvGraphicFramePr>
        <xdr:cNvPr id="13" name="BoxPlotHorizontal">
          <a:extLst>
            <a:ext uri="{FF2B5EF4-FFF2-40B4-BE49-F238E27FC236}">
              <a16:creationId xmlns:a16="http://schemas.microsoft.com/office/drawing/2014/main" id="{79504233-382D-4CF0-8263-5B2EC25889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190500</xdr:colOff>
      <xdr:row>25</xdr:row>
      <xdr:rowOff>0</xdr:rowOff>
    </xdr:from>
    <xdr:to>
      <xdr:col>32</xdr:col>
      <xdr:colOff>571500</xdr:colOff>
      <xdr:row>39</xdr:row>
      <xdr:rowOff>156801</xdr:rowOff>
    </xdr:to>
    <xdr:sp macro="" textlink="">
      <xdr:nvSpPr>
        <xdr:cNvPr id="14" name="CuadroAnalisis_Riesgo">
          <a:extLst>
            <a:ext uri="{FF2B5EF4-FFF2-40B4-BE49-F238E27FC236}">
              <a16:creationId xmlns:a16="http://schemas.microsoft.com/office/drawing/2014/main" id="{5BDAB433-4285-2024-5C99-83ACDE4C0B5C}"/>
            </a:ext>
          </a:extLst>
        </xdr:cNvPr>
        <xdr:cNvSpPr txBox="1"/>
      </xdr:nvSpPr>
      <xdr:spPr>
        <a:xfrm>
          <a:off x="24060150" y="5810250"/>
          <a:ext cx="4953000" cy="3357201"/>
        </a:xfrm>
        <a:prstGeom prst="rect">
          <a:avLst/>
        </a:prstGeom>
        <a:solidFill>
          <a:srgbClr val="FFFFFF"/>
        </a:solidFill>
        <a:ln w="254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52400" tIns="127000" rIns="152400" bIns="127000" rtlCol="0" anchor="t">
          <a:spAutoFit/>
        </a:bodyPr>
        <a:lstStyle/>
        <a:p>
          <a:pPr marL="0" indent="0">
            <a:tabLst>
              <a:tab pos="2476500" algn="l"/>
            </a:tabLst>
          </a:pPr>
          <a:r>
            <a:rPr lang="es-ES" sz="1100" b="1" u="sng">
              <a:latin typeface="Calibri" panose="020F0502020204030204" pitchFamily="34" charset="0"/>
            </a:rPr>
            <a:t>Alumnos en Riesgo Crítico (Nota &lt; 3.0):</a:t>
          </a:r>
        </a:p>
        <a:p>
          <a:pPr marL="0" indent="0">
            <a:tabLst>
              <a:tab pos="2476500" algn="l"/>
            </a:tabLst>
          </a:pPr>
          <a:endParaRPr lang="es-ES" sz="850">
            <a:latin typeface="Calibri" panose="020F0502020204030204" pitchFamily="34" charset="0"/>
          </a:endParaRPr>
        </a:p>
        <a:p>
          <a:pPr marL="0" indent="0">
            <a:tabLst>
              <a:tab pos="2476500" algn="l"/>
            </a:tabLst>
          </a:pPr>
          <a:r>
            <a:rPr lang="es-ES" sz="850" b="1">
              <a:latin typeface="Calibri" panose="020F0502020204030204" pitchFamily="34" charset="0"/>
            </a:rPr>
            <a:t>[GRUPO 1]</a:t>
          </a:r>
          <a:r>
            <a:rPr lang="es-ES" sz="850">
              <a:latin typeface="Calibri" panose="020F0502020204030204" pitchFamily="34" charset="0"/>
            </a:rPr>
            <a:t>	</a:t>
          </a:r>
          <a:r>
            <a:rPr lang="es-ES" sz="850" b="1">
              <a:latin typeface="Calibri" panose="020F0502020204030204" pitchFamily="34" charset="0"/>
            </a:rPr>
            <a:t>[GRUPO 2]</a:t>
          </a:r>
        </a:p>
        <a:p>
          <a:pPr marL="0" indent="0">
            <a:tabLst>
              <a:tab pos="2476500" algn="l"/>
            </a:tabLst>
          </a:pPr>
          <a:r>
            <a:rPr lang="es-ES" sz="850">
              <a:latin typeface="Calibri" panose="020F0502020204030204" pitchFamily="34" charset="0"/>
            </a:rPr>
            <a:t>• Pepe Garcia Garcia: 2,2	• Pepe Garcia Garcia: 1,0</a:t>
          </a:r>
        </a:p>
        <a:p>
          <a:pPr marL="0" indent="0">
            <a:tabLst>
              <a:tab pos="2476500" algn="l"/>
            </a:tabLst>
          </a:pPr>
          <a:r>
            <a:rPr lang="es-ES" sz="850">
              <a:latin typeface="Calibri" panose="020F0502020204030204" pitchFamily="34" charset="0"/>
            </a:rPr>
            <a:t>• Pepe Garcia Garcia: 2,5	• Pepe Garcia Garcia: 2,0</a:t>
          </a:r>
        </a:p>
        <a:p>
          <a:pPr marL="0" indent="0">
            <a:tabLst>
              <a:tab pos="2476500" algn="l"/>
            </a:tabLst>
          </a:pPr>
          <a:r>
            <a:rPr lang="es-ES" sz="850">
              <a:latin typeface="Calibri" panose="020F0502020204030204" pitchFamily="34" charset="0"/>
            </a:rPr>
            <a:t>• Pepe Garcia Garcia: 1,0	</a:t>
          </a:r>
        </a:p>
        <a:p>
          <a:pPr marL="0" indent="0">
            <a:tabLst>
              <a:tab pos="2476500" algn="l"/>
            </a:tabLst>
          </a:pPr>
          <a:r>
            <a:rPr lang="es-ES" sz="850">
              <a:latin typeface="Calibri" panose="020F0502020204030204" pitchFamily="34" charset="0"/>
            </a:rPr>
            <a:t>• Pepe Garcia Garcia: 1,0	</a:t>
          </a:r>
          <a:r>
            <a:rPr lang="es-ES" sz="850" b="1">
              <a:latin typeface="Calibri" panose="020F0502020204030204" pitchFamily="34" charset="0"/>
            </a:rPr>
            <a:t>[GRUPO 3]</a:t>
          </a:r>
        </a:p>
        <a:p>
          <a:pPr marL="0" indent="0">
            <a:tabLst>
              <a:tab pos="2476500" algn="l"/>
            </a:tabLst>
          </a:pPr>
          <a:r>
            <a:rPr lang="es-ES" sz="850">
              <a:latin typeface="Calibri" panose="020F0502020204030204" pitchFamily="34" charset="0"/>
            </a:rPr>
            <a:t>	• Pepe Garcia Garcia: 0,0</a:t>
          </a:r>
        </a:p>
        <a:p>
          <a:pPr marL="0" indent="0">
            <a:tabLst>
              <a:tab pos="2476500" algn="l"/>
            </a:tabLst>
          </a:pPr>
          <a:r>
            <a:rPr lang="es-ES" sz="850" b="1">
              <a:latin typeface="Calibri" panose="020F0502020204030204" pitchFamily="34" charset="0"/>
            </a:rPr>
            <a:t>[GRUPO 4]</a:t>
          </a:r>
          <a:r>
            <a:rPr lang="es-ES" sz="850">
              <a:latin typeface="Calibri" panose="020F0502020204030204" pitchFamily="34" charset="0"/>
            </a:rPr>
            <a:t>	</a:t>
          </a:r>
        </a:p>
        <a:p>
          <a:pPr marL="0" indent="0">
            <a:tabLst>
              <a:tab pos="2476500" algn="l"/>
            </a:tabLst>
          </a:pPr>
          <a:r>
            <a:rPr lang="es-ES" sz="850">
              <a:latin typeface="Calibri" panose="020F0502020204030204" pitchFamily="34" charset="0"/>
            </a:rPr>
            <a:t>• Pepe Garcia Garcia: 0,8	</a:t>
          </a:r>
          <a:r>
            <a:rPr lang="es-ES" sz="850" b="1">
              <a:latin typeface="Calibri" panose="020F0502020204030204" pitchFamily="34" charset="0"/>
            </a:rPr>
            <a:t>[GRUPO 5]</a:t>
          </a:r>
        </a:p>
        <a:p>
          <a:pPr marL="0" indent="0">
            <a:tabLst>
              <a:tab pos="2476500" algn="l"/>
            </a:tabLst>
          </a:pPr>
          <a:r>
            <a:rPr lang="es-ES" sz="850">
              <a:latin typeface="Calibri" panose="020F0502020204030204" pitchFamily="34" charset="0"/>
            </a:rPr>
            <a:t>• Pepe Garcia Garcia: 1,0	• Pepe Garcia Garcia: 2,5</a:t>
          </a:r>
        </a:p>
        <a:p>
          <a:pPr marL="0" indent="0">
            <a:tabLst>
              <a:tab pos="2476500" algn="l"/>
            </a:tabLst>
          </a:pPr>
          <a:r>
            <a:rPr lang="es-ES" sz="850">
              <a:latin typeface="Calibri" panose="020F0502020204030204" pitchFamily="34" charset="0"/>
            </a:rPr>
            <a:t>	• Pepe Garcia Garcia: 1,5</a:t>
          </a:r>
        </a:p>
        <a:p>
          <a:pPr marL="0" indent="0">
            <a:tabLst>
              <a:tab pos="2476500" algn="l"/>
            </a:tabLst>
          </a:pPr>
          <a:r>
            <a:rPr lang="es-ES" sz="850" b="1">
              <a:latin typeface="Calibri" panose="020F0502020204030204" pitchFamily="34" charset="0"/>
            </a:rPr>
            <a:t>[GRUPO 6]</a:t>
          </a:r>
          <a:r>
            <a:rPr lang="es-ES" sz="850">
              <a:latin typeface="Calibri" panose="020F0502020204030204" pitchFamily="34" charset="0"/>
            </a:rPr>
            <a:t>	</a:t>
          </a:r>
        </a:p>
        <a:p>
          <a:pPr marL="0" indent="0">
            <a:tabLst>
              <a:tab pos="2476500" algn="l"/>
            </a:tabLst>
          </a:pPr>
          <a:r>
            <a:rPr lang="es-ES" sz="850">
              <a:latin typeface="Calibri" panose="020F0502020204030204" pitchFamily="34" charset="0"/>
            </a:rPr>
            <a:t>• Pepe Garcia Garcia: 2,0	</a:t>
          </a:r>
          <a:r>
            <a:rPr lang="es-ES" sz="850" b="1">
              <a:latin typeface="Calibri" panose="020F0502020204030204" pitchFamily="34" charset="0"/>
            </a:rPr>
            <a:t>[IM GRUPO 1]</a:t>
          </a:r>
        </a:p>
        <a:p>
          <a:pPr marL="0" indent="0">
            <a:tabLst>
              <a:tab pos="2476500" algn="l"/>
            </a:tabLst>
          </a:pPr>
          <a:r>
            <a:rPr lang="es-ES" sz="850">
              <a:latin typeface="Calibri" panose="020F0502020204030204" pitchFamily="34" charset="0"/>
            </a:rPr>
            <a:t>• Pepe Garcia Garcia: 0,9	• Pepe Garcia Garcia: 1,3</a:t>
          </a:r>
        </a:p>
        <a:p>
          <a:pPr marL="0" indent="0">
            <a:tabLst>
              <a:tab pos="2476500" algn="l"/>
            </a:tabLst>
          </a:pPr>
          <a:r>
            <a:rPr lang="es-ES" sz="850">
              <a:latin typeface="Calibri" panose="020F0502020204030204" pitchFamily="34" charset="0"/>
            </a:rPr>
            <a:t>	• Pepe Garcia Garcia: 2,5</a:t>
          </a:r>
        </a:p>
        <a:p>
          <a:pPr marL="0" indent="0">
            <a:tabLst>
              <a:tab pos="2476500" algn="l"/>
            </a:tabLst>
          </a:pPr>
          <a:r>
            <a:rPr lang="es-ES" sz="850" b="1">
              <a:latin typeface="Calibri" panose="020F0502020204030204" pitchFamily="34" charset="0"/>
            </a:rPr>
            <a:t>[IM GRUPO 2]</a:t>
          </a:r>
          <a:r>
            <a:rPr lang="es-ES" sz="850">
              <a:latin typeface="Calibri" panose="020F0502020204030204" pitchFamily="34" charset="0"/>
            </a:rPr>
            <a:t>	• Pepe Garcia Garcia: 2,8</a:t>
          </a:r>
        </a:p>
        <a:p>
          <a:pPr marL="0" indent="0">
            <a:tabLst>
              <a:tab pos="2476500" algn="l"/>
            </a:tabLst>
          </a:pPr>
          <a:r>
            <a:rPr lang="es-ES" sz="850">
              <a:latin typeface="Calibri" panose="020F0502020204030204" pitchFamily="34" charset="0"/>
            </a:rPr>
            <a:t>• Pepe Garcia Garcia: 0,7	</a:t>
          </a:r>
        </a:p>
        <a:p>
          <a:pPr marL="0" indent="0">
            <a:tabLst>
              <a:tab pos="2476500" algn="l"/>
            </a:tabLst>
          </a:pPr>
          <a:r>
            <a:rPr lang="es-ES" sz="850">
              <a:latin typeface="Calibri" panose="020F0502020204030204" pitchFamily="34" charset="0"/>
            </a:rPr>
            <a:t>• Pepe Garcia Garcia: 0,9	</a:t>
          </a:r>
        </a:p>
        <a:p>
          <a:pPr marL="0" indent="0">
            <a:tabLst>
              <a:tab pos="2476500" algn="l"/>
            </a:tabLst>
          </a:pPr>
          <a:r>
            <a:rPr lang="es-ES" sz="850">
              <a:latin typeface="Calibri" panose="020F0502020204030204" pitchFamily="34" charset="0"/>
            </a:rPr>
            <a:t>• Pepe Garcia Garcia: 0,3</a:t>
          </a:r>
        </a:p>
        <a:p>
          <a:pPr marL="0" indent="0">
            <a:tabLst>
              <a:tab pos="2476500" algn="l"/>
            </a:tabLst>
          </a:pPr>
          <a:endParaRPr lang="es-ES" sz="850">
            <a:latin typeface="Calibri" panose="020F0502020204030204" pitchFamily="34" charset="0"/>
          </a:endParaRPr>
        </a:p>
        <a:p>
          <a:pPr marL="0" indent="0">
            <a:tabLst>
              <a:tab pos="2476500" algn="l"/>
            </a:tabLst>
          </a:pPr>
          <a:endParaRPr lang="es-ES" sz="850">
            <a:latin typeface="Calibri" panose="020F0502020204030204" pitchFamily="34" charset="0"/>
          </a:endParaRPr>
        </a:p>
        <a:p>
          <a:pPr marL="0" indent="0">
            <a:tabLst>
              <a:tab pos="2476500" algn="l"/>
            </a:tabLst>
          </a:pPr>
          <a:endParaRPr lang="es-ES" sz="850">
            <a:latin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13</xdr:col>
          <xdr:colOff>0</xdr:colOff>
          <xdr:row>2</xdr:row>
          <xdr:rowOff>0</xdr:rowOff>
        </xdr:to>
        <xdr:sp macro="" textlink="">
          <xdr:nvSpPr>
            <xdr:cNvPr id="293889" name="btnExportarPDF" hidden="1">
              <a:extLst>
                <a:ext uri="{63B3BB69-23CF-44E3-9099-C40C66FF867C}">
                  <a14:compatExt spid="_x0000_s293889"/>
                </a:ext>
                <a:ext uri="{FF2B5EF4-FFF2-40B4-BE49-F238E27FC236}">
                  <a16:creationId xmlns:a16="http://schemas.microsoft.com/office/drawing/2014/main" id="{E76A0E35-16E7-9F5D-36A3-F7584B8862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EXPORTAR INFORME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0</xdr:rowOff>
        </xdr:from>
        <xdr:to>
          <xdr:col>17</xdr:col>
          <xdr:colOff>0</xdr:colOff>
          <xdr:row>2</xdr:row>
          <xdr:rowOff>0</xdr:rowOff>
        </xdr:to>
        <xdr:sp macro="" textlink="">
          <xdr:nvSpPr>
            <xdr:cNvPr id="293890" name="BtnVerDatos" hidden="1">
              <a:extLst>
                <a:ext uri="{63B3BB69-23CF-44E3-9099-C40C66FF867C}">
                  <a14:compatExt spid="_x0000_s293890"/>
                </a:ext>
                <a:ext uri="{FF2B5EF4-FFF2-40B4-BE49-F238E27FC236}">
                  <a16:creationId xmlns:a16="http://schemas.microsoft.com/office/drawing/2014/main" id="{6AEE0267-73DF-2F12-7B40-02F02CBAA5B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MOSTRAR LISTADO ALUMNOS Y CALIFICACIONES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21</xdr:col>
          <xdr:colOff>0</xdr:colOff>
          <xdr:row>2</xdr:row>
          <xdr:rowOff>0</xdr:rowOff>
        </xdr:to>
        <xdr:sp macro="" textlink="">
          <xdr:nvSpPr>
            <xdr:cNvPr id="293891" name="btnInformTXT" hidden="1">
              <a:extLst>
                <a:ext uri="{63B3BB69-23CF-44E3-9099-C40C66FF867C}">
                  <a14:compatExt spid="_x0000_s293891"/>
                </a:ext>
                <a:ext uri="{FF2B5EF4-FFF2-40B4-BE49-F238E27FC236}">
                  <a16:creationId xmlns:a16="http://schemas.microsoft.com/office/drawing/2014/main" id="{167F1B54-0FA6-91B4-33EE-694F8854D5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GENERAR INFORME DE TEXTO</a:t>
              </a:r>
            </a:p>
          </xdr:txBody>
        </xdr:sp>
        <xdr:clientData fPrintsWithSheet="0"/>
      </xdr:twoCellAnchor>
    </mc:Choice>
    <mc:Fallback/>
  </mc:AlternateContent>
  <xdr:twoCellAnchor>
    <xdr:from>
      <xdr:col>7</xdr:col>
      <xdr:colOff>0</xdr:colOff>
      <xdr:row>3</xdr:row>
      <xdr:rowOff>0</xdr:rowOff>
    </xdr:from>
    <xdr:to>
      <xdr:col>21</xdr:col>
      <xdr:colOff>127000</xdr:colOff>
      <xdr:row>47</xdr:row>
      <xdr:rowOff>82550</xdr:rowOff>
    </xdr:to>
    <xdr:sp macro="" textlink="">
      <xdr:nvSpPr>
        <xdr:cNvPr id="15" name="CuadroGuia" hidden="1">
          <a:extLst>
            <a:ext uri="{FF2B5EF4-FFF2-40B4-BE49-F238E27FC236}">
              <a16:creationId xmlns:a16="http://schemas.microsoft.com/office/drawing/2014/main" id="{B8AC647D-FBF2-D08F-C5EB-CBEC1EFFF780}"/>
            </a:ext>
          </a:extLst>
        </xdr:cNvPr>
        <xdr:cNvSpPr txBox="1"/>
      </xdr:nvSpPr>
      <xdr:spPr>
        <a:xfrm>
          <a:off x="3810000" y="774700"/>
          <a:ext cx="10795000" cy="10160000"/>
        </a:xfrm>
        <a:prstGeom prst="rect">
          <a:avLst/>
        </a:prstGeom>
        <a:solidFill>
          <a:srgbClr val="FFFFEB"/>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s-ES" sz="1400" b="1" u="sng">
              <a:solidFill>
                <a:srgbClr val="000000"/>
              </a:solidFill>
              <a:latin typeface="Calibri" panose="020F0502020204030204" pitchFamily="34" charset="0"/>
            </a:rPr>
            <a:t>GUÍA RÁPIDA DE ESTADÍSTICA</a:t>
          </a:r>
          <a:r>
            <a:rPr lang="es-ES" sz="1400">
              <a:solidFill>
                <a:srgbClr val="000000"/>
              </a:solidFill>
              <a:latin typeface="Calibri" panose="020F0502020204030204" pitchFamily="34" charset="0"/>
            </a:rPr>
            <a:t>:</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Promedio de notas del grupo.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MEDIANA: El valor central; 50% del grupo está por encima/debajo.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DESVIACIÓN ESTÁNDAR: Indica qué tan dispersas están las notas. Un valor alto significa notas muy variadas; uno bajo, notas similares.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COEFICIENTE DE VARIACIÓN: Medida de dispersión relativa que relaciona la desviación estándar con la media de las calificaciones.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RANGO: Diferencia entre la nota más alta y la más baja.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RANGO INTERCUARTÍLICO: Indica la dispersión de la mitad central de la clase.</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ASIMETRÍA: Indica si la distribución está sesgada. &gt; 0: mayoría notas bajas; &lt; 0: mayoría notas altas.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CURTOSIS: Evalúa la concentración de notas cerca de la media o presencia de extremos: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Alta (Leptocúrtica): Pico pronunciado y colas pesadas. Indica más valores extremos (alumnos muy altos/bajos).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Baja (Platicúrtica): Distribución aplanada, menos valores extremos y más dispersión general.</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 Cercana a 0 (Mesocúrtica): Distribución similar a la normal.</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1º CUARTIL (Q1): Valor que deja por debajo al 25% de los alumnos.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3º CUARTIL (Q3): Valor que deja por debajo al 75% de los alumnos.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PERCENTIL 90%: Nota por encima de la cual solo se encuentra el 10% de la clase.</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ALUMNOS TOP 10%: Identificación del grupo con rendimiento de excelencia.</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OUTLIERS: Valores atípicos (notas inusualmente altas o bajas) que se alejan del promedio.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Nº APROBADOS: Cantidad total de alumnos con calificación &gt;= 5.</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PORCENTAJE APROBADOS: Proporción de éxito sobre el total de alumnos presentados.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GRAVEDAD SUSPENSOS: Análisis de qué tan lejos se quedaron los suspensos del aprobado (5).</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INTERVALO DE CONFIANZA: Rango en el que se estima que se encuentra la media real del grupo.</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MEDIA RECORTADA: Promedio calculado eliminando los extremos para evitar distorsiones.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ÍNDICE DE DISCRIMINACIÓN: Capacidad del examen para diferenciar alumnos con altos y bajos conocimientos.</a:t>
          </a:r>
        </a:p>
        <a:p>
          <a:endParaRPr lang="es-ES" sz="1400">
            <a:solidFill>
              <a:srgbClr val="000000"/>
            </a:solidFill>
            <a:latin typeface="Calibri" panose="020F0502020204030204" pitchFamily="34" charset="0"/>
          </a:endParaRPr>
        </a:p>
        <a:p>
          <a:r>
            <a:rPr lang="es-ES" sz="1400">
              <a:solidFill>
                <a:srgbClr val="000000"/>
              </a:solidFill>
              <a:latin typeface="Calibri" panose="020F0502020204030204" pitchFamily="34" charset="0"/>
            </a:rPr>
            <a:t>• ÍNDICE DE DIFICULTAD: : Evalúa la complejidad intrínseca de la prueba. Es la proporción de la nota media alcanzada respecto al máximo posible.</a:t>
          </a:r>
        </a:p>
      </xdr:txBody>
    </xdr:sp>
    <xdr:clientData/>
  </xdr:twoCellAnchor>
  <mc:AlternateContent xmlns:mc="http://schemas.openxmlformats.org/markup-compatibility/2006">
    <mc:Choice xmlns:a14="http://schemas.microsoft.com/office/drawing/2010/main" Requires="a14">
      <xdr:twoCellAnchor>
        <xdr:from>
          <xdr:col>3</xdr:col>
          <xdr:colOff>0</xdr:colOff>
          <xdr:row>2</xdr:row>
          <xdr:rowOff>0</xdr:rowOff>
        </xdr:from>
        <xdr:to>
          <xdr:col>5</xdr:col>
          <xdr:colOff>0</xdr:colOff>
          <xdr:row>3</xdr:row>
          <xdr:rowOff>0</xdr:rowOff>
        </xdr:to>
        <xdr:sp macro="" textlink="">
          <xdr:nvSpPr>
            <xdr:cNvPr id="293892" name="BtnAyudaEst" hidden="1">
              <a:extLst>
                <a:ext uri="{63B3BB69-23CF-44E3-9099-C40C66FF867C}">
                  <a14:compatExt spid="_x0000_s293892"/>
                </a:ext>
                <a:ext uri="{FF2B5EF4-FFF2-40B4-BE49-F238E27FC236}">
                  <a16:creationId xmlns:a16="http://schemas.microsoft.com/office/drawing/2014/main" id="{6DDCA00F-0F39-DE34-843A-9F739FC8ABD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Calibri"/>
                  <a:cs typeface="Calibri"/>
                </a:rPr>
                <a:t>GUÍA ESTADÍSTICA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9</xdr:col>
          <xdr:colOff>0</xdr:colOff>
          <xdr:row>2</xdr:row>
          <xdr:rowOff>0</xdr:rowOff>
        </xdr:to>
        <xdr:sp macro="" textlink="">
          <xdr:nvSpPr>
            <xdr:cNvPr id="293893" name="Button 5" hidden="1">
              <a:extLst>
                <a:ext uri="{63B3BB69-23CF-44E3-9099-C40C66FF867C}">
                  <a14:compatExt spid="_x0000_s293893"/>
                </a:ext>
                <a:ext uri="{FF2B5EF4-FFF2-40B4-BE49-F238E27FC236}">
                  <a16:creationId xmlns:a16="http://schemas.microsoft.com/office/drawing/2014/main" id="{7DD35A50-1902-D5C7-ED06-CA9038A81D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100" b="1" i="0" u="none" strike="noStrike" baseline="0">
                  <a:solidFill>
                    <a:srgbClr val="000000"/>
                  </a:solidFill>
                  <a:latin typeface="Calibri"/>
                  <a:cs typeface="Calibri"/>
                </a:rPr>
                <a:t>ELIMINAR INFORME Y VOLVER</a:t>
              </a:r>
            </a:p>
          </xdr:txBody>
        </xdr:sp>
        <xdr:clientData fPrintsWithSheet="0"/>
      </xdr:twoCellAnchor>
    </mc:Choice>
    <mc:Fallback/>
  </mc:AlternateContent>
  <xdr:twoCellAnchor>
    <xdr:from>
      <xdr:col>34</xdr:col>
      <xdr:colOff>0</xdr:colOff>
      <xdr:row>3</xdr:row>
      <xdr:rowOff>0</xdr:rowOff>
    </xdr:from>
    <xdr:to>
      <xdr:col>43</xdr:col>
      <xdr:colOff>444500</xdr:colOff>
      <xdr:row>40</xdr:row>
      <xdr:rowOff>0</xdr:rowOff>
    </xdr:to>
    <xdr:sp macro="" textlink="">
      <xdr:nvSpPr>
        <xdr:cNvPr id="16" name="ResumenExamen">
          <a:extLst>
            <a:ext uri="{FF2B5EF4-FFF2-40B4-BE49-F238E27FC236}">
              <a16:creationId xmlns:a16="http://schemas.microsoft.com/office/drawing/2014/main" id="{F985E92D-3A88-129E-5A2F-44C6B3BF4792}"/>
            </a:ext>
          </a:extLst>
        </xdr:cNvPr>
        <xdr:cNvSpPr txBox="1"/>
      </xdr:nvSpPr>
      <xdr:spPr>
        <a:xfrm>
          <a:off x="26047700" y="774700"/>
          <a:ext cx="7302500" cy="8483600"/>
        </a:xfrm>
        <a:prstGeom prst="rect">
          <a:avLst/>
        </a:prstGeom>
        <a:solidFill>
          <a:srgbClr val="FFFFFF"/>
        </a:solidFill>
        <a:ln w="38100"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101600" tIns="101600" rIns="101600" bIns="101600" rtlCol="0" anchor="t"/>
        <a:lstStyle/>
        <a:p>
          <a:r>
            <a:rPr lang="es-ES" sz="1400" b="1" u="sng">
              <a:latin typeface="Calibri" panose="020F0502020204030204" pitchFamily="34" charset="0"/>
            </a:rPr>
            <a:t>INFORME PERSONALIZADO EXAMEN</a:t>
          </a:r>
        </a:p>
        <a:p>
          <a:endParaRPr lang="es-ES" sz="1400">
            <a:latin typeface="Calibri" panose="020F0502020204030204" pitchFamily="34" charset="0"/>
          </a:endParaRPr>
        </a:p>
        <a:p>
          <a:r>
            <a:rPr lang="es-ES" sz="1400">
              <a:latin typeface="Calibri" panose="020F0502020204030204" pitchFamily="34" charset="0"/>
            </a:rPr>
            <a:t>El examen </a:t>
          </a:r>
          <a:r>
            <a:rPr lang="es-ES" sz="1400" b="1">
              <a:latin typeface="Calibri" panose="020F0502020204030204" pitchFamily="34" charset="0"/>
            </a:rPr>
            <a:t>ACT COMP (15%)</a:t>
          </a:r>
          <a:r>
            <a:rPr lang="es-ES" sz="1400">
              <a:latin typeface="Calibri" panose="020F0502020204030204" pitchFamily="34" charset="0"/>
            </a:rPr>
            <a:t> ha sido realizado por un total de </a:t>
          </a:r>
          <a:r>
            <a:rPr lang="es-ES" sz="1400" b="1">
              <a:latin typeface="Calibri" panose="020F0502020204030204" pitchFamily="34" charset="0"/>
            </a:rPr>
            <a:t>95 alumnos</a:t>
          </a:r>
          <a:r>
            <a:rPr lang="es-ES" sz="1400">
              <a:latin typeface="Calibri" panose="020F0502020204030204" pitchFamily="34" charset="0"/>
            </a:rPr>
            <a:t> y ha habido </a:t>
          </a:r>
          <a:r>
            <a:rPr lang="es-ES" sz="1400" b="1">
              <a:latin typeface="Calibri" panose="020F0502020204030204" pitchFamily="34" charset="0"/>
            </a:rPr>
            <a:t>1 no presentados (NP)</a:t>
          </a:r>
          <a:r>
            <a:rPr lang="es-ES" sz="1400">
              <a:latin typeface="Calibri" panose="020F0502020204030204" pitchFamily="34" charset="0"/>
            </a:rPr>
            <a:t>, </a:t>
          </a:r>
          <a:r>
            <a:rPr lang="es-ES" sz="1400" b="1">
              <a:latin typeface="Calibri" panose="020F0502020204030204" pitchFamily="34" charset="0"/>
            </a:rPr>
            <a:t>1 aprobados en otro curso</a:t>
          </a:r>
          <a:r>
            <a:rPr lang="es-ES" sz="1400">
              <a:latin typeface="Calibri" panose="020F0502020204030204" pitchFamily="34" charset="0"/>
            </a:rPr>
            <a:t> y </a:t>
          </a:r>
          <a:r>
            <a:rPr lang="es-ES" sz="1400" b="1">
              <a:latin typeface="Calibri" panose="020F0502020204030204" pitchFamily="34" charset="0"/>
            </a:rPr>
            <a:t>5 reconocimientos de créditos</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Esta prueba tiene una ponderación del </a:t>
          </a:r>
          <a:r>
            <a:rPr lang="es-ES" sz="1400" b="1">
              <a:latin typeface="Calibri" panose="020F0502020204030204" pitchFamily="34" charset="0"/>
            </a:rPr>
            <a:t>15%</a:t>
          </a:r>
          <a:r>
            <a:rPr lang="es-ES" sz="1400">
              <a:latin typeface="Calibri" panose="020F0502020204030204" pitchFamily="34" charset="0"/>
            </a:rPr>
            <a:t> en la nota final y se ha obtenido una calificación media de </a:t>
          </a:r>
          <a:r>
            <a:rPr lang="es-ES" sz="1400" b="1">
              <a:latin typeface="Calibri" panose="020F0502020204030204" pitchFamily="34" charset="0"/>
            </a:rPr>
            <a:t>5,73</a:t>
          </a:r>
          <a:r>
            <a:rPr lang="es-ES" sz="1400">
              <a:latin typeface="Calibri" panose="020F0502020204030204" pitchFamily="34" charset="0"/>
            </a:rPr>
            <a:t> (DT = </a:t>
          </a:r>
          <a:r>
            <a:rPr lang="es-ES" sz="1400" b="1">
              <a:latin typeface="Calibri" panose="020F0502020204030204" pitchFamily="34" charset="0"/>
            </a:rPr>
            <a:t>2,72</a:t>
          </a:r>
          <a:r>
            <a:rPr lang="es-ES" sz="1400">
              <a:latin typeface="Calibri" panose="020F0502020204030204" pitchFamily="34" charset="0"/>
            </a:rPr>
            <a:t>; CV = </a:t>
          </a:r>
          <a:r>
            <a:rPr lang="es-ES" sz="1400" b="1">
              <a:latin typeface="Calibri" panose="020F0502020204030204" pitchFamily="34" charset="0"/>
            </a:rPr>
            <a:t>0,47</a:t>
          </a:r>
          <a:r>
            <a:rPr lang="es-ES" sz="1400">
              <a:latin typeface="Calibri" panose="020F0502020204030204" pitchFamily="34" charset="0"/>
            </a:rPr>
            <a:t>), con un </a:t>
          </a:r>
          <a:r>
            <a:rPr lang="es-ES" sz="1400" b="1">
              <a:latin typeface="Calibri" panose="020F0502020204030204" pitchFamily="34" charset="0"/>
            </a:rPr>
            <a:t>69% de aprobados</a:t>
          </a:r>
          <a:r>
            <a:rPr lang="es-ES" sz="1400">
              <a:latin typeface="Calibri" panose="020F0502020204030204" pitchFamily="34" charset="0"/>
            </a:rPr>
            <a:t> y </a:t>
          </a:r>
          <a:r>
            <a:rPr lang="es-ES" sz="1400" b="1">
              <a:latin typeface="Calibri" panose="020F0502020204030204" pitchFamily="34" charset="0"/>
            </a:rPr>
            <a:t>30 alumnos suspensos</a:t>
          </a:r>
          <a:r>
            <a:rPr lang="es-ES" sz="1400">
              <a:latin typeface="Calibri" panose="020F0502020204030204" pitchFamily="34" charset="0"/>
            </a:rPr>
            <a:t>, cuya media es </a:t>
          </a:r>
          <a:r>
            <a:rPr lang="es-ES" sz="1400" b="1">
              <a:latin typeface="Calibri" panose="020F0502020204030204" pitchFamily="34" charset="0"/>
            </a:rPr>
            <a:t>2,29</a:t>
          </a:r>
          <a:r>
            <a:rPr lang="es-ES" sz="1400">
              <a:latin typeface="Calibri" panose="020F0502020204030204" pitchFamily="34" charset="0"/>
            </a:rPr>
            <a:t>. El coeficiente de variación sugiere un grupo </a:t>
          </a:r>
          <a:r>
            <a:rPr lang="es-ES" sz="1400" b="1">
              <a:latin typeface="Calibri" panose="020F0502020204030204" pitchFamily="34" charset="0"/>
            </a:rPr>
            <a:t>heterogéneo, complicando una progresión uniforme</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La mediana se sitúa en </a:t>
          </a:r>
          <a:r>
            <a:rPr lang="es-ES" sz="1400" b="1">
              <a:latin typeface="Calibri" panose="020F0502020204030204" pitchFamily="34" charset="0"/>
            </a:rPr>
            <a:t>6,25</a:t>
          </a:r>
          <a:r>
            <a:rPr lang="es-ES" sz="1400">
              <a:latin typeface="Calibri" panose="020F0502020204030204" pitchFamily="34" charset="0"/>
            </a:rPr>
            <a:t>, encontrándose </a:t>
          </a:r>
          <a:r>
            <a:rPr lang="es-ES" sz="1400" b="1">
              <a:latin typeface="Calibri" panose="020F0502020204030204" pitchFamily="34" charset="0"/>
            </a:rPr>
            <a:t>por encima del promedio, sugiriendo una concentración de notas altas</a:t>
          </a:r>
          <a:r>
            <a:rPr lang="es-ES" sz="1400">
              <a:latin typeface="Calibri" panose="020F0502020204030204" pitchFamily="34" charset="0"/>
            </a:rPr>
            <a:t>. </a:t>
          </a:r>
        </a:p>
        <a:p>
          <a:endParaRPr lang="es-ES" sz="1400">
            <a:latin typeface="Calibri" panose="020F0502020204030204" pitchFamily="34" charset="0"/>
          </a:endParaRPr>
        </a:p>
        <a:p>
          <a:r>
            <a:rPr lang="es-ES" sz="1400">
              <a:latin typeface="Calibri" panose="020F0502020204030204" pitchFamily="34" charset="0"/>
            </a:rPr>
            <a:t>La nota mínima obtenida es </a:t>
          </a:r>
          <a:r>
            <a:rPr lang="es-ES" sz="1400" b="1">
              <a:latin typeface="Calibri" panose="020F0502020204030204" pitchFamily="34" charset="0"/>
            </a:rPr>
            <a:t>0</a:t>
          </a:r>
          <a:r>
            <a:rPr lang="es-ES" sz="1400">
              <a:latin typeface="Calibri" panose="020F0502020204030204" pitchFamily="34" charset="0"/>
            </a:rPr>
            <a:t>, lograda por </a:t>
          </a:r>
          <a:r>
            <a:rPr lang="es-ES" sz="1400" b="1">
              <a:latin typeface="Calibri" panose="020F0502020204030204" pitchFamily="34" charset="0"/>
            </a:rPr>
            <a:t>Pepe Garcia Garcia</a:t>
          </a:r>
          <a:r>
            <a:rPr lang="es-ES" sz="1400">
              <a:latin typeface="Calibri" panose="020F0502020204030204" pitchFamily="34" charset="0"/>
            </a:rPr>
            <a:t>, y la máxima es </a:t>
          </a:r>
          <a:r>
            <a:rPr lang="es-ES" sz="1400" b="1">
              <a:latin typeface="Calibri" panose="020F0502020204030204" pitchFamily="34" charset="0"/>
            </a:rPr>
            <a:t>10</a:t>
          </a:r>
          <a:r>
            <a:rPr lang="es-ES" sz="1400">
              <a:latin typeface="Calibri" panose="020F0502020204030204" pitchFamily="34" charset="0"/>
            </a:rPr>
            <a:t>, obtenida por </a:t>
          </a:r>
          <a:r>
            <a:rPr lang="es-ES" sz="1400" b="1">
              <a:latin typeface="Calibri" panose="020F0502020204030204" pitchFamily="34" charset="0"/>
            </a:rPr>
            <a:t>Pepe Garcia Garcia</a:t>
          </a:r>
          <a:r>
            <a:rPr lang="es-ES" sz="1400">
              <a:latin typeface="Calibri" panose="020F0502020204030204" pitchFamily="34" charset="0"/>
            </a:rPr>
            <a:t>. El 50% central del alumnado se sitúa entre </a:t>
          </a:r>
          <a:r>
            <a:rPr lang="es-ES" sz="1400" b="1">
              <a:latin typeface="Calibri" panose="020F0502020204030204" pitchFamily="34" charset="0"/>
            </a:rPr>
            <a:t>3,5 (Q1)</a:t>
          </a:r>
          <a:r>
            <a:rPr lang="es-ES" sz="1400">
              <a:latin typeface="Calibri" panose="020F0502020204030204" pitchFamily="34" charset="0"/>
            </a:rPr>
            <a:t> y </a:t>
          </a:r>
          <a:r>
            <a:rPr lang="es-ES" sz="1400" b="1">
              <a:latin typeface="Calibri" panose="020F0502020204030204" pitchFamily="34" charset="0"/>
            </a:rPr>
            <a:t>7,9 (Q3)</a:t>
          </a:r>
          <a:r>
            <a:rPr lang="es-ES" sz="1400">
              <a:latin typeface="Calibri" panose="020F0502020204030204" pitchFamily="34" charset="0"/>
            </a:rPr>
            <a:t>, con un rango intercuartílico de </a:t>
          </a:r>
          <a:r>
            <a:rPr lang="es-ES" sz="1400" b="1">
              <a:latin typeface="Calibri" panose="020F0502020204030204" pitchFamily="34" charset="0"/>
            </a:rPr>
            <a:t>4,40</a:t>
          </a:r>
          <a:r>
            <a:rPr lang="es-ES" sz="1400">
              <a:latin typeface="Calibri" panose="020F0502020204030204" pitchFamily="34" charset="0"/>
            </a:rPr>
            <a:t>, lo que indica un nivel de distribución </a:t>
          </a:r>
          <a:r>
            <a:rPr lang="es-ES" sz="1400" b="1">
              <a:latin typeface="Calibri" panose="020F0502020204030204" pitchFamily="34" charset="0"/>
            </a:rPr>
            <a:t>alto</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El percentil 10 se sitúa en </a:t>
          </a:r>
          <a:r>
            <a:rPr lang="es-ES" sz="1400" b="1">
              <a:latin typeface="Calibri" panose="020F0502020204030204" pitchFamily="34" charset="0"/>
            </a:rPr>
            <a:t>1,10</a:t>
          </a:r>
          <a:r>
            <a:rPr lang="es-ES" sz="1400">
              <a:latin typeface="Calibri" panose="020F0502020204030204" pitchFamily="34" charset="0"/>
            </a:rPr>
            <a:t> y el percentil 90 en </a:t>
          </a:r>
          <a:r>
            <a:rPr lang="es-ES" sz="1400" b="1">
              <a:latin typeface="Calibri" panose="020F0502020204030204" pitchFamily="34" charset="0"/>
            </a:rPr>
            <a:t>9,00</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La media recortada es </a:t>
          </a:r>
          <a:r>
            <a:rPr lang="es-ES" sz="1400" b="1">
              <a:latin typeface="Calibri" panose="020F0502020204030204" pitchFamily="34" charset="0"/>
            </a:rPr>
            <a:t>5,78</a:t>
          </a:r>
          <a:r>
            <a:rPr lang="es-ES" sz="1400">
              <a:latin typeface="Calibri" panose="020F0502020204030204" pitchFamily="34" charset="0"/>
            </a:rPr>
            <a:t>, siendo </a:t>
          </a:r>
          <a:r>
            <a:rPr lang="es-ES" sz="1400" b="1">
              <a:latin typeface="Calibri" panose="020F0502020204030204" pitchFamily="34" charset="0"/>
            </a:rPr>
            <a:t>mayor</a:t>
          </a:r>
          <a:r>
            <a:rPr lang="es-ES" sz="1400">
              <a:latin typeface="Calibri" panose="020F0502020204030204" pitchFamily="34" charset="0"/>
            </a:rPr>
            <a:t> que la media, lo que indica que </a:t>
          </a:r>
          <a:r>
            <a:rPr lang="es-ES" sz="1400" b="1">
              <a:latin typeface="Calibri" panose="020F0502020204030204" pitchFamily="34" charset="0"/>
            </a:rPr>
            <a:t>existen</a:t>
          </a:r>
          <a:r>
            <a:rPr lang="es-ES" sz="1400">
              <a:latin typeface="Calibri" panose="020F0502020204030204" pitchFamily="34" charset="0"/>
            </a:rPr>
            <a:t> valores atípicos relevantes.</a:t>
          </a:r>
        </a:p>
        <a:p>
          <a:endParaRPr lang="es-ES" sz="1400">
            <a:latin typeface="Calibri" panose="020F0502020204030204" pitchFamily="34" charset="0"/>
          </a:endParaRPr>
        </a:p>
        <a:p>
          <a:r>
            <a:rPr lang="es-ES" sz="1400">
              <a:latin typeface="Calibri" panose="020F0502020204030204" pitchFamily="34" charset="0"/>
            </a:rPr>
            <a:t>La asimetría es de </a:t>
          </a:r>
          <a:r>
            <a:rPr lang="es-ES" sz="1400" b="1">
              <a:latin typeface="Calibri" panose="020F0502020204030204" pitchFamily="34" charset="0"/>
            </a:rPr>
            <a:t>-0,47</a:t>
          </a:r>
          <a:r>
            <a:rPr lang="es-ES" sz="1400">
              <a:latin typeface="Calibri" panose="020F0502020204030204" pitchFamily="34" charset="0"/>
            </a:rPr>
            <a:t>, lo que quiere decir que hay una </a:t>
          </a:r>
          <a:r>
            <a:rPr lang="es-ES" sz="1400" b="1">
              <a:latin typeface="Calibri" panose="020F0502020204030204" pitchFamily="34" charset="0"/>
            </a:rPr>
            <a:t>leve asimetría negativa</a:t>
          </a:r>
          <a:r>
            <a:rPr lang="es-ES" sz="1400">
              <a:latin typeface="Calibri" panose="020F0502020204030204" pitchFamily="34" charset="0"/>
            </a:rPr>
            <a:t>: cola ligera hacia notas bajas.</a:t>
          </a:r>
        </a:p>
        <a:p>
          <a:endParaRPr lang="es-ES" sz="1400">
            <a:latin typeface="Calibri" panose="020F0502020204030204" pitchFamily="34" charset="0"/>
          </a:endParaRPr>
        </a:p>
        <a:p>
          <a:r>
            <a:rPr lang="es-ES" sz="1400">
              <a:latin typeface="Calibri" panose="020F0502020204030204" pitchFamily="34" charset="0"/>
            </a:rPr>
            <a:t>La curtosis es de </a:t>
          </a:r>
          <a:r>
            <a:rPr lang="es-ES" sz="1400" b="1">
              <a:latin typeface="Calibri" panose="020F0502020204030204" pitchFamily="34" charset="0"/>
            </a:rPr>
            <a:t>-0,79</a:t>
          </a:r>
          <a:r>
            <a:rPr lang="es-ES" sz="1400">
              <a:latin typeface="Calibri" panose="020F0502020204030204" pitchFamily="34" charset="0"/>
            </a:rPr>
            <a:t>, lo que quiere decir que la distribución es </a:t>
          </a:r>
          <a:r>
            <a:rPr lang="es-ES" sz="1400" b="1">
              <a:latin typeface="Calibri" panose="020F0502020204030204" pitchFamily="34" charset="0"/>
            </a:rPr>
            <a:t>platicúrtica</a:t>
          </a:r>
          <a:r>
            <a:rPr lang="es-ES" sz="1400">
              <a:latin typeface="Calibri" panose="020F0502020204030204" pitchFamily="34" charset="0"/>
            </a:rPr>
            <a:t>: ligeramente aplanada y con menos valores extremos.</a:t>
          </a:r>
        </a:p>
        <a:p>
          <a:endParaRPr lang="es-ES" sz="1400">
            <a:latin typeface="Calibri" panose="020F0502020204030204" pitchFamily="34" charset="0"/>
          </a:endParaRPr>
        </a:p>
        <a:p>
          <a:r>
            <a:rPr lang="es-ES" sz="1400">
              <a:latin typeface="Calibri" panose="020F0502020204030204" pitchFamily="34" charset="0"/>
            </a:rPr>
            <a:t>El examen presenta un índice de dificultad de </a:t>
          </a:r>
          <a:r>
            <a:rPr lang="es-ES" sz="1400" b="1">
              <a:latin typeface="Calibri" panose="020F0502020204030204" pitchFamily="34" charset="0"/>
            </a:rPr>
            <a:t>0,57</a:t>
          </a:r>
          <a:r>
            <a:rPr lang="es-ES" sz="1400">
              <a:latin typeface="Calibri" panose="020F0502020204030204" pitchFamily="34" charset="0"/>
            </a:rPr>
            <a:t> (</a:t>
          </a:r>
          <a:r>
            <a:rPr lang="es-ES" sz="1400" b="1">
              <a:latin typeface="Calibri" panose="020F0502020204030204" pitchFamily="34" charset="0"/>
            </a:rPr>
            <a:t>normal</a:t>
          </a:r>
          <a:r>
            <a:rPr lang="es-ES" sz="1400">
              <a:latin typeface="Calibri" panose="020F0502020204030204" pitchFamily="34" charset="0"/>
            </a:rPr>
            <a:t>) y un índice de discriminación de </a:t>
          </a:r>
          <a:r>
            <a:rPr lang="es-ES" sz="1400" b="1">
              <a:latin typeface="Calibri" panose="020F0502020204030204" pitchFamily="34" charset="0"/>
            </a:rPr>
            <a:t>0,69</a:t>
          </a:r>
          <a:r>
            <a:rPr lang="es-ES" sz="1400">
              <a:latin typeface="Calibri" panose="020F0502020204030204" pitchFamily="34" charset="0"/>
            </a:rPr>
            <a:t>, lo que sugiere que la prueba ha discriminado </a:t>
          </a:r>
          <a:r>
            <a:rPr lang="es-ES" sz="1400" b="1">
              <a:latin typeface="Calibri" panose="020F0502020204030204" pitchFamily="34" charset="0"/>
            </a:rPr>
            <a:t>mucho</a:t>
          </a:r>
          <a:r>
            <a:rPr lang="es-ES" sz="1400">
              <a:latin typeface="Calibri" panose="020F0502020204030204" pitchFamily="34" charset="0"/>
            </a:rPr>
            <a:t> entre alumnado de alto y bajo rendimiento.</a:t>
          </a:r>
        </a:p>
        <a:p>
          <a:endParaRPr lang="es-ES" sz="1400">
            <a:latin typeface="Calibri" panose="020F0502020204030204" pitchFamily="34" charset="0"/>
          </a:endParaRPr>
        </a:p>
        <a:p>
          <a:r>
            <a:rPr lang="es-ES" sz="1400">
              <a:latin typeface="Calibri" panose="020F0502020204030204" pitchFamily="34" charset="0"/>
            </a:rPr>
            <a:t>Existen </a:t>
          </a:r>
          <a:r>
            <a:rPr lang="es-ES" sz="1400" b="1">
              <a:latin typeface="Calibri" panose="020F0502020204030204" pitchFamily="34" charset="0"/>
            </a:rPr>
            <a:t>19 alumnos con calificación inferior a 3.0</a:t>
          </a:r>
          <a:r>
            <a:rPr lang="es-ES" sz="1400">
              <a:latin typeface="Calibri" panose="020F0502020204030204" pitchFamily="34" charset="0"/>
            </a:rPr>
            <a:t>, considerados en </a:t>
          </a:r>
          <a:r>
            <a:rPr lang="es-ES" sz="1400" b="1">
              <a:latin typeface="Calibri" panose="020F0502020204030204" pitchFamily="34" charset="0"/>
            </a:rPr>
            <a:t>riesgo académico</a:t>
          </a:r>
          <a:r>
            <a:rPr lang="es-ES" sz="1400">
              <a:latin typeface="Calibri" panose="020F0502020204030204" pitchFamily="34" charset="0"/>
            </a:rPr>
            <a:t>. Se recomienda analizar su rendimiento individualmente mediante informe específico y valorar un posible </a:t>
          </a:r>
          <a:r>
            <a:rPr lang="es-ES" sz="1400" b="1">
              <a:latin typeface="Calibri" panose="020F0502020204030204" pitchFamily="34" charset="0"/>
            </a:rPr>
            <a:t>plan de acción tutorial</a:t>
          </a:r>
          <a:r>
            <a:rPr lang="es-ES" sz="1400">
              <a:latin typeface="Calibri" panose="020F0502020204030204" pitchFamily="34" charset="0"/>
            </a:rPr>
            <a:t>.</a:t>
          </a:r>
        </a:p>
        <a:p>
          <a:endParaRPr lang="es-ES" sz="1400">
            <a:latin typeface="Calibri" panose="020F0502020204030204" pitchFamily="34" charset="0"/>
          </a:endParaRPr>
        </a:p>
        <a:p>
          <a:r>
            <a:rPr lang="es-ES" sz="1400">
              <a:latin typeface="Calibri" panose="020F0502020204030204" pitchFamily="34" charset="0"/>
            </a:rPr>
            <a:t>En base a los indicadores analizados, la prueba se clasifica como un </a:t>
          </a:r>
          <a:r>
            <a:rPr lang="es-ES" sz="1400" b="1">
              <a:latin typeface="Calibri" panose="020F0502020204030204" pitchFamily="34" charset="0"/>
            </a:rPr>
            <a:t>Campana Equilibrada</a:t>
          </a:r>
          <a:r>
            <a:rPr lang="es-ES" sz="1400">
              <a:latin typeface="Calibri" panose="020F0502020204030204" pitchFamily="34" charset="0"/>
            </a:rPr>
            <a:t>.</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0.12083</cdr:x>
      <cdr:y>0.432</cdr:y>
    </cdr:from>
    <cdr:to>
      <cdr:x>0.49583</cdr:x>
      <cdr:y>0.832</cdr:y>
    </cdr:to>
    <cdr:sp macro="" textlink="">
      <cdr:nvSpPr>
        <cdr:cNvPr id="2" name="CuadroTexto 1">
          <a:extLst xmlns:a="http://schemas.openxmlformats.org/drawingml/2006/main">
            <a:ext uri="{FF2B5EF4-FFF2-40B4-BE49-F238E27FC236}">
              <a16:creationId xmlns:a16="http://schemas.microsoft.com/office/drawing/2014/main" id="{6D086A5C-F384-DD8E-0D50-8D26BA1F7454}"/>
            </a:ext>
          </a:extLst>
        </cdr:cNvPr>
        <cdr:cNvSpPr txBox="1"/>
      </cdr:nvSpPr>
      <cdr:spPr>
        <a:xfrm xmlns:a="http://schemas.openxmlformats.org/drawingml/2006/main">
          <a:off x="368300" y="685800"/>
          <a:ext cx="1143000" cy="635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400" b="1" kern="1200">
              <a:solidFill>
                <a:srgbClr val="ED7D31"/>
              </a:solidFill>
            </a:rPr>
            <a:t>68%</a:t>
          </a:r>
        </a:p>
      </cdr:txBody>
    </cdr:sp>
  </cdr:relSizeAnchor>
  <cdr:relSizeAnchor xmlns:cdr="http://schemas.openxmlformats.org/drawingml/2006/chartDrawing">
    <cdr:from>
      <cdr:x>0.5</cdr:x>
      <cdr:y>0.28</cdr:y>
    </cdr:from>
    <cdr:to>
      <cdr:x>1</cdr:x>
      <cdr:y>1</cdr:y>
    </cdr:to>
    <cdr:sp macro="" textlink="">
      <cdr:nvSpPr>
        <cdr:cNvPr id="3" name="CuadroTexto 2">
          <a:extLst xmlns:a="http://schemas.openxmlformats.org/drawingml/2006/main">
            <a:ext uri="{FF2B5EF4-FFF2-40B4-BE49-F238E27FC236}">
              <a16:creationId xmlns:a16="http://schemas.microsoft.com/office/drawing/2014/main" id="{C2928390-1765-1376-869A-BC1161281E73}"/>
            </a:ext>
          </a:extLst>
        </cdr:cNvPr>
        <cdr:cNvSpPr txBox="1"/>
      </cdr:nvSpPr>
      <cdr:spPr>
        <a:xfrm xmlns:a="http://schemas.openxmlformats.org/drawingml/2006/main">
          <a:off x="1574800" y="812800"/>
          <a:ext cx="1524000" cy="1143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000" b="1" kern="1200">
              <a:solidFill>
                <a:srgbClr val="000000"/>
              </a:solidFill>
            </a:rPr>
            <a:t>Porcentaje</a:t>
          </a:r>
        </a:p>
        <a:p xmlns:a="http://schemas.openxmlformats.org/drawingml/2006/main">
          <a:pPr algn="ctr"/>
          <a:r>
            <a:rPr lang="es-ES" sz="2000" b="1" kern="1200">
              <a:solidFill>
                <a:srgbClr val="000000"/>
              </a:solidFill>
            </a:rPr>
            <a:t>Aprobados</a:t>
          </a:r>
        </a:p>
      </cdr:txBody>
    </cdr:sp>
  </cdr:relSizeAnchor>
</c:userShapes>
</file>

<file path=xl/drawings/drawing12.xml><?xml version="1.0" encoding="utf-8"?>
<c:userShapes xmlns:c="http://schemas.openxmlformats.org/drawingml/2006/chart">
  <cdr:relSizeAnchor xmlns:cdr="http://schemas.openxmlformats.org/drawingml/2006/chartDrawing">
    <cdr:from>
      <cdr:x>0.12083</cdr:x>
      <cdr:y>0.432</cdr:y>
    </cdr:from>
    <cdr:to>
      <cdr:x>0.49583</cdr:x>
      <cdr:y>0.832</cdr:y>
    </cdr:to>
    <cdr:sp macro="" textlink="">
      <cdr:nvSpPr>
        <cdr:cNvPr id="2" name="CuadroTexto 1">
          <a:extLst xmlns:a="http://schemas.openxmlformats.org/drawingml/2006/main">
            <a:ext uri="{FF2B5EF4-FFF2-40B4-BE49-F238E27FC236}">
              <a16:creationId xmlns:a16="http://schemas.microsoft.com/office/drawing/2014/main" id="{66523E64-09FD-DE56-6BD0-4E77C8DA800F}"/>
            </a:ext>
          </a:extLst>
        </cdr:cNvPr>
        <cdr:cNvSpPr txBox="1"/>
      </cdr:nvSpPr>
      <cdr:spPr>
        <a:xfrm xmlns:a="http://schemas.openxmlformats.org/drawingml/2006/main">
          <a:off x="368300" y="685800"/>
          <a:ext cx="1143000" cy="635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400" b="1" kern="1200">
              <a:solidFill>
                <a:srgbClr val="ED7D31"/>
              </a:solidFill>
            </a:rPr>
            <a:t>2,29</a:t>
          </a:r>
        </a:p>
      </cdr:txBody>
    </cdr:sp>
  </cdr:relSizeAnchor>
  <cdr:relSizeAnchor xmlns:cdr="http://schemas.openxmlformats.org/drawingml/2006/chartDrawing">
    <cdr:from>
      <cdr:x>0.5</cdr:x>
      <cdr:y>0.28</cdr:y>
    </cdr:from>
    <cdr:to>
      <cdr:x>1</cdr:x>
      <cdr:y>1</cdr:y>
    </cdr:to>
    <cdr:sp macro="" textlink="">
      <cdr:nvSpPr>
        <cdr:cNvPr id="3" name="CuadroTexto 2">
          <a:extLst xmlns:a="http://schemas.openxmlformats.org/drawingml/2006/main">
            <a:ext uri="{FF2B5EF4-FFF2-40B4-BE49-F238E27FC236}">
              <a16:creationId xmlns:a16="http://schemas.microsoft.com/office/drawing/2014/main" id="{12831646-D969-8F74-1ADC-0662953C3A3F}"/>
            </a:ext>
          </a:extLst>
        </cdr:cNvPr>
        <cdr:cNvSpPr txBox="1"/>
      </cdr:nvSpPr>
      <cdr:spPr>
        <a:xfrm xmlns:a="http://schemas.openxmlformats.org/drawingml/2006/main">
          <a:off x="1574800" y="812800"/>
          <a:ext cx="1524000" cy="1143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es-ES" sz="2000" b="1" kern="1200">
              <a:solidFill>
                <a:srgbClr val="000000"/>
              </a:solidFill>
            </a:rPr>
            <a:t>Media</a:t>
          </a:r>
        </a:p>
        <a:p xmlns:a="http://schemas.openxmlformats.org/drawingml/2006/main">
          <a:pPr algn="ctr"/>
          <a:r>
            <a:rPr lang="es-ES" sz="2000" b="1" kern="1200">
              <a:solidFill>
                <a:srgbClr val="000000"/>
              </a:solidFill>
            </a:rPr>
            <a:t>Suspensos</a:t>
          </a:r>
        </a:p>
      </cdr:txBody>
    </cdr:sp>
  </cdr:relSizeAnchor>
</c:userShapes>
</file>

<file path=xl/drawings/drawing13.xml><?xml version="1.0" encoding="utf-8"?>
<c:userShapes xmlns:c="http://schemas.openxmlformats.org/drawingml/2006/chart">
  <cdr:relSizeAnchor xmlns:cdr="http://schemas.openxmlformats.org/drawingml/2006/chartDrawing">
    <cdr:from>
      <cdr:x>0.00833</cdr:x>
      <cdr:y>0.676</cdr:y>
    </cdr:from>
    <cdr:to>
      <cdr:x>0.16458</cdr:x>
      <cdr:y>0.756</cdr:y>
    </cdr:to>
    <cdr:sp macro="" textlink="">
      <cdr:nvSpPr>
        <cdr:cNvPr id="2" name="CuadroTexto 1">
          <a:extLst xmlns:a="http://schemas.openxmlformats.org/drawingml/2006/main">
            <a:ext uri="{FF2B5EF4-FFF2-40B4-BE49-F238E27FC236}">
              <a16:creationId xmlns:a16="http://schemas.microsoft.com/office/drawing/2014/main" id="{1A55C1AC-BD33-1F4C-2CA2-271A03C0A6D2}"/>
            </a:ext>
          </a:extLst>
        </cdr:cNvPr>
        <cdr:cNvSpPr txBox="1"/>
      </cdr:nvSpPr>
      <cdr:spPr>
        <a:xfrm xmlns:a="http://schemas.openxmlformats.org/drawingml/2006/main">
          <a:off x="50800"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Mín: 0</a:t>
          </a:r>
        </a:p>
      </cdr:txBody>
    </cdr:sp>
  </cdr:relSizeAnchor>
  <cdr:relSizeAnchor xmlns:cdr="http://schemas.openxmlformats.org/drawingml/2006/chartDrawing">
    <cdr:from>
      <cdr:x>0.27851</cdr:x>
      <cdr:y>0.776</cdr:y>
    </cdr:from>
    <cdr:to>
      <cdr:x>0.43476</cdr:x>
      <cdr:y>0.856</cdr:y>
    </cdr:to>
    <cdr:sp macro="" textlink="">
      <cdr:nvSpPr>
        <cdr:cNvPr id="3" name="CuadroTexto 2">
          <a:extLst xmlns:a="http://schemas.openxmlformats.org/drawingml/2006/main">
            <a:ext uri="{FF2B5EF4-FFF2-40B4-BE49-F238E27FC236}">
              <a16:creationId xmlns:a16="http://schemas.microsoft.com/office/drawing/2014/main" id="{9EE55049-5874-C816-EC72-769A08967BC8}"/>
            </a:ext>
          </a:extLst>
        </cdr:cNvPr>
        <cdr:cNvSpPr txBox="1"/>
      </cdr:nvSpPr>
      <cdr:spPr>
        <a:xfrm xmlns:a="http://schemas.openxmlformats.org/drawingml/2006/main">
          <a:off x="1697812" y="24638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Q1: 3,5</a:t>
          </a:r>
        </a:p>
      </cdr:txBody>
    </cdr:sp>
  </cdr:relSizeAnchor>
  <cdr:relSizeAnchor xmlns:cdr="http://schemas.openxmlformats.org/drawingml/2006/chartDrawing">
    <cdr:from>
      <cdr:x>0.53699</cdr:x>
      <cdr:y>0.676</cdr:y>
    </cdr:from>
    <cdr:to>
      <cdr:x>0.69324</cdr:x>
      <cdr:y>0.756</cdr:y>
    </cdr:to>
    <cdr:sp macro="" textlink="">
      <cdr:nvSpPr>
        <cdr:cNvPr id="4" name="CuadroTexto 3">
          <a:extLst xmlns:a="http://schemas.openxmlformats.org/drawingml/2006/main">
            <a:ext uri="{FF2B5EF4-FFF2-40B4-BE49-F238E27FC236}">
              <a16:creationId xmlns:a16="http://schemas.microsoft.com/office/drawing/2014/main" id="{A816DA12-5ACA-7CB8-A11B-E8BC9580312D}"/>
            </a:ext>
          </a:extLst>
        </cdr:cNvPr>
        <cdr:cNvSpPr txBox="1"/>
      </cdr:nvSpPr>
      <cdr:spPr>
        <a:xfrm xmlns:a="http://schemas.openxmlformats.org/drawingml/2006/main">
          <a:off x="3273489"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Med: 6,25</a:t>
          </a:r>
        </a:p>
      </cdr:txBody>
    </cdr:sp>
  </cdr:relSizeAnchor>
  <cdr:relSizeAnchor xmlns:cdr="http://schemas.openxmlformats.org/drawingml/2006/chartDrawing">
    <cdr:from>
      <cdr:x>0.69208</cdr:x>
      <cdr:y>0.776</cdr:y>
    </cdr:from>
    <cdr:to>
      <cdr:x>0.84833</cdr:x>
      <cdr:y>0.856</cdr:y>
    </cdr:to>
    <cdr:sp macro="" textlink="">
      <cdr:nvSpPr>
        <cdr:cNvPr id="5" name="CuadroTexto 4">
          <a:extLst xmlns:a="http://schemas.openxmlformats.org/drawingml/2006/main">
            <a:ext uri="{FF2B5EF4-FFF2-40B4-BE49-F238E27FC236}">
              <a16:creationId xmlns:a16="http://schemas.microsoft.com/office/drawing/2014/main" id="{960C4A5A-73A7-B312-10C4-5593495B6B61}"/>
            </a:ext>
          </a:extLst>
        </cdr:cNvPr>
        <cdr:cNvSpPr txBox="1"/>
      </cdr:nvSpPr>
      <cdr:spPr>
        <a:xfrm xmlns:a="http://schemas.openxmlformats.org/drawingml/2006/main">
          <a:off x="4218894" y="24638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Q3: 7,9</a:t>
          </a:r>
        </a:p>
      </cdr:txBody>
    </cdr:sp>
  </cdr:relSizeAnchor>
  <cdr:relSizeAnchor xmlns:cdr="http://schemas.openxmlformats.org/drawingml/2006/chartDrawing">
    <cdr:from>
      <cdr:x>0.83738</cdr:x>
      <cdr:y>0.676</cdr:y>
    </cdr:from>
    <cdr:to>
      <cdr:x>0.99363</cdr:x>
      <cdr:y>0.756</cdr:y>
    </cdr:to>
    <cdr:sp macro="" textlink="">
      <cdr:nvSpPr>
        <cdr:cNvPr id="6" name="CuadroTexto 5">
          <a:extLst xmlns:a="http://schemas.openxmlformats.org/drawingml/2006/main">
            <a:ext uri="{FF2B5EF4-FFF2-40B4-BE49-F238E27FC236}">
              <a16:creationId xmlns:a16="http://schemas.microsoft.com/office/drawing/2014/main" id="{D9D70475-9EC9-A1E9-0989-71AE91F2817A}"/>
            </a:ext>
          </a:extLst>
        </cdr:cNvPr>
        <cdr:cNvSpPr txBox="1"/>
      </cdr:nvSpPr>
      <cdr:spPr>
        <a:xfrm xmlns:a="http://schemas.openxmlformats.org/drawingml/2006/main">
          <a:off x="5104638" y="2146300"/>
          <a:ext cx="952500" cy="254000"/>
        </a:xfrm>
        <a:prstGeom xmlns:a="http://schemas.openxmlformats.org/drawingml/2006/main" prst="rect">
          <a:avLst/>
        </a:prstGeom>
      </cdr:spPr>
      <cdr:txBody>
        <a:bodyPr xmlns:a="http://schemas.openxmlformats.org/drawingml/2006/main" vertOverflow="clip" vert="horz" wrap="none" rtlCol="0">
          <a:noAutofit/>
        </a:bodyPr>
        <a:lstStyle xmlns:a="http://schemas.openxmlformats.org/drawingml/2006/main"/>
        <a:p xmlns:a="http://schemas.openxmlformats.org/drawingml/2006/main">
          <a:pPr algn="ctr"/>
          <a:r>
            <a:rPr lang="es-ES" sz="800" b="1" kern="1200">
              <a:solidFill>
                <a:srgbClr val="000000"/>
              </a:solidFill>
            </a:rPr>
            <a:t>Máx: 10</a:t>
          </a:r>
        </a:p>
      </cdr:txBody>
    </cdr:sp>
  </cdr:relSizeAnchor>
</c:userShape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omments" Target="../comments1.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7.xml"/><Relationship Id="rId3" Type="http://schemas.openxmlformats.org/officeDocument/2006/relationships/vmlDrawing" Target="../drawings/vmlDrawing3.vml"/><Relationship Id="rId7" Type="http://schemas.openxmlformats.org/officeDocument/2006/relationships/ctrlProp" Target="../ctrlProps/ctrlProp116.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1.xml"/><Relationship Id="rId7" Type="http://schemas.openxmlformats.org/officeDocument/2006/relationships/ctrlProp" Target="../ctrlProps/ctrlProp125.xml"/><Relationship Id="rId2" Type="http://schemas.openxmlformats.org/officeDocument/2006/relationships/vmlDrawing" Target="../drawings/vmlDrawing5.vml"/><Relationship Id="rId1" Type="http://schemas.openxmlformats.org/officeDocument/2006/relationships/drawing" Target="../drawings/drawing10.xml"/><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4F19A-9650-478C-AD71-69D458D878B6}">
  <sheetPr codeName="Hoja1"/>
  <dimension ref="A1"/>
  <sheetViews>
    <sheetView workbookViewId="0"/>
  </sheetViews>
  <sheetFormatPr baseColWidth="10" defaultRowHeight="1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AS245"/>
  <sheetViews>
    <sheetView zoomScale="35" zoomScaleNormal="68" workbookViewId="0">
      <pane xSplit="3" ySplit="4" topLeftCell="D120" activePane="bottomRight" state="frozen"/>
      <selection pane="topRight" activeCell="D1" sqref="D1"/>
      <selection pane="bottomLeft" activeCell="A5" sqref="A5"/>
      <selection pane="bottomRight" activeCell="C141" sqref="C141"/>
    </sheetView>
  </sheetViews>
  <sheetFormatPr baseColWidth="10" defaultColWidth="11.453125" defaultRowHeight="18.5"/>
  <cols>
    <col min="1" max="1" width="11.453125" style="12"/>
    <col min="2" max="2" width="19.54296875" style="12" customWidth="1"/>
    <col min="3" max="3" width="55.26953125" style="12" customWidth="1"/>
    <col min="4" max="8" width="37.1796875" style="12" bestFit="1" customWidth="1"/>
    <col min="9" max="9" width="42.81640625" style="77" bestFit="1" customWidth="1"/>
    <col min="10" max="10" width="25.08984375" style="12" customWidth="1"/>
    <col min="11" max="11" width="32.26953125" style="12" bestFit="1" customWidth="1"/>
    <col min="12" max="12" width="36.08984375" style="38" bestFit="1" customWidth="1"/>
    <col min="13" max="13" width="31.6328125" style="38" bestFit="1" customWidth="1"/>
    <col min="14" max="14" width="34.08984375" style="66" bestFit="1" customWidth="1"/>
    <col min="15" max="15" width="42.26953125" style="38" bestFit="1" customWidth="1"/>
    <col min="16" max="16" width="34.08984375" style="38" bestFit="1" customWidth="1"/>
    <col min="17" max="17" width="38.36328125" style="66" bestFit="1" customWidth="1"/>
    <col min="18" max="18" width="46.453125" style="38" bestFit="1" customWidth="1"/>
    <col min="19" max="19" width="32.26953125" style="12" bestFit="1" customWidth="1"/>
    <col min="20" max="20" width="38.81640625" style="12" bestFit="1" customWidth="1"/>
    <col min="21" max="21" width="42.26953125" style="12" bestFit="1" customWidth="1"/>
    <col min="22" max="22" width="32.26953125" style="12" bestFit="1" customWidth="1"/>
    <col min="23" max="23" width="63" style="12" bestFit="1" customWidth="1"/>
    <col min="24" max="24" width="40.453125" style="12" bestFit="1" customWidth="1"/>
    <col min="25" max="25" width="47.90625" style="12" bestFit="1" customWidth="1"/>
    <col min="26" max="26" width="43.6328125" style="12" bestFit="1" customWidth="1"/>
    <col min="27" max="27" width="69.36328125" style="12" bestFit="1" customWidth="1"/>
    <col min="28" max="28" width="85.453125" style="12" bestFit="1" customWidth="1"/>
    <col min="29" max="16384" width="11.453125" style="12"/>
  </cols>
  <sheetData>
    <row r="1" spans="2:45" ht="22" customHeight="1">
      <c r="B1" s="9" t="s">
        <v>3</v>
      </c>
      <c r="C1" s="6" t="s">
        <v>26</v>
      </c>
      <c r="D1" s="10" t="s">
        <v>0</v>
      </c>
      <c r="E1" s="11" t="s">
        <v>1</v>
      </c>
      <c r="F1" s="1" t="s">
        <v>2</v>
      </c>
      <c r="G1" s="7" t="s">
        <v>27</v>
      </c>
      <c r="H1" s="1" t="s">
        <v>3</v>
      </c>
      <c r="I1" s="76" t="s">
        <v>4</v>
      </c>
      <c r="J1" s="1" t="s">
        <v>5</v>
      </c>
      <c r="K1" s="8" t="s">
        <v>6</v>
      </c>
      <c r="N1" s="65"/>
      <c r="Q1" s="65"/>
    </row>
    <row r="2" spans="2:45" ht="22" customHeight="1">
      <c r="C2" s="5" t="s">
        <v>31</v>
      </c>
      <c r="D2" s="6" t="s">
        <v>54</v>
      </c>
      <c r="E2" s="6" t="s">
        <v>54</v>
      </c>
      <c r="F2" s="6" t="s">
        <v>55</v>
      </c>
      <c r="G2" s="6" t="s">
        <v>55</v>
      </c>
      <c r="H2" s="6" t="s">
        <v>54</v>
      </c>
      <c r="L2" s="94" t="s">
        <v>78</v>
      </c>
      <c r="M2" s="95">
        <f>COUNTIF(D2:H2,"Examen")</f>
        <v>3</v>
      </c>
      <c r="N2" s="65"/>
      <c r="Q2" s="65"/>
    </row>
    <row r="3" spans="2:45" ht="22" customHeight="1">
      <c r="B3" s="13" t="s">
        <v>7</v>
      </c>
      <c r="C3" s="14" t="s">
        <v>8</v>
      </c>
      <c r="D3" s="13" t="s">
        <v>9</v>
      </c>
      <c r="E3" s="13" t="s">
        <v>10</v>
      </c>
      <c r="F3" s="13" t="s">
        <v>11</v>
      </c>
      <c r="G3" s="13" t="s">
        <v>12</v>
      </c>
      <c r="H3" s="13" t="s">
        <v>13</v>
      </c>
      <c r="I3" s="78" t="s">
        <v>14</v>
      </c>
      <c r="K3" s="38"/>
      <c r="L3" s="94" t="s">
        <v>79</v>
      </c>
      <c r="M3" s="95">
        <f>COUNTIF(D2:H2,"Prueba Complementaria")</f>
        <v>2</v>
      </c>
    </row>
    <row r="4" spans="2:45" ht="26.15" customHeight="1">
      <c r="B4" s="15"/>
      <c r="C4" s="2" t="s">
        <v>28</v>
      </c>
      <c r="D4" s="3">
        <v>15</v>
      </c>
      <c r="E4" s="3">
        <v>15</v>
      </c>
      <c r="F4" s="3">
        <v>15</v>
      </c>
      <c r="G4" s="3">
        <v>15</v>
      </c>
      <c r="H4" s="3">
        <v>40</v>
      </c>
      <c r="I4" s="79">
        <f>SUM(D4:H4)</f>
        <v>100</v>
      </c>
      <c r="K4" s="16"/>
      <c r="L4" s="39"/>
      <c r="M4" s="39"/>
      <c r="N4" s="67"/>
      <c r="O4" s="39"/>
      <c r="P4" s="39"/>
      <c r="Q4" s="67"/>
      <c r="R4" s="39"/>
      <c r="T4" s="16"/>
      <c r="U4" s="16"/>
      <c r="AI4" s="63"/>
      <c r="AJ4" s="63"/>
      <c r="AK4" s="63"/>
      <c r="AL4" s="63"/>
      <c r="AM4" s="63"/>
      <c r="AN4" s="63"/>
      <c r="AO4" s="63"/>
      <c r="AP4" s="63"/>
      <c r="AQ4" s="63"/>
      <c r="AR4" s="63"/>
      <c r="AS4" s="63"/>
    </row>
    <row r="5" spans="2:45" s="63" customFormat="1" ht="22" customHeight="1">
      <c r="B5" s="47"/>
      <c r="C5" s="51" t="s">
        <v>15</v>
      </c>
      <c r="D5" s="44"/>
      <c r="E5" s="45"/>
      <c r="F5" s="45"/>
      <c r="G5" s="45"/>
      <c r="H5" s="45"/>
      <c r="I5" s="80"/>
      <c r="K5" s="18" t="s">
        <v>50</v>
      </c>
      <c r="L5" s="34" t="s">
        <v>51</v>
      </c>
      <c r="M5" s="34" t="s">
        <v>53</v>
      </c>
      <c r="N5" s="58" t="s">
        <v>62</v>
      </c>
      <c r="O5" s="34" t="s">
        <v>64</v>
      </c>
      <c r="P5" s="34" t="s">
        <v>66</v>
      </c>
      <c r="Q5" s="58" t="s">
        <v>63</v>
      </c>
      <c r="R5" s="34" t="s">
        <v>65</v>
      </c>
      <c r="S5" s="18" t="s">
        <v>52</v>
      </c>
      <c r="T5" s="18" t="s">
        <v>56</v>
      </c>
      <c r="U5" s="18" t="s">
        <v>57</v>
      </c>
      <c r="V5" s="18" t="s">
        <v>58</v>
      </c>
      <c r="W5" s="18" t="s">
        <v>67</v>
      </c>
      <c r="X5" s="56" t="s">
        <v>68</v>
      </c>
      <c r="Y5" s="56" t="s">
        <v>69</v>
      </c>
      <c r="Z5" s="18" t="s">
        <v>70</v>
      </c>
      <c r="AA5" s="18" t="s">
        <v>71</v>
      </c>
      <c r="AB5" s="18" t="s">
        <v>77</v>
      </c>
      <c r="AI5" s="12"/>
      <c r="AJ5" s="12"/>
      <c r="AK5" s="12"/>
      <c r="AL5" s="12"/>
      <c r="AM5" s="12"/>
      <c r="AN5" s="12"/>
      <c r="AO5" s="12"/>
      <c r="AP5" s="12"/>
      <c r="AQ5" s="12"/>
      <c r="AR5" s="12"/>
      <c r="AS5" s="12"/>
    </row>
    <row r="6" spans="2:45" ht="22" customHeight="1">
      <c r="B6" s="19">
        <v>1</v>
      </c>
      <c r="C6" s="4" t="s">
        <v>30</v>
      </c>
      <c r="D6" s="97">
        <v>9</v>
      </c>
      <c r="E6" s="70">
        <v>8.9</v>
      </c>
      <c r="F6" s="97">
        <v>8</v>
      </c>
      <c r="G6" s="97">
        <v>9</v>
      </c>
      <c r="H6" s="97">
        <v>9</v>
      </c>
      <c r="I6" s="81">
        <f t="shared" ref="I6:I15" si="0">IF(COUNTA(D6:H6)=0, "", IF(COUNT(D6:H6)&lt;&gt;COUNTA(D6:H6), "NP", SUMPRODUCT(D6:H6, D$4:H$4)/100))</f>
        <v>8.8350000000000009</v>
      </c>
      <c r="J6" s="60" t="s">
        <v>29</v>
      </c>
      <c r="K6" s="35" cm="1">
        <f t="array" ref="K6">IF(COUNTIF(D6:H6,"NP")&gt;0,"NP",IF(COUNTIF(D6:H6,"Reconocimiento Créditos")&gt;0,"Reconocimiento Créditos",IF(COUNTIF(D6:H6,"Aprobado en otro curso")&gt;0,"Aprobado en otro curso",IF(COUNTIF(D6:H6,"")&gt;0,"Faltan Calificaciones",AVERAGE((D6:H6-$D$128:$H$128)/$D$130:$H$130)))))</f>
        <v>1.517528381475342</v>
      </c>
      <c r="L6" s="40">
        <f>IF(COUNTIF(D6:H6,"NP")&gt;0,"NP",IF(COUNTIF(D6:H6,"Reconocimiento Créditos")&gt;0,"Reconocimiento Créditos",IF(COUNTIF(D6:H6,"Aprobado en otro curso")&gt;0,"Aprobado en otro curso",_xlfn.PERCENTRANK.INC($I$6:$I$125,I6))))</f>
        <v>1</v>
      </c>
      <c r="M6" s="43">
        <f>IF(COUNTIF(D6:H6,"NP")&gt;0,"NP",IF(COUNTIF(D6:H6,"Reconocimiento Créditos")&gt;0,"Reconocimiento Créditos",IF(COUNTIF(D6:H6,"Aprobado en otro curso")&gt;0,"Aprobado en otro curso",AVERAGEIF($D$2:$H$2,"Examen",D6:H6))))</f>
        <v>8.9666666666666668</v>
      </c>
      <c r="N6" s="35" cm="1">
        <f t="array" ref="N6">IF(COUNTIF(D6:H6,"NP")&gt;0,"NP",IF(COUNTIF(D6:H6,"Reconocimiento Créditos")&gt;0,"Reconocimiento Créditos",IF(COUNTIF(D6:H6,"Aprobado en otro curso")&gt;0,"Aprobado en otro curso",IF(COUNTIF(D6:H6,"")&gt;0,"Faltan Calificaciones",AVERAGE((D6:H6-$D$128:$H$128)*($D$2:$H$2="EXAMEN")/($D$130:$H$130)*($D$2:$H$2="EXAMEN"))))))</f>
        <v>1.0601706458698192</v>
      </c>
      <c r="O6" s="40">
        <f>IF(COUNTIF(D6:H6,"NP")&gt;0,"NP",IF(COUNTIF(D6:H6,"Reconocimiento Créditos")&gt;0,"Reconocimiento Créditos",IF(COUNTIF(D6:H6,"Aprobado en otro curso")&gt;0,"Aprobado en otro curso",IF(COUNTIF($D$2:$H$2,"Examen")&lt;1,"Faltan Calificaciones",_xlfn.PERCENTRANK.INC($M$6:$M$125,M6)))))</f>
        <v>1</v>
      </c>
      <c r="P6" s="43">
        <f>IF(COUNTIF(D6:H6,"NP")&gt;0,"NP",IF(COUNTIF(D6:H6,"Reconocimiento Créditos")&gt;0,"Reconocimiento Créditos",IF(COUNTIF(D6:H6,"Aprobado en otro curso")&gt;0,"Aprobado en otro curso",IF(COUNTIF($D$2:$H$2,"Prueba Complementaria")=0,"Faltan Calificaciones",AVERAGEIF($D$2:$H$2,"Prueba Complementaria",D6:H6)))))</f>
        <v>8.5</v>
      </c>
      <c r="Q6" s="35" cm="1">
        <f t="array" ref="Q6">IF(COUNTIF(D6:H6,"NP")&gt;0,"NP",IF(COUNTIF(D6:H6,"Reconocimiento Créditos")&gt;0,"Reconocimiento Créditos",IF(COUNTIF(D6:H6,"Aprobado en otro curso")&gt;0,"Aprobado en otro curso",IF(COUNTIF(D6:H6,"")&gt;0,"Faltan Calificaciones",AVERAGE((D6:H6-$D$128:$H$128)*($D$2:$H$2="Prueba Complementaria")/($D$130:$H$130)*($D$2:$H$2="Prueba Complementaria"))))))</f>
        <v>0.45735773560552262</v>
      </c>
      <c r="R6" s="40">
        <f>IF(COUNTIF(D6:H6,"NP")&gt;0,"NP",IF(COUNTIF(D6:H6,"Reconocimiento Créditos")&gt;0,"Reconocimiento Créditos",IF(COUNTIF(D6:H6,"Aprobado en otro curso")&gt;0,"Aprobado en otro curso",IF(COUNTIF($D$2:$H$2,"Prueba Complementaria")&lt;1,"Faltan Calificaciones",_xlfn.PERCENTRANK.INC($P$6:$P$125,P6)))))</f>
        <v>0.95599999999999996</v>
      </c>
      <c r="S6" s="42">
        <f>IF(COUNTIF(D6:H6,"NP")&gt;0,"NP",IF(COUNTIF(D6:H6,"Reconocimiento Créditos")&gt;0,"Reconocimiento Créditos",IF(COUNTIF(D6:H6,"Aprobado en otro curso")&gt;0,"Aprobado en otro curso",AVERAGE(D6:H6))))</f>
        <v>8.7799999999999994</v>
      </c>
      <c r="T6" s="43">
        <f>IF(COUNTIF(D6:H6,"NP")&gt;0,"NP",IF(COUNTIF(D6:H6,"Reconocimiento Créditos")&gt;0,"Reconocimiento Créditos",IF(COUNTIF(D6:H6,"Aprobado en otro curso")&gt;0,"Aprobado en otro curso",(P6-M6))))</f>
        <v>-0.46666666666666679</v>
      </c>
      <c r="U6" s="40">
        <f>IF(COUNTIF(D6:H6,"NP")&gt;0,"NP",IF(COUNTIF(D6:H6,"Reconocimiento Créditos")&gt;0,"Reconocimiento Créditos",IF(COUNTIF(D6:H6,"Aprobado en otro curso")&gt;0,"Aprobado en otro curso",(P6-M6)/M6)))</f>
        <v>-5.2044609665427524E-2</v>
      </c>
      <c r="V6" s="40" t="str" cm="1">
        <f t="array" ref="V6">IF(COUNTIF(D6:H6,"NP")&gt;0,"NP",IF(COUNTIF(D6:H6,"Reconocimiento Créditos")&gt;0,"Reconocimiento Créditos",IF(COUNTIF(D6:H6,"Aprobado en otro curso")&gt;0,"Aprobado en otro curso",IF(COUNTBLANK(D6:H6)&gt;0,"Faltan Calificaciones",IF((SUMPRODUCT(($D$2:$H$2="EXAMEN")*((D6:H6-$D$128:$H$128)/$D$130:$H$130))/SUMPRODUCT(--($D$2:$H$2="EXAMEN")))-(SUMPRODUCT(($D$2:$H$2="PRUEBA COMPLEMENTARIA")*((D6:H6-$D$128:$H$128)/$D$130:$H$130))/SUMPRODUCT(--($D$2:$H$2="PRUEBA COMPLEMENTARIA")))&gt;0,"Exámenes","Actividades")))))</f>
        <v>Exámenes</v>
      </c>
      <c r="W6" s="35">
        <f>IF(COUNTIF(D6:H6,"NP")&gt;0,"NP",IF(COUNTIF(D6:H6,"Reconocimiento Créditos")&gt;0,"Reconocimiento Créditos",IF(COUNTIF(D6:H6,"Aprobado en otro curso")&gt;0,"Aprobado en otro curso",IF(COUNTBLANK(D6:H6)&gt;0,"Faltan Calificaciones",IF(COUNTBLANK(D6:H6)&gt;0,"",SQRT((1/COUNT($N$6:$N$125))*(N6-AVERAGE($N$6:$N$125))^2))))))</f>
        <v>0.10896377013054698</v>
      </c>
      <c r="X6" s="35">
        <f>IF(COUNTIF(D6:H6,"NP")&gt;0,"NP",IF(COUNTIF(D6:H6,"Reconocimiento Créditos")&gt;0,"Reconocimiento Créditos",IF(COUNTIF(D6:H6,"Aprobado en otro curso")&gt;0,"Aprobado en otro curso",IF(COUNTBLANK(D6:H6)&gt;3,"Faltan Calificaciones",_xlfn.STDEV.P(D6:H6)))))</f>
        <v>0.39191835884530857</v>
      </c>
      <c r="Y6" s="71">
        <f>IF(COUNTIF(D6:H6,"NP")&gt;0,"NP",IF(COUNTIF(D6:H6,"Reconocimiento Créditos")&gt;0,"Reconocimiento Créditos",IF(COUNTIF(D6:H6,"Aprobado en otro curso")&gt;0,"Aprobado en otro curso",IF(COUNTBLANK(D6:H6)&gt;0,"Faltan Calificaciones",CORREL(D6:H6,$D$4:$H$4)))))</f>
        <v>0.28067069969390568</v>
      </c>
      <c r="Z6" s="35" cm="1">
        <f t="array" ref="Z6">IF(COUNTIF(D6:H6,"NP")&gt;0,"NP",IF(COUNTIF(D6:H6,"Reconocimiento Créditos")&gt;0,"Reconocimiento Créditos",IF(COUNTIF(D6:H6,"Aprobado en otro curso")&gt;0,"Aprobado en otro curso",IF(COUNTIF($D$2:$H$2,"Examen")&lt;2,"Faltan Calificaciones",SLOPE(_xlfn._xlws.FILTER(D6:H6,$D$2:$H$2="EXAMEN"),_xlfn.SEQUENCE(1,COUNTIF($D$2:$H$2,"EXAMEN"),1,1))))))</f>
        <v>0</v>
      </c>
      <c r="AA6" s="35">
        <f>IF(COUNTIF(D6:H6,"NP")&gt;0,"NP",IF(COUNTIF(D6:H6,"Reconocimiento Créditos")&gt;0,"Reconocimiento Créditos",IF(COUNTIF(D6:H6,"Aprobado en otro curso")&gt;0,"Aprobado en otro curso",IF(COUNTBLANK(D6:H6)&gt;0,"Faltan Calificaciones",IF(COUNTBLANK(D6:H6)&gt;0,"",H6-AVERAGE(D6:H6))))))</f>
        <v>0.22000000000000064</v>
      </c>
      <c r="AB6" s="35" t="str" cm="1">
        <f t="array" ref="AB6">IF(COUNTIF(D6:H6,"NP")&gt;0,"NP",IF(COUNTIF(D6:H6,"Reconocimiento Créditos")&gt;0,"Reconocimiento Créditos",IF(COUNTIF(D6:H6,"Aprobado en otro curso")&gt;0,"Aprobado en otro curso",IF(COUNTBLANK(D6:H6)=0,"No Procede",IF(COUNTBLANK(D6:H6)&gt;3,"No Procede",IF(100*(5-SUMPRODUCT(D6:H6,$D$4:$H$4)/100)/(100-SUMPRODUCT((D6:H6&lt;&gt;"")*($D$4:$H$4)))&gt;10,"Necesita más de 10",IF(100*(5-SUMPRODUCT(D6:H6,$D$4:$H$4)/100)/(100-SUMPRODUCT((D6:H6&lt;&gt;"")*($D$4:$H$4)))&lt;0,"va bien encaminado",100*(5-SUMPRODUCT(D6:H6,$D$4:$H$4)/100)/(100-SUMPRODUCT((D6:H6&lt;&gt;"")*($D$4:$H$4))))))))))</f>
        <v>No Procede</v>
      </c>
    </row>
    <row r="7" spans="2:45" ht="22" customHeight="1">
      <c r="B7" s="19">
        <f>B6+1</f>
        <v>2</v>
      </c>
      <c r="C7" s="4" t="s">
        <v>30</v>
      </c>
      <c r="D7" s="97">
        <v>5</v>
      </c>
      <c r="E7" s="70">
        <v>2.5</v>
      </c>
      <c r="F7" s="97">
        <v>3</v>
      </c>
      <c r="G7" s="97">
        <v>2.2000000000000002</v>
      </c>
      <c r="H7" s="97">
        <v>3.5</v>
      </c>
      <c r="I7" s="81">
        <f t="shared" si="0"/>
        <v>3.3050000000000002</v>
      </c>
      <c r="J7" s="60" t="s">
        <v>29</v>
      </c>
      <c r="K7" s="35" cm="1">
        <f t="array" ref="K7">IF(COUNTIF(D7:H7,"NP")&gt;0,"NP",IF(COUNTIF(D7:H7,"Reconocimiento Créditos")&gt;0,"Reconocimiento Créditos",IF(COUNTIF(D7:H7,"Aprobado en otro curso")&gt;0,"Aprobado en otro curso",IF(COUNTIF(D7:H7,"")&gt;0,"Faltan Calificaciones",AVERAGE((D7:H7-$D$128:$H$128)/$D$130:$H$130)))))</f>
        <v>-0.8885114305799412</v>
      </c>
      <c r="L7" s="40">
        <f t="shared" ref="L7:L70" si="1">IF(COUNTIF(D7:H7,"NP")&gt;0,"NP",IF(COUNTIF(D7:H7,"Reconocimiento Créditos")&gt;0,"Reconocimiento Créditos",IF(COUNTIF(D7:H7,"Aprobado en otro curso")&gt;0,"Aprobado en otro curso",_xlfn.PERCENTRANK.INC($I$6:$I$125,I7))))</f>
        <v>8.5999999999999993E-2</v>
      </c>
      <c r="M7" s="43">
        <f t="shared" ref="M7:M70" si="2">IF(COUNTIF(D7:H7,"NP")&gt;0,"NP",IF(COUNTIF(D7:H7,"Reconocimiento Créditos")&gt;0,"Reconocimiento Créditos",IF(COUNTIF(D7:H7,"Aprobado en otro curso")&gt;0,"Aprobado en otro curso",AVERAGEIF($D$2:$H$2,"Examen",D7:H7))))</f>
        <v>3.6666666666666665</v>
      </c>
      <c r="N7" s="35" cm="1">
        <f t="array" ref="N7">IF(COUNTIF(D7:H7,"NP")&gt;0,"NP",IF(COUNTIF(D7:H7,"Reconocimiento Créditos")&gt;0,"Reconocimiento Créditos",IF(COUNTIF(D7:H7,"Aprobado en otro curso")&gt;0,"Aprobado en otro curso",IF(COUNTIF(D7:H7,"")&gt;0,"Faltan Calificaciones",AVERAGE((D7:H7-$D$128:$H$128)*($D$2:$H$2="EXAMEN")/($D$130:$H$130)*($D$2:$H$2="EXAMEN"))))))</f>
        <v>-0.42722119827290878</v>
      </c>
      <c r="O7" s="40">
        <f t="shared" ref="O7:O70" si="3">IF(COUNTIF(D7:H7,"NP")&gt;0,"NP",IF(COUNTIF(D7:H7,"Reconocimiento Créditos")&gt;0,"Reconocimiento Créditos",IF(COUNTIF(D7:H7,"Aprobado en otro curso")&gt;0,"Aprobado en otro curso",IF(COUNTIF($D$2:$H$2,"Examen")&lt;1,"Faltan Calificaciones",_xlfn.PERCENTRANK.INC($M$6:$M$125,M7)))))</f>
        <v>0.16300000000000001</v>
      </c>
      <c r="P7" s="43">
        <f t="shared" ref="P7:P70" si="4">IF(COUNTIF(D7:H7,"NP")&gt;0,"NP",IF(COUNTIF(D7:H7,"Reconocimiento Créditos")&gt;0,"Reconocimiento Créditos",IF(COUNTIF(D7:H7,"Aprobado en otro curso")&gt;0,"Aprobado en otro curso",IF(COUNTIF($D$2:$H$2,"Prueba Complementaria")=0,"Faltan Calificaciones",AVERAGEIF($D$2:$H$2,"Prueba Complementaria",D7:H7)))))</f>
        <v>2.6</v>
      </c>
      <c r="Q7" s="35" cm="1">
        <f t="array" ref="Q7">IF(COUNTIF(D7:H7,"NP")&gt;0,"NP",IF(COUNTIF(D7:H7,"Reconocimiento Créditos")&gt;0,"Reconocimiento Créditos",IF(COUNTIF(D7:H7,"Aprobado en otro curso")&gt;0,"Aprobado en otro curso",IF(COUNTIF(D7:H7,"")&gt;0,"Faltan Calificaciones",AVERAGE((D7:H7-$D$128:$H$128)*($D$2:$H$2="Prueba Complementaria")/($D$130:$H$130)*($D$2:$H$2="Prueba Complementaria"))))))</f>
        <v>-0.46129023230703242</v>
      </c>
      <c r="R7" s="40">
        <f t="shared" ref="R7:R70" si="5">IF(COUNTIF(D7:H7,"NP")&gt;0,"NP",IF(COUNTIF(D7:H7,"Reconocimiento Créditos")&gt;0,"Reconocimiento Créditos",IF(COUNTIF(D7:H7,"Aprobado en otro curso")&gt;0,"Aprobado en otro curso",IF(COUNTIF($D$2:$H$2,"Prueba Complementaria")&lt;1,"Faltan Calificaciones",_xlfn.PERCENTRANK.INC($P$6:$P$125,P7)))))</f>
        <v>9.7000000000000003E-2</v>
      </c>
      <c r="S7" s="42">
        <f t="shared" ref="S7:S70" si="6">IF(COUNTIF(D7:H7,"NP")&gt;0,"NP",IF(COUNTIF(D7:H7,"Reconocimiento Créditos")&gt;0,"Reconocimiento Créditos",IF(COUNTIF(D7:H7,"Aprobado en otro curso")&gt;0,"Aprobado en otro curso",AVERAGE(D7:H7))))</f>
        <v>3.2399999999999998</v>
      </c>
      <c r="T7" s="43">
        <f t="shared" ref="T7:T70" si="7">IF(COUNTIF(D7:H7,"NP")&gt;0,"NP",IF(COUNTIF(D7:H7,"Reconocimiento Créditos")&gt;0,"Reconocimiento Créditos",IF(COUNTIF(D7:H7,"Aprobado en otro curso")&gt;0,"Aprobado en otro curso",(P7-M7))))</f>
        <v>-1.0666666666666664</v>
      </c>
      <c r="U7" s="40">
        <f t="shared" ref="U7:U70" si="8">IF(COUNTIF(D7:H7,"NP")&gt;0,"NP",IF(COUNTIF(D7:H7,"Reconocimiento Créditos")&gt;0,"Reconocimiento Créditos",IF(COUNTIF(D7:H7,"Aprobado en otro curso")&gt;0,"Aprobado en otro curso",(P7-M7)/M7)))</f>
        <v>-0.29090909090909084</v>
      </c>
      <c r="V7" s="40" t="str" cm="1">
        <f t="array" ref="V7">IF(COUNTIF(D7:H7,"NP")&gt;0,"NP",IF(COUNTIF(D7:H7,"Reconocimiento Créditos")&gt;0,"Reconocimiento Créditos",IF(COUNTIF(D7:H7,"Aprobado en otro curso")&gt;0,"Aprobado en otro curso",IF(COUNTBLANK(D7:H7)&gt;0,"Faltan Calificaciones",IF((SUMPRODUCT(($D$2:$H$2="EXAMEN")*((D7:H7-$D$128:$H$128)/$D$130:$H$130))/SUMPRODUCT(--($D$2:$H$2="EXAMEN")))-(SUMPRODUCT(($D$2:$H$2="PRUEBA COMPLEMENTARIA")*((D7:H7-$D$128:$H$128)/$D$130:$H$130))/SUMPRODUCT(--($D$2:$H$2="PRUEBA COMPLEMENTARIA")))&gt;0,"Exámenes","Actividades")))))</f>
        <v>Exámenes</v>
      </c>
      <c r="W7" s="35">
        <f t="shared" ref="W7:W70" si="9">IF(COUNTIF(D7:H7,"NP")&gt;0,"NP",IF(COUNTIF(D7:H7,"Reconocimiento Créditos")&gt;0,"Reconocimiento Créditos",IF(COUNTIF(D7:H7,"Aprobado en otro curso")&gt;0,"Aprobado en otro curso",IF(COUNTBLANK(D7:H7)&gt;0,"Faltan Calificaciones",IF(COUNTBLANK(D7:H7)&gt;0,"",SQRT((1/COUNT($N$6:$N$125))*(N7-AVERAGE($N$6:$N$125))^2))))))</f>
        <v>4.5271579220654466E-2</v>
      </c>
      <c r="X7" s="35">
        <f t="shared" ref="X7:X70" si="10">IF(COUNTIF(D7:H7,"NP")&gt;0,"NP",IF(COUNTIF(D7:H7,"Reconocimiento Créditos")&gt;0,"Reconocimiento Créditos",IF(COUNTIF(D7:H7,"Aprobado en otro curso")&gt;0,"Aprobado en otro curso",IF(COUNTBLANK(D7:H7)&gt;3,"Faltan Calificaciones",_xlfn.STDEV.P(D7:H7)))))</f>
        <v>0.98508882848198109</v>
      </c>
      <c r="Y7" s="71">
        <f t="shared" ref="Y7:Y70" si="11">IF(COUNTIF(D7:H7,"NP")&gt;0,"NP",IF(COUNTIF(D7:H7,"Reconocimiento Créditos")&gt;0,"Reconocimiento Créditos",IF(COUNTIF(D7:H7,"Aprobado en otro curso")&gt;0,"Aprobado en otro curso",IF(COUNTBLANK(D7:H7)&gt;0,"Faltan Calificaciones",CORREL(D7:H7,$D$4:$H$4)))))</f>
        <v>0.13196779441741283</v>
      </c>
      <c r="Z7" s="35" cm="1">
        <f t="array" ref="Z7">IF(COUNTIF(D7:H7,"NP")&gt;0,"NP",IF(COUNTIF(D7:H7,"Reconocimiento Créditos")&gt;0,"Reconocimiento Créditos",IF(COUNTIF(D7:H7,"Aprobado en otro curso")&gt;0,"Aprobado en otro curso",IF(COUNTIF($D$2:$H$2,"Examen")&lt;2,"Faltan Calificaciones",SLOPE(_xlfn._xlws.FILTER(D7:H7,$D$2:$H$2="EXAMEN"),_xlfn.SEQUENCE(1,COUNTIF($D$2:$H$2,"EXAMEN"),1,1))))))</f>
        <v>-0.75</v>
      </c>
      <c r="AA7" s="35">
        <f t="shared" ref="AA7:AA70" si="12">IF(COUNTIF(D7:H7,"NP")&gt;0,"NP",IF(COUNTIF(D7:H7,"Reconocimiento Créditos")&gt;0,"Reconocimiento Créditos",IF(COUNTIF(D7:H7,"Aprobado en otro curso")&gt;0,"Aprobado en otro curso",IF(COUNTBLANK(D7:H7)&gt;0,"Faltan Calificaciones",IF(COUNTBLANK(D7:H7)&gt;0,"",H7-AVERAGE(D7:H7))))))</f>
        <v>0.26000000000000023</v>
      </c>
      <c r="AB7" s="35" t="str" cm="1">
        <f t="array" ref="AB7">IF(COUNTIF(D7:H7,"NP")&gt;0,"NP",IF(COUNTIF(D7:H7,"Reconocimiento Créditos")&gt;0,"Reconocimiento Créditos",IF(COUNTIF(D7:H7,"Aprobado en otro curso")&gt;0,"Aprobado en otro curso",IF(COUNTBLANK(D7:H7)=0,"No Procede",IF(COUNTBLANK(D7:H7)&gt;3,"No Procede",IF(100*(5-SUMPRODUCT(D7:H7,$D$4:$H$4)/100)/(100-SUMPRODUCT((D7:H7&lt;&gt;"")*($D$4:$H$4)))&gt;10,"Necesita más de 10",IF(100*(5-SUMPRODUCT(D7:H7,$D$4:$H$4)/100)/(100-SUMPRODUCT((D7:H7&lt;&gt;"")*($D$4:$H$4)))&lt;0,"va bien encaminado",100*(5-SUMPRODUCT(D7:H7,$D$4:$H$4)/100)/(100-SUMPRODUCT((D7:H7&lt;&gt;"")*($D$4:$H$4))))))))))</f>
        <v>No Procede</v>
      </c>
    </row>
    <row r="8" spans="2:45" ht="22" customHeight="1">
      <c r="B8" s="19">
        <f t="shared" ref="B8:B15" si="13">B7+1</f>
        <v>3</v>
      </c>
      <c r="C8" s="4" t="s">
        <v>30</v>
      </c>
      <c r="D8" s="97">
        <v>5</v>
      </c>
      <c r="E8" s="70">
        <v>3</v>
      </c>
      <c r="F8" s="97">
        <v>4.5</v>
      </c>
      <c r="G8" s="97">
        <v>4</v>
      </c>
      <c r="H8" s="97">
        <v>5.6</v>
      </c>
      <c r="I8" s="81">
        <f t="shared" si="0"/>
        <v>4.7149999999999999</v>
      </c>
      <c r="J8" s="60" t="s">
        <v>29</v>
      </c>
      <c r="K8" s="35" cm="1">
        <f t="array" ref="K8">IF(COUNTIF(D8:H8,"NP")&gt;0,"NP",IF(COUNTIF(D8:H8,"Reconocimiento Créditos")&gt;0,"Reconocimiento Créditos",IF(COUNTIF(D8:H8,"Aprobado en otro curso")&gt;0,"Aprobado en otro curso",IF(COUNTIF(D8:H8,"")&gt;0,"Faltan Calificaciones",AVERAGE((D8:H8-$D$128:$H$128)/$D$130:$H$130)))))</f>
        <v>-0.39132260664759544</v>
      </c>
      <c r="L8" s="40">
        <f t="shared" si="1"/>
        <v>0.25</v>
      </c>
      <c r="M8" s="43">
        <f t="shared" si="2"/>
        <v>4.5333333333333332</v>
      </c>
      <c r="N8" s="35" cm="1">
        <f t="array" ref="N8">IF(COUNTIF(D8:H8,"NP")&gt;0,"NP",IF(COUNTIF(D8:H8,"Reconocimiento Créditos")&gt;0,"Reconocimiento Créditos",IF(COUNTIF(D8:H8,"Aprobado en otro curso")&gt;0,"Aprobado en otro curso",IF(COUNTIF(D8:H8,"")&gt;0,"Faltan Calificaciones",AVERAGE((D8:H8-$D$128:$H$128)*($D$2:$H$2="EXAMEN")/($D$130:$H$130)*($D$2:$H$2="EXAMEN"))))))</f>
        <v>-0.1879766577913588</v>
      </c>
      <c r="O8" s="40">
        <f t="shared" si="3"/>
        <v>0.315</v>
      </c>
      <c r="P8" s="43">
        <f t="shared" si="4"/>
        <v>4.25</v>
      </c>
      <c r="Q8" s="35" cm="1">
        <f t="array" ref="Q8">IF(COUNTIF(D8:H8,"NP")&gt;0,"NP",IF(COUNTIF(D8:H8,"Reconocimiento Créditos")&gt;0,"Reconocimiento Créditos",IF(COUNTIF(D8:H8,"Aprobado en otro curso")&gt;0,"Aprobado en otro curso",IF(COUNTIF(D8:H8,"")&gt;0,"Faltan Calificaciones",AVERAGE((D8:H8-$D$128:$H$128)*($D$2:$H$2="Prueba Complementaria")/($D$130:$H$130)*($D$2:$H$2="Prueba Complementaria"))))))</f>
        <v>-0.20334594885623666</v>
      </c>
      <c r="R8" s="40">
        <f t="shared" si="5"/>
        <v>0.184</v>
      </c>
      <c r="S8" s="42">
        <f t="shared" si="6"/>
        <v>4.42</v>
      </c>
      <c r="T8" s="43">
        <f t="shared" si="7"/>
        <v>-0.28333333333333321</v>
      </c>
      <c r="U8" s="40">
        <f t="shared" si="8"/>
        <v>-6.2499999999999972E-2</v>
      </c>
      <c r="V8" s="40" t="str" cm="1">
        <f t="array" ref="V8">IF(COUNTIF(D8:H8,"NP")&gt;0,"NP",IF(COUNTIF(D8:H8,"Reconocimiento Créditos")&gt;0,"Reconocimiento Créditos",IF(COUNTIF(D8:H8,"Aprobado en otro curso")&gt;0,"Aprobado en otro curso",IF(COUNTBLANK(D8:H8)&gt;0,"Faltan Calificaciones",IF((SUMPRODUCT(($D$2:$H$2="EXAMEN")*((D8:H8-$D$128:$H$128)/$D$130:$H$130))/SUMPRODUCT(--($D$2:$H$2="EXAMEN")))-(SUMPRODUCT(($D$2:$H$2="PRUEBA COMPLEMENTARIA")*((D8:H8-$D$128:$H$128)/$D$130:$H$130))/SUMPRODUCT(--($D$2:$H$2="PRUEBA COMPLEMENTARIA")))&gt;0,"Exámenes","Actividades")))))</f>
        <v>Exámenes</v>
      </c>
      <c r="W8" s="35">
        <f t="shared" si="9"/>
        <v>2.0463076049919964E-2</v>
      </c>
      <c r="X8" s="35">
        <f t="shared" si="10"/>
        <v>0.88634079224641193</v>
      </c>
      <c r="Y8" s="71">
        <f t="shared" si="11"/>
        <v>0.6656581815496232</v>
      </c>
      <c r="Z8" s="35" cm="1">
        <f t="array" ref="Z8">IF(COUNTIF(D8:H8,"NP")&gt;0,"NP",IF(COUNTIF(D8:H8,"Reconocimiento Créditos")&gt;0,"Reconocimiento Créditos",IF(COUNTIF(D8:H8,"Aprobado en otro curso")&gt;0,"Aprobado en otro curso",IF(COUNTIF($D$2:$H$2,"Examen")&lt;2,"Faltan Calificaciones",SLOPE(_xlfn._xlws.FILTER(D8:H8,$D$2:$H$2="EXAMEN"),_xlfn.SEQUENCE(1,COUNTIF($D$2:$H$2,"EXAMEN"),1,1))))))</f>
        <v>0.29999999999999982</v>
      </c>
      <c r="AA8" s="35">
        <f t="shared" si="12"/>
        <v>1.1799999999999997</v>
      </c>
      <c r="AB8" s="35" t="str" cm="1">
        <f t="array" ref="AB8">IF(COUNTIF(D8:H8,"NP")&gt;0,"NP",IF(COUNTIF(D8:H8,"Reconocimiento Créditos")&gt;0,"Reconocimiento Créditos",IF(COUNTIF(D8:H8,"Aprobado en otro curso")&gt;0,"Aprobado en otro curso",IF(COUNTBLANK(D8:H8)=0,"No Procede",IF(COUNTBLANK(D8:H8)&gt;3,"No Procede",IF(100*(5-SUMPRODUCT(D8:H8,$D$4:$H$4)/100)/(100-SUMPRODUCT((D8:H8&lt;&gt;"")*($D$4:$H$4)))&gt;10,"Necesita más de 10",IF(100*(5-SUMPRODUCT(D8:H8,$D$4:$H$4)/100)/(100-SUMPRODUCT((D8:H8&lt;&gt;"")*($D$4:$H$4)))&lt;0,"va bien encaminado",100*(5-SUMPRODUCT(D8:H8,$D$4:$H$4)/100)/(100-SUMPRODUCT((D8:H8&lt;&gt;"")*($D$4:$H$4))))))))))</f>
        <v>No Procede</v>
      </c>
    </row>
    <row r="9" spans="2:45" ht="22" customHeight="1">
      <c r="B9" s="19">
        <f t="shared" si="13"/>
        <v>4</v>
      </c>
      <c r="C9" s="4" t="s">
        <v>30</v>
      </c>
      <c r="D9" s="97">
        <v>6</v>
      </c>
      <c r="E9" s="70">
        <v>7</v>
      </c>
      <c r="F9" s="97">
        <v>5</v>
      </c>
      <c r="G9" s="97">
        <v>3</v>
      </c>
      <c r="H9" s="99" t="s">
        <v>16</v>
      </c>
      <c r="I9" s="81" t="str">
        <f t="shared" si="0"/>
        <v>NP</v>
      </c>
      <c r="J9" s="60" t="s">
        <v>29</v>
      </c>
      <c r="K9" s="35" t="str" cm="1">
        <f t="array" ref="K9">IF(COUNTIF(D9:H9,"NP")&gt;0,"NP",IF(COUNTIF(D9:H9,"Reconocimiento Créditos")&gt;0,"Reconocimiento Créditos",IF(COUNTIF(D9:H9,"Aprobado en otro curso")&gt;0,"Aprobado en otro curso",IF(COUNTIF(D9:H9,"")&gt;0,"Faltan Calificaciones",AVERAGE((D9:H9-$D$128:$H$128)/$D$130:$H$130)))))</f>
        <v>NP</v>
      </c>
      <c r="L9" s="40" t="str">
        <f t="shared" si="1"/>
        <v>NP</v>
      </c>
      <c r="M9" s="43" t="str">
        <f t="shared" si="2"/>
        <v>NP</v>
      </c>
      <c r="N9" s="35" t="str" cm="1">
        <f t="array" ref="N9">IF(COUNTIF(D9:H9,"NP")&gt;0,"NP",IF(COUNTIF(D9:H9,"Reconocimiento Créditos")&gt;0,"Reconocimiento Créditos",IF(COUNTIF(D9:H9,"Aprobado en otro curso")&gt;0,"Aprobado en otro curso",IF(COUNTIF(D9:H9,"")&gt;0,"Faltan Calificaciones",AVERAGE((D9:H9-$D$128:$H$128)*($D$2:$H$2="EXAMEN")/($D$130:$H$130)*($D$2:$H$2="EXAMEN"))))))</f>
        <v>NP</v>
      </c>
      <c r="O9" s="40" t="str">
        <f t="shared" si="3"/>
        <v>NP</v>
      </c>
      <c r="P9" s="43" t="str">
        <f t="shared" si="4"/>
        <v>NP</v>
      </c>
      <c r="Q9" s="35" t="str" cm="1">
        <f t="array" ref="Q9">IF(COUNTIF(D9:H9,"NP")&gt;0,"NP",IF(COUNTIF(D9:H9,"Reconocimiento Créditos")&gt;0,"Reconocimiento Créditos",IF(COUNTIF(D9:H9,"Aprobado en otro curso")&gt;0,"Aprobado en otro curso",IF(COUNTIF(D9:H9,"")&gt;0,"Faltan Calificaciones",AVERAGE((D9:H9-$D$128:$H$128)*($D$2:$H$2="Prueba Complementaria")/($D$130:$H$130)*($D$2:$H$2="Prueba Complementaria"))))))</f>
        <v>NP</v>
      </c>
      <c r="R9" s="40" t="str">
        <f t="shared" si="5"/>
        <v>NP</v>
      </c>
      <c r="S9" s="42" t="str">
        <f t="shared" si="6"/>
        <v>NP</v>
      </c>
      <c r="T9" s="43" t="str">
        <f t="shared" si="7"/>
        <v>NP</v>
      </c>
      <c r="U9" s="40" t="str">
        <f t="shared" si="8"/>
        <v>NP</v>
      </c>
      <c r="V9" s="40" t="str" cm="1">
        <f t="array" ref="V9">IF(COUNTIF(D9:H9,"NP")&gt;0,"NP",IF(COUNTIF(D9:H9,"Reconocimiento Créditos")&gt;0,"Reconocimiento Créditos",IF(COUNTIF(D9:H9,"Aprobado en otro curso")&gt;0,"Aprobado en otro curso",IF(COUNTBLANK(D9:H9)&gt;0,"Faltan Calificaciones",IF((SUMPRODUCT(($D$2:$H$2="EXAMEN")*((D9:H9-$D$128:$H$128)/$D$130:$H$130))/SUMPRODUCT(--($D$2:$H$2="EXAMEN")))-(SUMPRODUCT(($D$2:$H$2="PRUEBA COMPLEMENTARIA")*((D9:H9-$D$128:$H$128)/$D$130:$H$130))/SUMPRODUCT(--($D$2:$H$2="PRUEBA COMPLEMENTARIA")))&gt;0,"Exámenes","Actividades")))))</f>
        <v>NP</v>
      </c>
      <c r="W9" s="35" t="str">
        <f t="shared" si="9"/>
        <v>NP</v>
      </c>
      <c r="X9" s="35" t="str">
        <f t="shared" si="10"/>
        <v>NP</v>
      </c>
      <c r="Y9" s="71" t="str">
        <f t="shared" si="11"/>
        <v>NP</v>
      </c>
      <c r="Z9" s="35" t="str" cm="1">
        <f t="array" ref="Z9">IF(COUNTIF(D9:H9,"NP")&gt;0,"NP",IF(COUNTIF(D9:H9,"Reconocimiento Créditos")&gt;0,"Reconocimiento Créditos",IF(COUNTIF(D9:H9,"Aprobado en otro curso")&gt;0,"Aprobado en otro curso",IF(COUNTIF($D$2:$H$2,"Examen")&lt;2,"Faltan Calificaciones",SLOPE(_xlfn._xlws.FILTER(D9:H9,$D$2:$H$2="EXAMEN"),_xlfn.SEQUENCE(1,COUNTIF($D$2:$H$2,"EXAMEN"),1,1))))))</f>
        <v>NP</v>
      </c>
      <c r="AA9" s="35" t="str">
        <f t="shared" si="12"/>
        <v>NP</v>
      </c>
      <c r="AB9" s="35" t="str" cm="1">
        <f t="array" ref="AB9">IF(COUNTIF(D9:H9,"NP")&gt;0,"NP",IF(COUNTIF(D9:H9,"Reconocimiento Créditos")&gt;0,"Reconocimiento Créditos",IF(COUNTIF(D9:H9,"Aprobado en otro curso")&gt;0,"Aprobado en otro curso",IF(COUNTBLANK(D9:H9)=0,"No Procede",IF(COUNTBLANK(D9:H9)&gt;3,"No Procede",IF(100*(5-SUMPRODUCT(D9:H9,$D$4:$H$4)/100)/(100-SUMPRODUCT((D9:H9&lt;&gt;"")*($D$4:$H$4)))&gt;10,"Necesita más de 10",IF(100*(5-SUMPRODUCT(D9:H9,$D$4:$H$4)/100)/(100-SUMPRODUCT((D9:H9&lt;&gt;"")*($D$4:$H$4)))&lt;0,"va bien encaminado",100*(5-SUMPRODUCT(D9:H9,$D$4:$H$4)/100)/(100-SUMPRODUCT((D9:H9&lt;&gt;"")*($D$4:$H$4))))))))))</f>
        <v>NP</v>
      </c>
    </row>
    <row r="10" spans="2:45" ht="22" customHeight="1">
      <c r="B10" s="19">
        <f t="shared" si="13"/>
        <v>5</v>
      </c>
      <c r="C10" s="4" t="s">
        <v>30</v>
      </c>
      <c r="D10" s="97">
        <v>8</v>
      </c>
      <c r="E10" s="70">
        <v>2</v>
      </c>
      <c r="F10" s="97">
        <v>9</v>
      </c>
      <c r="G10" s="97">
        <v>2.5</v>
      </c>
      <c r="H10" s="97">
        <v>6</v>
      </c>
      <c r="I10" s="81">
        <f t="shared" si="0"/>
        <v>5.625</v>
      </c>
      <c r="J10" s="60" t="s">
        <v>29</v>
      </c>
      <c r="K10" s="35" cm="1">
        <f t="array" ref="K10">IF(COUNTIF(D10:H10,"NP")&gt;0,"NP",IF(COUNTIF(D10:H10,"Reconocimiento Créditos")&gt;0,"Reconocimiento Créditos",IF(COUNTIF(D10:H10,"Aprobado en otro curso")&gt;0,"Aprobado en otro curso",IF(COUNTIF(D10:H10,"")&gt;0,"Faltan Calificaciones",AVERAGE((D10:H10-$D$128:$H$128)/$D$130:$H$130)))))</f>
        <v>9.4935520168506732E-2</v>
      </c>
      <c r="L10" s="40">
        <f t="shared" si="1"/>
        <v>0.48899999999999999</v>
      </c>
      <c r="M10" s="43">
        <f t="shared" si="2"/>
        <v>5.333333333333333</v>
      </c>
      <c r="N10" s="35" cm="1">
        <f t="array" ref="N10">IF(COUNTIF(D10:H10,"NP")&gt;0,"NP",IF(COUNTIF(D10:H10,"Reconocimiento Créditos")&gt;0,"Reconocimiento Créditos",IF(COUNTIF(D10:H10,"Aprobado en otro curso")&gt;0,"Aprobado en otro curso",IF(COUNTIF(D10:H10,"")&gt;0,"Faltan Calificaciones",AVERAGE((D10:H10-$D$128:$H$128)*($D$2:$H$2="EXAMEN")/($D$130:$H$130)*($D$2:$H$2="EXAMEN"))))))</f>
        <v>3.1889192707764545E-2</v>
      </c>
      <c r="O10" s="40">
        <f t="shared" si="3"/>
        <v>0.53200000000000003</v>
      </c>
      <c r="P10" s="43">
        <f t="shared" si="4"/>
        <v>5.75</v>
      </c>
      <c r="Q10" s="35" cm="1">
        <f t="array" ref="Q10">IF(COUNTIF(D10:H10,"NP")&gt;0,"NP",IF(COUNTIF(D10:H10,"Reconocimiento Créditos")&gt;0,"Reconocimiento Créditos",IF(COUNTIF(D10:H10,"Aprobado en otro curso")&gt;0,"Aprobado en otro curso",IF(COUNTIF(D10:H10,"")&gt;0,"Faltan Calificaciones",AVERAGE((D10:H10-$D$128:$H$128)*($D$2:$H$2="Prueba Complementaria")/($D$130:$H$130)*($D$2:$H$2="Prueba Complementaria"))))))</f>
        <v>6.3046327460742194E-2</v>
      </c>
      <c r="R10" s="40">
        <f t="shared" si="5"/>
        <v>0.5</v>
      </c>
      <c r="S10" s="42">
        <f t="shared" si="6"/>
        <v>5.5</v>
      </c>
      <c r="T10" s="43">
        <f t="shared" si="7"/>
        <v>0.41666666666666696</v>
      </c>
      <c r="U10" s="40">
        <f t="shared" si="8"/>
        <v>7.8125000000000056E-2</v>
      </c>
      <c r="V10" s="40" t="str" cm="1">
        <f t="array" ref="V10">IF(COUNTIF(D10:H10,"NP")&gt;0,"NP",IF(COUNTIF(D10:H10,"Reconocimiento Créditos")&gt;0,"Reconocimiento Créditos",IF(COUNTIF(D10:H10,"Aprobado en otro curso")&gt;0,"Aprobado en otro curso",IF(COUNTBLANK(D10:H10)&gt;0,"Faltan Calificaciones",IF((SUMPRODUCT(($D$2:$H$2="EXAMEN")*((D10:H10-$D$128:$H$128)/$D$130:$H$130))/SUMPRODUCT(--($D$2:$H$2="EXAMEN")))-(SUMPRODUCT(($D$2:$H$2="PRUEBA COMPLEMENTARIA")*((D10:H10-$D$128:$H$128)/$D$130:$H$130))/SUMPRODUCT(--($D$2:$H$2="PRUEBA COMPLEMENTARIA")))&gt;0,"Exámenes","Actividades")))))</f>
        <v>Actividades</v>
      </c>
      <c r="W10" s="35">
        <f t="shared" si="9"/>
        <v>2.3359505789212688E-3</v>
      </c>
      <c r="X10" s="35">
        <f t="shared" si="10"/>
        <v>2.8284271247461903</v>
      </c>
      <c r="Y10" s="71">
        <f t="shared" si="11"/>
        <v>8.8388347648318433E-2</v>
      </c>
      <c r="Z10" s="35" cm="1">
        <f t="array" ref="Z10">IF(COUNTIF(D10:H10,"NP")&gt;0,"NP",IF(COUNTIF(D10:H10,"Reconocimiento Créditos")&gt;0,"Reconocimiento Créditos",IF(COUNTIF(D10:H10,"Aprobado en otro curso")&gt;0,"Aprobado en otro curso",IF(COUNTIF($D$2:$H$2,"Examen")&lt;2,"Faltan Calificaciones",SLOPE(_xlfn._xlws.FILTER(D10:H10,$D$2:$H$2="EXAMEN"),_xlfn.SEQUENCE(1,COUNTIF($D$2:$H$2,"EXAMEN"),1,1))))))</f>
        <v>-1</v>
      </c>
      <c r="AA10" s="35">
        <f t="shared" si="12"/>
        <v>0.5</v>
      </c>
      <c r="AB10" s="35" t="str" cm="1">
        <f t="array" ref="AB10">IF(COUNTIF(D10:H10,"NP")&gt;0,"NP",IF(COUNTIF(D10:H10,"Reconocimiento Créditos")&gt;0,"Reconocimiento Créditos",IF(COUNTIF(D10:H10,"Aprobado en otro curso")&gt;0,"Aprobado en otro curso",IF(COUNTBLANK(D10:H10)=0,"No Procede",IF(COUNTBLANK(D10:H10)&gt;3,"No Procede",IF(100*(5-SUMPRODUCT(D10:H10,$D$4:$H$4)/100)/(100-SUMPRODUCT((D10:H10&lt;&gt;"")*($D$4:$H$4)))&gt;10,"Necesita más de 10",IF(100*(5-SUMPRODUCT(D10:H10,$D$4:$H$4)/100)/(100-SUMPRODUCT((D10:H10&lt;&gt;"")*($D$4:$H$4)))&lt;0,"va bien encaminado",100*(5-SUMPRODUCT(D10:H10,$D$4:$H$4)/100)/(100-SUMPRODUCT((D10:H10&lt;&gt;"")*($D$4:$H$4))))))))))</f>
        <v>No Procede</v>
      </c>
    </row>
    <row r="11" spans="2:45" ht="22" customHeight="1">
      <c r="B11" s="19">
        <f t="shared" si="13"/>
        <v>6</v>
      </c>
      <c r="C11" s="4" t="s">
        <v>30</v>
      </c>
      <c r="D11" s="97">
        <v>9</v>
      </c>
      <c r="E11" s="70">
        <v>7.5</v>
      </c>
      <c r="F11" s="97">
        <v>2</v>
      </c>
      <c r="G11" s="97">
        <v>1</v>
      </c>
      <c r="H11" s="97">
        <v>8</v>
      </c>
      <c r="I11" s="81">
        <f t="shared" si="0"/>
        <v>6.125</v>
      </c>
      <c r="J11" s="60" t="s">
        <v>29</v>
      </c>
      <c r="K11" s="35" cm="1">
        <f t="array" ref="K11">IF(COUNTIF(D11:H11,"NP")&gt;0,"NP",IF(COUNTIF(D11:H11,"Reconocimiento Créditos")&gt;0,"Reconocimiento Créditos",IF(COUNTIF(D11:H11,"Aprobado en otro curso")&gt;0,"Aprobado en otro curso",IF(COUNTIF(D11:H11,"")&gt;0,"Faltan Calificaciones",AVERAGE((D11:H11-$D$128:$H$128)/$D$130:$H$130)))))</f>
        <v>0.20153229446926324</v>
      </c>
      <c r="L11" s="40">
        <f t="shared" si="1"/>
        <v>0.67300000000000004</v>
      </c>
      <c r="M11" s="43">
        <f t="shared" si="2"/>
        <v>8.1666666666666661</v>
      </c>
      <c r="N11" s="35" cm="1">
        <f t="array" ref="N11">IF(COUNTIF(D11:H11,"NP")&gt;0,"NP",IF(COUNTIF(D11:H11,"Reconocimiento Créditos")&gt;0,"Reconocimiento Créditos",IF(COUNTIF(D11:H11,"Aprobado en otro curso")&gt;0,"Aprobado en otro curso",IF(COUNTIF(D11:H11,"")&gt;0,"Faltan Calificaciones",AVERAGE((D11:H11-$D$128:$H$128)*($D$2:$H$2="EXAMEN")/($D$130:$H$130)*($D$2:$H$2="EXAMEN"))))))</f>
        <v>0.83478538241015943</v>
      </c>
      <c r="O11" s="40">
        <f t="shared" si="3"/>
        <v>0.93400000000000005</v>
      </c>
      <c r="P11" s="43">
        <f t="shared" si="4"/>
        <v>1.5</v>
      </c>
      <c r="Q11" s="35" cm="1">
        <f t="array" ref="Q11">IF(COUNTIF(D11:H11,"NP")&gt;0,"NP",IF(COUNTIF(D11:H11,"Reconocimiento Créditos")&gt;0,"Reconocimiento Créditos",IF(COUNTIF(D11:H11,"Aprobado en otro curso")&gt;0,"Aprobado en otro curso",IF(COUNTIF(D11:H11,"")&gt;0,"Faltan Calificaciones",AVERAGE((D11:H11-$D$128:$H$128)*($D$2:$H$2="Prueba Complementaria")/($D$130:$H$130)*($D$2:$H$2="Prueba Complementaria"))))))</f>
        <v>-0.6332530879408963</v>
      </c>
      <c r="R11" s="40">
        <f t="shared" si="5"/>
        <v>3.2000000000000001E-2</v>
      </c>
      <c r="S11" s="42">
        <f t="shared" si="6"/>
        <v>5.5</v>
      </c>
      <c r="T11" s="43">
        <f t="shared" si="7"/>
        <v>-6.6666666666666661</v>
      </c>
      <c r="U11" s="40">
        <f t="shared" si="8"/>
        <v>-0.81632653061224492</v>
      </c>
      <c r="V11" s="40" t="str" cm="1">
        <f t="array" ref="V11">IF(COUNTIF(D11:H11,"NP")&gt;0,"NP",IF(COUNTIF(D11:H11,"Reconocimiento Créditos")&gt;0,"Reconocimiento Créditos",IF(COUNTIF(D11:H11,"Aprobado en otro curso")&gt;0,"Aprobado en otro curso",IF(COUNTBLANK(D11:H11)&gt;0,"Faltan Calificaciones",IF((SUMPRODUCT(($D$2:$H$2="EXAMEN")*((D11:H11-$D$128:$H$128)/$D$130:$H$130))/SUMPRODUCT(--($D$2:$H$2="EXAMEN")))-(SUMPRODUCT(($D$2:$H$2="PRUEBA COMPLEMENTARIA")*((D11:H11-$D$128:$H$128)/$D$130:$H$130))/SUMPRODUCT(--($D$2:$H$2="PRUEBA COMPLEMENTARIA")))&gt;0,"Exámenes","Actividades")))))</f>
        <v>Exámenes</v>
      </c>
      <c r="W11" s="35">
        <f t="shared" si="9"/>
        <v>8.559240703937121E-2</v>
      </c>
      <c r="X11" s="35">
        <f t="shared" si="10"/>
        <v>3.3166247903553998</v>
      </c>
      <c r="Y11" s="71">
        <f t="shared" si="11"/>
        <v>0.37688918072220456</v>
      </c>
      <c r="Z11" s="35" cm="1">
        <f t="array" ref="Z11">IF(COUNTIF(D11:H11,"NP")&gt;0,"NP",IF(COUNTIF(D11:H11,"Reconocimiento Créditos")&gt;0,"Reconocimiento Créditos",IF(COUNTIF(D11:H11,"Aprobado en otro curso")&gt;0,"Aprobado en otro curso",IF(COUNTIF($D$2:$H$2,"Examen")&lt;2,"Faltan Calificaciones",SLOPE(_xlfn._xlws.FILTER(D11:H11,$D$2:$H$2="EXAMEN"),_xlfn.SEQUENCE(1,COUNTIF($D$2:$H$2,"EXAMEN"),1,1))))))</f>
        <v>-0.5</v>
      </c>
      <c r="AA11" s="35">
        <f t="shared" si="12"/>
        <v>2.5</v>
      </c>
      <c r="AB11" s="35" t="str" cm="1">
        <f t="array" ref="AB11">IF(COUNTIF(D11:H11,"NP")&gt;0,"NP",IF(COUNTIF(D11:H11,"Reconocimiento Créditos")&gt;0,"Reconocimiento Créditos",IF(COUNTIF(D11:H11,"Aprobado en otro curso")&gt;0,"Aprobado en otro curso",IF(COUNTBLANK(D11:H11)=0,"No Procede",IF(COUNTBLANK(D11:H11)&gt;3,"No Procede",IF(100*(5-SUMPRODUCT(D11:H11,$D$4:$H$4)/100)/(100-SUMPRODUCT((D11:H11&lt;&gt;"")*($D$4:$H$4)))&gt;10,"Necesita más de 10",IF(100*(5-SUMPRODUCT(D11:H11,$D$4:$H$4)/100)/(100-SUMPRODUCT((D11:H11&lt;&gt;"")*($D$4:$H$4)))&lt;0,"va bien encaminado",100*(5-SUMPRODUCT(D11:H11,$D$4:$H$4)/100)/(100-SUMPRODUCT((D11:H11&lt;&gt;"")*($D$4:$H$4))))))))))</f>
        <v>No Procede</v>
      </c>
    </row>
    <row r="12" spans="2:45" ht="22" customHeight="1">
      <c r="B12" s="19">
        <f t="shared" si="13"/>
        <v>7</v>
      </c>
      <c r="C12" s="4" t="s">
        <v>30</v>
      </c>
      <c r="D12" s="97">
        <v>9</v>
      </c>
      <c r="E12" s="70">
        <v>7.5</v>
      </c>
      <c r="F12" s="97">
        <v>2</v>
      </c>
      <c r="G12" s="97">
        <v>1</v>
      </c>
      <c r="H12" s="97">
        <v>8</v>
      </c>
      <c r="I12" s="81">
        <f t="shared" si="0"/>
        <v>6.125</v>
      </c>
      <c r="J12" s="60" t="s">
        <v>29</v>
      </c>
      <c r="K12" s="35" cm="1">
        <f t="array" ref="K12">IF(COUNTIF(D12:H12,"NP")&gt;0,"NP",IF(COUNTIF(D12:H12,"Reconocimiento Créditos")&gt;0,"Reconocimiento Créditos",IF(COUNTIF(D12:H12,"Aprobado en otro curso")&gt;0,"Aprobado en otro curso",IF(COUNTIF(D12:H12,"")&gt;0,"Faltan Calificaciones",AVERAGE((D12:H12-$D$128:$H$128)/$D$130:$H$130)))))</f>
        <v>0.20153229446926324</v>
      </c>
      <c r="L12" s="40">
        <f t="shared" si="1"/>
        <v>0.67300000000000004</v>
      </c>
      <c r="M12" s="43">
        <f t="shared" si="2"/>
        <v>8.1666666666666661</v>
      </c>
      <c r="N12" s="35" cm="1">
        <f t="array" ref="N12">IF(COUNTIF(D12:H12,"NP")&gt;0,"NP",IF(COUNTIF(D12:H12,"Reconocimiento Créditos")&gt;0,"Reconocimiento Créditos",IF(COUNTIF(D12:H12,"Aprobado en otro curso")&gt;0,"Aprobado en otro curso",IF(COUNTIF(D12:H12,"")&gt;0,"Faltan Calificaciones",AVERAGE((D12:H12-$D$128:$H$128)*($D$2:$H$2="EXAMEN")/($D$130:$H$130)*($D$2:$H$2="EXAMEN"))))))</f>
        <v>0.83478538241015943</v>
      </c>
      <c r="O12" s="40">
        <f t="shared" si="3"/>
        <v>0.93400000000000005</v>
      </c>
      <c r="P12" s="43">
        <f t="shared" si="4"/>
        <v>1.5</v>
      </c>
      <c r="Q12" s="35" cm="1">
        <f t="array" ref="Q12">IF(COUNTIF(D12:H12,"NP")&gt;0,"NP",IF(COUNTIF(D12:H12,"Reconocimiento Créditos")&gt;0,"Reconocimiento Créditos",IF(COUNTIF(D12:H12,"Aprobado en otro curso")&gt;0,"Aprobado en otro curso",IF(COUNTIF(D12:H12,"")&gt;0,"Faltan Calificaciones",AVERAGE((D12:H12-$D$128:$H$128)*($D$2:$H$2="Prueba Complementaria")/($D$130:$H$130)*($D$2:$H$2="Prueba Complementaria"))))))</f>
        <v>-0.6332530879408963</v>
      </c>
      <c r="R12" s="40">
        <f t="shared" si="5"/>
        <v>3.2000000000000001E-2</v>
      </c>
      <c r="S12" s="42">
        <f t="shared" si="6"/>
        <v>5.5</v>
      </c>
      <c r="T12" s="43">
        <f t="shared" si="7"/>
        <v>-6.6666666666666661</v>
      </c>
      <c r="U12" s="40">
        <f t="shared" si="8"/>
        <v>-0.81632653061224492</v>
      </c>
      <c r="V12" s="40" t="str" cm="1">
        <f t="array" ref="V12">IF(COUNTIF(D12:H12,"NP")&gt;0,"NP",IF(COUNTIF(D12:H12,"Reconocimiento Créditos")&gt;0,"Reconocimiento Créditos",IF(COUNTIF(D12:H12,"Aprobado en otro curso")&gt;0,"Aprobado en otro curso",IF(COUNTBLANK(D12:H12)&gt;0,"Faltan Calificaciones",IF((SUMPRODUCT(($D$2:$H$2="EXAMEN")*((D12:H12-$D$128:$H$128)/$D$130:$H$130))/SUMPRODUCT(--($D$2:$H$2="EXAMEN")))-(SUMPRODUCT(($D$2:$H$2="PRUEBA COMPLEMENTARIA")*((D12:H12-$D$128:$H$128)/$D$130:$H$130))/SUMPRODUCT(--($D$2:$H$2="PRUEBA COMPLEMENTARIA")))&gt;0,"Exámenes","Actividades")))))</f>
        <v>Exámenes</v>
      </c>
      <c r="W12" s="35">
        <f t="shared" si="9"/>
        <v>8.559240703937121E-2</v>
      </c>
      <c r="X12" s="35">
        <f t="shared" si="10"/>
        <v>3.3166247903553998</v>
      </c>
      <c r="Y12" s="71">
        <f t="shared" si="11"/>
        <v>0.37688918072220456</v>
      </c>
      <c r="Z12" s="35" cm="1">
        <f t="array" ref="Z12">IF(COUNTIF(D12:H12,"NP")&gt;0,"NP",IF(COUNTIF(D12:H12,"Reconocimiento Créditos")&gt;0,"Reconocimiento Créditos",IF(COUNTIF(D12:H12,"Aprobado en otro curso")&gt;0,"Aprobado en otro curso",IF(COUNTIF($D$2:$H$2,"Examen")&lt;2,"Faltan Calificaciones",SLOPE(_xlfn._xlws.FILTER(D12:H12,$D$2:$H$2="EXAMEN"),_xlfn.SEQUENCE(1,COUNTIF($D$2:$H$2,"EXAMEN"),1,1))))))</f>
        <v>-0.5</v>
      </c>
      <c r="AA12" s="35">
        <f t="shared" si="12"/>
        <v>2.5</v>
      </c>
      <c r="AB12" s="35" t="str" cm="1">
        <f t="array" ref="AB12">IF(COUNTIF(D12:H12,"NP")&gt;0,"NP",IF(COUNTIF(D12:H12,"Reconocimiento Créditos")&gt;0,"Reconocimiento Créditos",IF(COUNTIF(D12:H12,"Aprobado en otro curso")&gt;0,"Aprobado en otro curso",IF(COUNTBLANK(D12:H12)=0,"No Procede",IF(COUNTBLANK(D12:H12)&gt;3,"No Procede",IF(100*(5-SUMPRODUCT(D12:H12,$D$4:$H$4)/100)/(100-SUMPRODUCT((D12:H12&lt;&gt;"")*($D$4:$H$4)))&gt;10,"Necesita más de 10",IF(100*(5-SUMPRODUCT(D12:H12,$D$4:$H$4)/100)/(100-SUMPRODUCT((D12:H12&lt;&gt;"")*($D$4:$H$4)))&lt;0,"va bien encaminado",100*(5-SUMPRODUCT(D12:H12,$D$4:$H$4)/100)/(100-SUMPRODUCT((D12:H12&lt;&gt;"")*($D$4:$H$4))))))))))</f>
        <v>No Procede</v>
      </c>
    </row>
    <row r="13" spans="2:45" ht="22" customHeight="1">
      <c r="B13" s="19">
        <f t="shared" si="13"/>
        <v>8</v>
      </c>
      <c r="C13" s="4" t="s">
        <v>30</v>
      </c>
      <c r="D13" s="97">
        <v>2</v>
      </c>
      <c r="E13" s="70">
        <v>3.3</v>
      </c>
      <c r="F13" s="97">
        <v>9</v>
      </c>
      <c r="G13" s="97">
        <v>10</v>
      </c>
      <c r="H13" s="97">
        <v>3</v>
      </c>
      <c r="I13" s="81">
        <f t="shared" si="0"/>
        <v>4.8449999999999998</v>
      </c>
      <c r="J13" s="60" t="s">
        <v>29</v>
      </c>
      <c r="K13" s="35" cm="1">
        <f t="array" ref="K13">IF(COUNTIF(D13:H13,"NP")&gt;0,"NP",IF(COUNTIF(D13:H13,"Reconocimiento Créditos")&gt;0,"Reconocimiento Créditos",IF(COUNTIF(D13:H13,"Aprobado en otro curso")&gt;0,"Aprobado en otro curso",IF(COUNTIF(D13:H13,"")&gt;0,"Faltan Calificaciones",AVERAGE((D13:H13-$D$128:$H$128)/$D$130:$H$130)))))</f>
        <v>-6.0769091055004186E-2</v>
      </c>
      <c r="L13" s="40">
        <f t="shared" si="1"/>
        <v>0.29299999999999998</v>
      </c>
      <c r="M13" s="43">
        <f t="shared" si="2"/>
        <v>2.7666666666666671</v>
      </c>
      <c r="N13" s="35" cm="1">
        <f t="array" ref="N13">IF(COUNTIF(D13:H13,"NP")&gt;0,"NP",IF(COUNTIF(D13:H13,"Reconocimiento Créditos")&gt;0,"Reconocimiento Créditos",IF(COUNTIF(D13:H13,"Aprobado en otro curso")&gt;0,"Aprobado en otro curso",IF(COUNTIF(D13:H13,"")&gt;0,"Faltan Calificaciones",AVERAGE((D13:H13-$D$128:$H$128)*($D$2:$H$2="EXAMEN")/($D$130:$H$130)*($D$2:$H$2="EXAMEN"))))))</f>
        <v>-0.67538125985858177</v>
      </c>
      <c r="O13" s="40">
        <f t="shared" si="3"/>
        <v>9.7000000000000003E-2</v>
      </c>
      <c r="P13" s="43">
        <f t="shared" si="4"/>
        <v>9.5</v>
      </c>
      <c r="Q13" s="35" cm="1">
        <f t="array" ref="Q13">IF(COUNTIF(D13:H13,"NP")&gt;0,"NP",IF(COUNTIF(D13:H13,"Reconocimiento Créditos")&gt;0,"Reconocimiento Créditos",IF(COUNTIF(D13:H13,"Aprobado en otro curso")&gt;0,"Aprobado en otro curso",IF(COUNTIF(D13:H13,"")&gt;0,"Faltan Calificaciones",AVERAGE((D13:H13-$D$128:$H$128)*($D$2:$H$2="Prueba Complementaria")/($D$130:$H$130)*($D$2:$H$2="Prueba Complementaria"))))))</f>
        <v>0.6146121688035775</v>
      </c>
      <c r="R13" s="40">
        <f t="shared" si="5"/>
        <v>1</v>
      </c>
      <c r="S13" s="42">
        <f t="shared" si="6"/>
        <v>5.46</v>
      </c>
      <c r="T13" s="43">
        <f t="shared" si="7"/>
        <v>6.7333333333333325</v>
      </c>
      <c r="U13" s="40">
        <f t="shared" si="8"/>
        <v>2.4337349397590353</v>
      </c>
      <c r="V13" s="40" t="str" cm="1">
        <f t="array" ref="V13">IF(COUNTIF(D13:H13,"NP")&gt;0,"NP",IF(COUNTIF(D13:H13,"Reconocimiento Créditos")&gt;0,"Reconocimiento Créditos",IF(COUNTIF(D13:H13,"Aprobado en otro curso")&gt;0,"Aprobado en otro curso",IF(COUNTBLANK(D13:H13)&gt;0,"Faltan Calificaciones",IF((SUMPRODUCT(($D$2:$H$2="EXAMEN")*((D13:H13-$D$128:$H$128)/$D$130:$H$130))/SUMPRODUCT(--($D$2:$H$2="EXAMEN")))-(SUMPRODUCT(($D$2:$H$2="PRUEBA COMPLEMENTARIA")*((D13:H13-$D$128:$H$128)/$D$130:$H$130))/SUMPRODUCT(--($D$2:$H$2="PRUEBA COMPLEMENTARIA")))&gt;0,"Exámenes","Actividades")))))</f>
        <v>Actividades</v>
      </c>
      <c r="W13" s="35">
        <f t="shared" si="9"/>
        <v>7.1004578863221493E-2</v>
      </c>
      <c r="X13" s="35">
        <f t="shared" si="10"/>
        <v>3.3416163753489103</v>
      </c>
      <c r="Y13" s="71">
        <f t="shared" si="11"/>
        <v>-0.36808534009879301</v>
      </c>
      <c r="Z13" s="35" cm="1">
        <f t="array" ref="Z13">IF(COUNTIF(D13:H13,"NP")&gt;0,"NP",IF(COUNTIF(D13:H13,"Reconocimiento Créditos")&gt;0,"Reconocimiento Créditos",IF(COUNTIF(D13:H13,"Aprobado en otro curso")&gt;0,"Aprobado en otro curso",IF(COUNTIF($D$2:$H$2,"Examen")&lt;2,"Faltan Calificaciones",SLOPE(_xlfn._xlws.FILTER(D13:H13,$D$2:$H$2="EXAMEN"),_xlfn.SEQUENCE(1,COUNTIF($D$2:$H$2,"EXAMEN"),1,1))))))</f>
        <v>0.5</v>
      </c>
      <c r="AA13" s="35">
        <f t="shared" si="12"/>
        <v>-2.46</v>
      </c>
      <c r="AB13" s="35" t="str" cm="1">
        <f t="array" ref="AB13">IF(COUNTIF(D13:H13,"NP")&gt;0,"NP",IF(COUNTIF(D13:H13,"Reconocimiento Créditos")&gt;0,"Reconocimiento Créditos",IF(COUNTIF(D13:H13,"Aprobado en otro curso")&gt;0,"Aprobado en otro curso",IF(COUNTBLANK(D13:H13)=0,"No Procede",IF(COUNTBLANK(D13:H13)&gt;3,"No Procede",IF(100*(5-SUMPRODUCT(D13:H13,$D$4:$H$4)/100)/(100-SUMPRODUCT((D13:H13&lt;&gt;"")*($D$4:$H$4)))&gt;10,"Necesita más de 10",IF(100*(5-SUMPRODUCT(D13:H13,$D$4:$H$4)/100)/(100-SUMPRODUCT((D13:H13&lt;&gt;"")*($D$4:$H$4)))&lt;0,"va bien encaminado",100*(5-SUMPRODUCT(D13:H13,$D$4:$H$4)/100)/(100-SUMPRODUCT((D13:H13&lt;&gt;"")*($D$4:$H$4))))))))))</f>
        <v>No Procede</v>
      </c>
    </row>
    <row r="14" spans="2:45" ht="22" customHeight="1">
      <c r="B14" s="19">
        <f t="shared" si="13"/>
        <v>9</v>
      </c>
      <c r="C14" s="4" t="s">
        <v>30</v>
      </c>
      <c r="D14" s="97">
        <v>6</v>
      </c>
      <c r="E14" s="70">
        <v>4</v>
      </c>
      <c r="F14" s="97">
        <v>1.5</v>
      </c>
      <c r="G14" s="97">
        <v>3.5</v>
      </c>
      <c r="H14" s="97">
        <v>3.15</v>
      </c>
      <c r="I14" s="81">
        <f t="shared" si="0"/>
        <v>3.51</v>
      </c>
      <c r="J14" s="60" t="s">
        <v>29</v>
      </c>
      <c r="K14" s="35" cm="1">
        <f t="array" ref="K14">IF(COUNTIF(D14:H14,"NP")&gt;0,"NP",IF(COUNTIF(D14:H14,"Reconocimiento Créditos")&gt;0,"Reconocimiento Créditos",IF(COUNTIF(D14:H14,"Aprobado en otro curso")&gt;0,"Aprobado en otro curso",IF(COUNTIF(D14:H14,"")&gt;0,"Faltan Calificaciones",AVERAGE((D14:H14-$D$128:$H$128)/$D$130:$H$130)))))</f>
        <v>-0.71334328180041007</v>
      </c>
      <c r="L14" s="40">
        <f t="shared" si="1"/>
        <v>0.108</v>
      </c>
      <c r="M14" s="43">
        <f t="shared" si="2"/>
        <v>4.3833333333333337</v>
      </c>
      <c r="N14" s="35" cm="1">
        <f t="array" ref="N14">IF(COUNTIF(D14:H14,"NP")&gt;0,"NP",IF(COUNTIF(D14:H14,"Reconocimiento Créditos")&gt;0,"Reconocimiento Créditos",IF(COUNTIF(D14:H14,"Aprobado en otro curso")&gt;0,"Aprobado en otro curso",IF(COUNTIF(D14:H14,"")&gt;0,"Faltan Calificaciones",AVERAGE((D14:H14-$D$128:$H$128)*($D$2:$H$2="EXAMEN")/($D$130:$H$130)*($D$2:$H$2="EXAMEN"))))))</f>
        <v>-0.22208931379762048</v>
      </c>
      <c r="O14" s="40">
        <f t="shared" si="3"/>
        <v>0.26</v>
      </c>
      <c r="P14" s="43">
        <f t="shared" si="4"/>
        <v>2.5</v>
      </c>
      <c r="Q14" s="35" cm="1">
        <f t="array" ref="Q14">IF(COUNTIF(D14:H14,"NP")&gt;0,"NP",IF(COUNTIF(D14:H14,"Reconocimiento Créditos")&gt;0,"Reconocimiento Créditos",IF(COUNTIF(D14:H14,"Aprobado en otro curso")&gt;0,"Aprobado en otro curso",IF(COUNTIF(D14:H14,"")&gt;0,"Faltan Calificaciones",AVERAGE((D14:H14-$D$128:$H$128)*($D$2:$H$2="Prueba Complementaria")/($D$130:$H$130)*($D$2:$H$2="Prueba Complementaria"))))))</f>
        <v>-0.49125396800278959</v>
      </c>
      <c r="R14" s="40">
        <f t="shared" si="5"/>
        <v>7.5999999999999998E-2</v>
      </c>
      <c r="S14" s="42">
        <f t="shared" si="6"/>
        <v>3.63</v>
      </c>
      <c r="T14" s="43">
        <f t="shared" si="7"/>
        <v>-1.8833333333333337</v>
      </c>
      <c r="U14" s="40">
        <f t="shared" si="8"/>
        <v>-0.42965779467680615</v>
      </c>
      <c r="V14" s="40" t="str" cm="1">
        <f t="array" ref="V14">IF(COUNTIF(D14:H14,"NP")&gt;0,"NP",IF(COUNTIF(D14:H14,"Reconocimiento Créditos")&gt;0,"Reconocimiento Créditos",IF(COUNTIF(D14:H14,"Aprobado en otro curso")&gt;0,"Aprobado en otro curso",IF(COUNTBLANK(D14:H14)&gt;0,"Faltan Calificaciones",IF((SUMPRODUCT(($D$2:$H$2="EXAMEN")*((D14:H14-$D$128:$H$128)/$D$130:$H$130))/SUMPRODUCT(--($D$2:$H$2="EXAMEN")))-(SUMPRODUCT(($D$2:$H$2="PRUEBA COMPLEMENTARIA")*((D14:H14-$D$128:$H$128)/$D$130:$H$130))/SUMPRODUCT(--($D$2:$H$2="PRUEBA COMPLEMENTARIA")))&gt;0,"Exámenes","Actividades")))))</f>
        <v>Exámenes</v>
      </c>
      <c r="W14" s="35">
        <f t="shared" si="9"/>
        <v>2.4000393695664868E-2</v>
      </c>
      <c r="X14" s="35">
        <f t="shared" si="10"/>
        <v>1.4517575555167612</v>
      </c>
      <c r="Y14" s="71">
        <f t="shared" si="11"/>
        <v>-0.16531685961473841</v>
      </c>
      <c r="Z14" s="35" cm="1">
        <f t="array" ref="Z14">IF(COUNTIF(D14:H14,"NP")&gt;0,"NP",IF(COUNTIF(D14:H14,"Reconocimiento Créditos")&gt;0,"Reconocimiento Créditos",IF(COUNTIF(D14:H14,"Aprobado en otro curso")&gt;0,"Aprobado en otro curso",IF(COUNTIF($D$2:$H$2,"Examen")&lt;2,"Faltan Calificaciones",SLOPE(_xlfn._xlws.FILTER(D14:H14,$D$2:$H$2="EXAMEN"),_xlfn.SEQUENCE(1,COUNTIF($D$2:$H$2,"EXAMEN"),1,1))))))</f>
        <v>-1.425</v>
      </c>
      <c r="AA14" s="35">
        <f t="shared" si="12"/>
        <v>-0.48</v>
      </c>
      <c r="AB14" s="35" t="str" cm="1">
        <f t="array" ref="AB14">IF(COUNTIF(D14:H14,"NP")&gt;0,"NP",IF(COUNTIF(D14:H14,"Reconocimiento Créditos")&gt;0,"Reconocimiento Créditos",IF(COUNTIF(D14:H14,"Aprobado en otro curso")&gt;0,"Aprobado en otro curso",IF(COUNTBLANK(D14:H14)=0,"No Procede",IF(COUNTBLANK(D14:H14)&gt;3,"No Procede",IF(100*(5-SUMPRODUCT(D14:H14,$D$4:$H$4)/100)/(100-SUMPRODUCT((D14:H14&lt;&gt;"")*($D$4:$H$4)))&gt;10,"Necesita más de 10",IF(100*(5-SUMPRODUCT(D14:H14,$D$4:$H$4)/100)/(100-SUMPRODUCT((D14:H14&lt;&gt;"")*($D$4:$H$4)))&lt;0,"va bien encaminado",100*(5-SUMPRODUCT(D14:H14,$D$4:$H$4)/100)/(100-SUMPRODUCT((D14:H14&lt;&gt;"")*($D$4:$H$4))))))))))</f>
        <v>No Procede</v>
      </c>
    </row>
    <row r="15" spans="2:45" ht="22" customHeight="1">
      <c r="B15" s="19">
        <f t="shared" si="13"/>
        <v>10</v>
      </c>
      <c r="C15" s="4" t="s">
        <v>30</v>
      </c>
      <c r="D15" s="97">
        <v>6</v>
      </c>
      <c r="E15" s="70">
        <v>2.9</v>
      </c>
      <c r="F15" s="97">
        <v>2.5</v>
      </c>
      <c r="G15" s="97">
        <v>5.55</v>
      </c>
      <c r="H15" s="97">
        <v>5.35</v>
      </c>
      <c r="I15" s="81">
        <f t="shared" si="0"/>
        <v>4.6825000000000001</v>
      </c>
      <c r="J15" s="61" t="s">
        <v>29</v>
      </c>
      <c r="K15" s="35" cm="1">
        <f t="array" ref="K15">IF(COUNTIF(D15:H15,"NP")&gt;0,"NP",IF(COUNTIF(D15:H15,"Reconocimiento Créditos")&gt;0,"Reconocimiento Créditos",IF(COUNTIF(D15:H15,"Aprobado en otro curso")&gt;0,"Aprobado en otro curso",IF(COUNTIF(D15:H15,"")&gt;0,"Faltan Calificaciones",AVERAGE((D15:H15-$D$128:$H$128)/$D$130:$H$130)))))</f>
        <v>-0.3840014214637682</v>
      </c>
      <c r="L15" s="40">
        <f t="shared" si="1"/>
        <v>0.22800000000000001</v>
      </c>
      <c r="M15" s="43">
        <f t="shared" si="2"/>
        <v>4.75</v>
      </c>
      <c r="N15" s="35" cm="1">
        <f t="array" ref="N15">IF(COUNTIF(D15:H15,"NP")&gt;0,"NP",IF(COUNTIF(D15:H15,"Reconocimiento Créditos")&gt;0,"Reconocimiento Créditos",IF(COUNTIF(D15:H15,"Aprobado en otro curso")&gt;0,"Aprobado en otro curso",IF(COUNTIF(D15:H15,"")&gt;0,"Faltan Calificaciones",AVERAGE((D15:H15-$D$128:$H$128)*($D$2:$H$2="EXAMEN")/($D$130:$H$130)*($D$2:$H$2="EXAMEN"))))))</f>
        <v>-0.12722110444703039</v>
      </c>
      <c r="O15" s="40">
        <f t="shared" si="3"/>
        <v>0.36899999999999999</v>
      </c>
      <c r="P15" s="43">
        <f t="shared" si="4"/>
        <v>4.0250000000000004</v>
      </c>
      <c r="Q15" s="35" cm="1">
        <f t="array" ref="Q15">IF(COUNTIF(D15:H15,"NP")&gt;0,"NP",IF(COUNTIF(D15:H15,"Reconocimiento Créditos")&gt;0,"Reconocimiento Créditos",IF(COUNTIF(D15:H15,"Aprobado en otro curso")&gt;0,"Aprobado en otro curso",IF(COUNTIF(D15:H15,"")&gt;0,"Faltan Calificaciones",AVERAGE((D15:H15-$D$128:$H$128)*($D$2:$H$2="Prueba Complementaria")/($D$130:$H$130)*($D$2:$H$2="Prueba Complementaria"))))))</f>
        <v>-0.25678031701673781</v>
      </c>
      <c r="R15" s="40">
        <f t="shared" si="5"/>
        <v>0.17299999999999999</v>
      </c>
      <c r="S15" s="42">
        <f t="shared" si="6"/>
        <v>4.4599999999999991</v>
      </c>
      <c r="T15" s="43">
        <f t="shared" si="7"/>
        <v>-0.72499999999999964</v>
      </c>
      <c r="U15" s="40">
        <f t="shared" si="8"/>
        <v>-0.15263157894736834</v>
      </c>
      <c r="V15" s="40" t="str" cm="1">
        <f t="array" ref="V15">IF(COUNTIF(D15:H15,"NP")&gt;0,"NP",IF(COUNTIF(D15:H15,"Reconocimiento Créditos")&gt;0,"Reconocimiento Créditos",IF(COUNTIF(D15:H15,"Aprobado en otro curso")&gt;0,"Aprobado en otro curso",IF(COUNTBLANK(D15:H15)&gt;0,"Faltan Calificaciones",IF((SUMPRODUCT(($D$2:$H$2="EXAMEN")*((D15:H15-$D$128:$H$128)/$D$130:$H$130))/SUMPRODUCT(--($D$2:$H$2="EXAMEN")))-(SUMPRODUCT(($D$2:$H$2="PRUEBA COMPLEMENTARIA")*((D15:H15-$D$128:$H$128)/$D$130:$H$130))/SUMPRODUCT(--($D$2:$H$2="PRUEBA COMPLEMENTARIA")))&gt;0,"Exámenes","Actividades")))))</f>
        <v>Exámenes</v>
      </c>
      <c r="W15" s="35">
        <f t="shared" si="9"/>
        <v>1.416301864945135E-2</v>
      </c>
      <c r="X15" s="35">
        <f t="shared" si="10"/>
        <v>1.4578751661236309</v>
      </c>
      <c r="Y15" s="71">
        <f t="shared" si="11"/>
        <v>0.30523875455209132</v>
      </c>
      <c r="Z15" s="35" cm="1">
        <f t="array" ref="Z15">IF(COUNTIF(D15:H15,"NP")&gt;0,"NP",IF(COUNTIF(D15:H15,"Reconocimiento Créditos")&gt;0,"Reconocimiento Créditos",IF(COUNTIF(D15:H15,"Aprobado en otro curso")&gt;0,"Aprobado en otro curso",IF(COUNTIF($D$2:$H$2,"Examen")&lt;2,"Faltan Calificaciones",SLOPE(_xlfn._xlws.FILTER(D15:H15,$D$2:$H$2="EXAMEN"),_xlfn.SEQUENCE(1,COUNTIF($D$2:$H$2,"EXAMEN"),1,1))))))</f>
        <v>-0.32500000000000018</v>
      </c>
      <c r="AA15" s="35">
        <f t="shared" si="12"/>
        <v>0.89000000000000057</v>
      </c>
      <c r="AB15" s="35" t="str" cm="1">
        <f t="array" ref="AB15">IF(COUNTIF(D15:H15,"NP")&gt;0,"NP",IF(COUNTIF(D15:H15,"Reconocimiento Créditos")&gt;0,"Reconocimiento Créditos",IF(COUNTIF(D15:H15,"Aprobado en otro curso")&gt;0,"Aprobado en otro curso",IF(COUNTBLANK(D15:H15)=0,"No Procede",IF(COUNTBLANK(D15:H15)&gt;3,"No Procede",IF(100*(5-SUMPRODUCT(D15:H15,$D$4:$H$4)/100)/(100-SUMPRODUCT((D15:H15&lt;&gt;"")*($D$4:$H$4)))&gt;10,"Necesita más de 10",IF(100*(5-SUMPRODUCT(D15:H15,$D$4:$H$4)/100)/(100-SUMPRODUCT((D15:H15&lt;&gt;"")*($D$4:$H$4)))&lt;0,"va bien encaminado",100*(5-SUMPRODUCT(D15:H15,$D$4:$H$4)/100)/(100-SUMPRODUCT((D15:H15&lt;&gt;"")*($D$4:$H$4))))))))))</f>
        <v>No Procede</v>
      </c>
    </row>
    <row r="16" spans="2:45" ht="22" customHeight="1">
      <c r="B16" s="17"/>
      <c r="C16" s="21"/>
      <c r="D16" s="20"/>
      <c r="E16" s="22"/>
      <c r="F16" s="85"/>
      <c r="G16" s="85"/>
      <c r="H16" s="20"/>
      <c r="I16" s="81"/>
      <c r="J16" s="62"/>
      <c r="K16" s="16"/>
      <c r="L16" s="39"/>
      <c r="M16" s="39"/>
      <c r="N16" s="67"/>
      <c r="O16" s="39"/>
      <c r="P16" s="39"/>
      <c r="Q16" s="67"/>
      <c r="R16" s="39"/>
      <c r="T16" s="16"/>
      <c r="U16" s="16"/>
    </row>
    <row r="17" spans="2:45" s="63" customFormat="1" ht="22" customHeight="1">
      <c r="B17" s="47"/>
      <c r="C17" s="51" t="s">
        <v>17</v>
      </c>
      <c r="D17" s="46"/>
      <c r="E17" s="86"/>
      <c r="F17" s="46"/>
      <c r="G17" s="46"/>
      <c r="H17" s="46"/>
      <c r="I17" s="82"/>
      <c r="J17" s="64"/>
      <c r="K17" s="18" t="s">
        <v>50</v>
      </c>
      <c r="L17" s="34" t="s">
        <v>51</v>
      </c>
      <c r="M17" s="34" t="s">
        <v>53</v>
      </c>
      <c r="N17" s="58" t="s">
        <v>62</v>
      </c>
      <c r="O17" s="34" t="s">
        <v>64</v>
      </c>
      <c r="P17" s="34" t="s">
        <v>66</v>
      </c>
      <c r="Q17" s="58" t="s">
        <v>63</v>
      </c>
      <c r="R17" s="34" t="s">
        <v>65</v>
      </c>
      <c r="S17" s="18" t="s">
        <v>52</v>
      </c>
      <c r="T17" s="18" t="s">
        <v>56</v>
      </c>
      <c r="U17" s="18" t="s">
        <v>57</v>
      </c>
      <c r="V17" s="18" t="s">
        <v>58</v>
      </c>
      <c r="W17" s="18" t="s">
        <v>67</v>
      </c>
      <c r="X17" s="56" t="s">
        <v>68</v>
      </c>
      <c r="Y17" s="56" t="s">
        <v>69</v>
      </c>
      <c r="Z17" s="18" t="s">
        <v>70</v>
      </c>
      <c r="AA17" s="18" t="s">
        <v>71</v>
      </c>
      <c r="AB17" s="18" t="s">
        <v>77</v>
      </c>
      <c r="AI17" s="12"/>
      <c r="AJ17" s="12"/>
      <c r="AK17" s="12"/>
      <c r="AL17" s="12"/>
      <c r="AM17" s="12"/>
      <c r="AN17" s="12"/>
      <c r="AO17" s="12"/>
      <c r="AP17" s="12"/>
      <c r="AQ17" s="12"/>
      <c r="AR17" s="12"/>
      <c r="AS17" s="12"/>
    </row>
    <row r="18" spans="2:45" ht="22" customHeight="1">
      <c r="B18" s="19">
        <f>B15+1</f>
        <v>11</v>
      </c>
      <c r="C18" s="4" t="s">
        <v>30</v>
      </c>
      <c r="D18" s="97">
        <v>6</v>
      </c>
      <c r="E18" s="70">
        <v>5.35</v>
      </c>
      <c r="F18" s="97">
        <v>2.75</v>
      </c>
      <c r="G18" s="97">
        <v>4</v>
      </c>
      <c r="H18" s="97">
        <v>3</v>
      </c>
      <c r="I18" s="81">
        <f>IF(COUNTA(D18:H18)=0, "", IF(COUNT(D18:H18)&lt;&gt;COUNTA(D18:H18), "NP", SUMPRODUCT(D18:H18, D$4:H$4)/100))</f>
        <v>3.915</v>
      </c>
      <c r="J18" s="60" t="s">
        <v>29</v>
      </c>
      <c r="K18" s="35" cm="1">
        <f t="array" ref="K18">IF(COUNTIF(D18:H18,"NP")&gt;0,"NP",IF(COUNTIF(D18:H18,"Reconocimiento Créditos")&gt;0,"Reconocimiento Créditos",IF(COUNTIF(D18:H18,"Aprobado en otro curso")&gt;0,"Aprobado en otro curso",IF(COUNTIF(D18:H18,"")&gt;0,"Faltan Calificaciones",AVERAGE((D18:H18-$D$128:$H$128)/$D$130:$H$130)))))</f>
        <v>-0.45609181070089899</v>
      </c>
      <c r="L18" s="40">
        <f t="shared" si="1"/>
        <v>0.17299999999999999</v>
      </c>
      <c r="M18" s="43">
        <f t="shared" si="2"/>
        <v>4.7833333333333332</v>
      </c>
      <c r="N18" s="35" cm="1">
        <f t="array" ref="N18">IF(COUNTIF(D18:H18,"NP")&gt;0,"NP",IF(COUNTIF(D18:H18,"Reconocimiento Créditos")&gt;0,"Reconocimiento Créditos",IF(COUNTIF(D18:H18,"Aprobado en otro curso")&gt;0,"Aprobado en otro curso",IF(COUNTIF(D18:H18,"")&gt;0,"Faltan Calificaciones",AVERAGE((D18:H18-$D$128:$H$128)*($D$2:$H$2="EXAMEN")/($D$130:$H$130)*($D$2:$H$2="EXAMEN"))))))</f>
        <v>-0.10624930006139448</v>
      </c>
      <c r="O18" s="40">
        <f t="shared" si="3"/>
        <v>0.38</v>
      </c>
      <c r="P18" s="43">
        <f t="shared" si="4"/>
        <v>3.375</v>
      </c>
      <c r="Q18" s="35" cm="1">
        <f t="array" ref="Q18">IF(COUNTIF(D18:H18,"NP")&gt;0,"NP",IF(COUNTIF(D18:H18,"Reconocimiento Créditos")&gt;0,"Reconocimiento Créditos",IF(COUNTIF(D18:H18,"Aprobado en otro curso")&gt;0,"Aprobado en otro curso",IF(COUNTIF(D18:H18,"")&gt;0,"Faltan Calificaciones",AVERAGE((D18:H18-$D$128:$H$128)*($D$2:$H$2="Prueba Complementaria")/($D$130:$H$130)*($D$2:$H$2="Prueba Complementaria"))))))</f>
        <v>-0.34984251063950456</v>
      </c>
      <c r="R18" s="40">
        <f t="shared" si="5"/>
        <v>0.13</v>
      </c>
      <c r="S18" s="42">
        <f t="shared" si="6"/>
        <v>4.2200000000000006</v>
      </c>
      <c r="T18" s="43">
        <f t="shared" si="7"/>
        <v>-1.4083333333333332</v>
      </c>
      <c r="U18" s="40">
        <f t="shared" si="8"/>
        <v>-0.29442508710801391</v>
      </c>
      <c r="V18" s="40" t="str" cm="1">
        <f t="array" ref="V18">IF(COUNTIF(D18:H18,"NP")&gt;0,"NP",IF(COUNTIF(D18:H18,"Reconocimiento Créditos")&gt;0,"Reconocimiento Créditos",IF(COUNTIF(D18:H18,"Aprobado en otro curso")&gt;0,"Aprobado en otro curso",IF(COUNTBLANK(D18:H18)&gt;0,"Faltan Calificaciones",IF((SUMPRODUCT(($D$2:$H$2="EXAMEN")*((D18:H18-$D$128:$H$128)/$D$130:$H$130))/SUMPRODUCT(--($D$2:$H$2="EXAMEN")))-(SUMPRODUCT(($D$2:$H$2="PRUEBA COMPLEMENTARIA")*((D18:H18-$D$128:$H$128)/$D$130:$H$130))/SUMPRODUCT(--($D$2:$H$2="PRUEBA COMPLEMENTARIA")))&gt;0,"Exámenes","Actividades")))))</f>
        <v>Exámenes</v>
      </c>
      <c r="W18" s="35">
        <f t="shared" si="9"/>
        <v>1.1988343839527337E-2</v>
      </c>
      <c r="X18" s="35">
        <f t="shared" si="10"/>
        <v>1.2761661333854613</v>
      </c>
      <c r="Y18" s="71">
        <f t="shared" si="11"/>
        <v>-0.47799419216820066</v>
      </c>
      <c r="Z18" s="35" cm="1">
        <f t="array" ref="Z18">IF(COUNTIF(D18:H18,"NP")&gt;0,"NP",IF(COUNTIF(D18:H18,"Reconocimiento Créditos")&gt;0,"Reconocimiento Créditos",IF(COUNTIF(D18:H18,"Aprobado en otro curso")&gt;0,"Aprobado en otro curso",IF(COUNTIF($D$2:$H$2,"Examen")&lt;2,"Faltan Calificaciones",SLOPE(_xlfn._xlws.FILTER(D18:H18,$D$2:$H$2="EXAMEN"),_xlfn.SEQUENCE(1,COUNTIF($D$2:$H$2,"EXAMEN"),1,1))))))</f>
        <v>-1.5</v>
      </c>
      <c r="AA18" s="35">
        <f t="shared" si="12"/>
        <v>-1.2200000000000006</v>
      </c>
      <c r="AB18" s="35" t="str" cm="1">
        <f t="array" ref="AB18">IF(COUNTIF(D18:H18,"NP")&gt;0,"NP",IF(COUNTIF(D18:H18,"Reconocimiento Créditos")&gt;0,"Reconocimiento Créditos",IF(COUNTIF(D18:H18,"Aprobado en otro curso")&gt;0,"Aprobado en otro curso",IF(COUNTBLANK(D18:H18)=0,"No Procede",IF(COUNTBLANK(D18:H18)&gt;3,"No Procede",IF(100*(5-SUMPRODUCT(D18:H18,$D$4:$H$4)/100)/(100-SUMPRODUCT((D18:H18&lt;&gt;"")*($D$4:$H$4)))&gt;10,"Necesita más de 10",IF(100*(5-SUMPRODUCT(D18:H18,$D$4:$H$4)/100)/(100-SUMPRODUCT((D18:H18&lt;&gt;"")*($D$4:$H$4)))&lt;0,"va bien encaminado",100*(5-SUMPRODUCT(D18:H18,$D$4:$H$4)/100)/(100-SUMPRODUCT((D18:H18&lt;&gt;"")*($D$4:$H$4))))))))))</f>
        <v>No Procede</v>
      </c>
    </row>
    <row r="19" spans="2:45" ht="22" customHeight="1">
      <c r="B19" s="19">
        <f t="shared" ref="B19:B29" si="14">B18+1</f>
        <v>12</v>
      </c>
      <c r="C19" s="4" t="s">
        <v>30</v>
      </c>
      <c r="D19" s="97">
        <v>6</v>
      </c>
      <c r="E19" s="70">
        <v>3.3</v>
      </c>
      <c r="F19" s="97">
        <v>2.5</v>
      </c>
      <c r="G19" s="97">
        <v>5.5</v>
      </c>
      <c r="H19" s="97">
        <v>6</v>
      </c>
      <c r="I19" s="81">
        <f t="shared" ref="I19:I25" si="15">IF(COUNTA(D19:H19)=0, "", IF(COUNT(D19:H19)&lt;&gt;COUNTA(D19:H19), "NP", SUMPRODUCT(D19:H19, D$4:H$4)/100))</f>
        <v>4.9950000000000001</v>
      </c>
      <c r="J19" s="60" t="s">
        <v>29</v>
      </c>
      <c r="K19" s="35" cm="1">
        <f t="array" ref="K19">IF(COUNTIF(D19:H19,"NP")&gt;0,"NP",IF(COUNTIF(D19:H19,"Reconocimiento Créditos")&gt;0,"Reconocimiento Créditos",IF(COUNTIF(D19:H19,"Aprobado en otro curso")&gt;0,"Aprobado en otro curso",IF(COUNTIF(D19:H19,"")&gt;0,"Faltan Calificaciones",AVERAGE((D19:H19-$D$128:$H$128)/$D$130:$H$130)))))</f>
        <v>-0.29010142611890266</v>
      </c>
      <c r="L19" s="40">
        <f t="shared" si="1"/>
        <v>0.34699999999999998</v>
      </c>
      <c r="M19" s="43">
        <f t="shared" si="2"/>
        <v>5.1000000000000005</v>
      </c>
      <c r="N19" s="35" cm="1">
        <f t="array" ref="N19">IF(COUNTIF(D19:H19,"NP")&gt;0,"NP",IF(COUNTIF(D19:H19,"Reconocimiento Créditos")&gt;0,"Reconocimiento Créditos",IF(COUNTIF(D19:H19,"Aprobado en otro curso")&gt;0,"Aprobado en otro curso",IF(COUNTIF(D19:H19,"")&gt;0,"Faltan Calificaciones",AVERAGE((D19:H19-$D$128:$H$128)*($D$2:$H$2="EXAMEN")/($D$130:$H$130)*($D$2:$H$2="EXAMEN"))))))</f>
        <v>-2.9644003493212646E-2</v>
      </c>
      <c r="O19" s="40">
        <f t="shared" si="3"/>
        <v>0.45600000000000002</v>
      </c>
      <c r="P19" s="43">
        <f t="shared" si="4"/>
        <v>4</v>
      </c>
      <c r="Q19" s="35" cm="1">
        <f t="array" ref="Q19">IF(COUNTIF(D19:H19,"NP")&gt;0,"NP",IF(COUNTIF(D19:H19,"Reconocimiento Créditos")&gt;0,"Reconocimiento Créditos",IF(COUNTIF(D19:H19,"Aprobado en otro curso")&gt;0,"Aprobado en otro curso",IF(COUNTIF(D19:H19,"")&gt;0,"Faltan Calificaciones",AVERAGE((D19:H19-$D$128:$H$128)*($D$2:$H$2="Prueba Complementaria")/($D$130:$H$130)*($D$2:$H$2="Prueba Complementaria"))))))</f>
        <v>-0.26045742262569005</v>
      </c>
      <c r="R19" s="40">
        <f t="shared" si="5"/>
        <v>0.152</v>
      </c>
      <c r="S19" s="42">
        <f t="shared" si="6"/>
        <v>4.66</v>
      </c>
      <c r="T19" s="43">
        <f t="shared" si="7"/>
        <v>-1.1000000000000005</v>
      </c>
      <c r="U19" s="40">
        <f t="shared" si="8"/>
        <v>-0.21568627450980402</v>
      </c>
      <c r="V19" s="40" t="str" cm="1">
        <f t="array" ref="V19">IF(COUNTIF(D19:H19,"NP")&gt;0,"NP",IF(COUNTIF(D19:H19,"Reconocimiento Créditos")&gt;0,"Reconocimiento Créditos",IF(COUNTIF(D19:H19,"Aprobado en otro curso")&gt;0,"Aprobado en otro curso",IF(COUNTBLANK(D19:H19)&gt;0,"Faltan Calificaciones",IF((SUMPRODUCT(($D$2:$H$2="EXAMEN")*((D19:H19-$D$128:$H$128)/$D$130:$H$130))/SUMPRODUCT(--($D$2:$H$2="EXAMEN")))-(SUMPRODUCT(($D$2:$H$2="PRUEBA COMPLEMENTARIA")*((D19:H19-$D$128:$H$128)/$D$130:$H$130))/SUMPRODUCT(--($D$2:$H$2="PRUEBA COMPLEMENTARIA")))&gt;0,"Exámenes","Actividades")))))</f>
        <v>Exámenes</v>
      </c>
      <c r="W19" s="35">
        <f t="shared" si="9"/>
        <v>4.0447446293570381E-3</v>
      </c>
      <c r="X19" s="35">
        <f t="shared" si="10"/>
        <v>1.4705101155721447</v>
      </c>
      <c r="Y19" s="71">
        <f t="shared" si="11"/>
        <v>0.45562420340054399</v>
      </c>
      <c r="Z19" s="35" cm="1">
        <f t="array" ref="Z19">IF(COUNTIF(D19:H19,"NP")&gt;0,"NP",IF(COUNTIF(D19:H19,"Reconocimiento Créditos")&gt;0,"Reconocimiento Créditos",IF(COUNTIF(D19:H19,"Aprobado en otro curso")&gt;0,"Aprobado en otro curso",IF(COUNTIF($D$2:$H$2,"Examen")&lt;2,"Faltan Calificaciones",SLOPE(_xlfn._xlws.FILTER(D19:H19,$D$2:$H$2="EXAMEN"),_xlfn.SEQUENCE(1,COUNTIF($D$2:$H$2,"EXAMEN"),1,1))))))</f>
        <v>0</v>
      </c>
      <c r="AA19" s="35">
        <f t="shared" si="12"/>
        <v>1.3399999999999999</v>
      </c>
      <c r="AB19" s="35" t="str" cm="1">
        <f t="array" ref="AB19">IF(COUNTIF(D19:H19,"NP")&gt;0,"NP",IF(COUNTIF(D19:H19,"Reconocimiento Créditos")&gt;0,"Reconocimiento Créditos",IF(COUNTIF(D19:H19,"Aprobado en otro curso")&gt;0,"Aprobado en otro curso",IF(COUNTBLANK(D19:H19)=0,"No Procede",IF(COUNTBLANK(D19:H19)&gt;3,"No Procede",IF(100*(5-SUMPRODUCT(D19:H19,$D$4:$H$4)/100)/(100-SUMPRODUCT((D19:H19&lt;&gt;"")*($D$4:$H$4)))&gt;10,"Necesita más de 10",IF(100*(5-SUMPRODUCT(D19:H19,$D$4:$H$4)/100)/(100-SUMPRODUCT((D19:H19&lt;&gt;"")*($D$4:$H$4)))&lt;0,"va bien encaminado",100*(5-SUMPRODUCT(D19:H19,$D$4:$H$4)/100)/(100-SUMPRODUCT((D19:H19&lt;&gt;"")*($D$4:$H$4))))))))))</f>
        <v>No Procede</v>
      </c>
      <c r="AI19" s="63"/>
      <c r="AJ19" s="63"/>
      <c r="AK19" s="63"/>
      <c r="AL19" s="63"/>
      <c r="AM19" s="63"/>
      <c r="AN19" s="63"/>
      <c r="AO19" s="63"/>
      <c r="AP19" s="63"/>
      <c r="AQ19" s="63"/>
      <c r="AR19" s="63"/>
      <c r="AS19" s="63"/>
    </row>
    <row r="20" spans="2:45" ht="22" customHeight="1">
      <c r="B20" s="19">
        <f t="shared" si="14"/>
        <v>13</v>
      </c>
      <c r="C20" s="4" t="s">
        <v>30</v>
      </c>
      <c r="D20" s="70">
        <v>6</v>
      </c>
      <c r="E20" s="70">
        <v>2.95</v>
      </c>
      <c r="F20" s="97">
        <v>6.75</v>
      </c>
      <c r="G20" s="97">
        <v>6.7</v>
      </c>
      <c r="H20" s="97">
        <v>4.3</v>
      </c>
      <c r="I20" s="81">
        <f t="shared" si="15"/>
        <v>5.08</v>
      </c>
      <c r="J20" s="60" t="s">
        <v>29</v>
      </c>
      <c r="K20" s="35" cm="1">
        <f t="array" ref="K20">IF(COUNTIF(D20:H20,"NP")&gt;0,"NP",IF(COUNTIF(D20:H20,"Reconocimiento Créditos")&gt;0,"Reconocimiento Créditos",IF(COUNTIF(D20:H20,"Aprobado en otro curso")&gt;0,"Aprobado en otro curso",IF(COUNTIF(D20:H20,"")&gt;0,"Faltan Calificaciones",AVERAGE((D20:H20-$D$128:$H$128)/$D$130:$H$130)))))</f>
        <v>-3.4494474664930108E-2</v>
      </c>
      <c r="L20" s="40">
        <f t="shared" si="1"/>
        <v>0.36899999999999999</v>
      </c>
      <c r="M20" s="43">
        <f t="shared" si="2"/>
        <v>4.416666666666667</v>
      </c>
      <c r="N20" s="35" cm="1">
        <f t="array" ref="N20">IF(COUNTIF(D20:H20,"NP")&gt;0,"NP",IF(COUNTIF(D20:H20,"Reconocimiento Créditos")&gt;0,"Reconocimiento Créditos",IF(COUNTIF(D20:H20,"Aprobado en otro curso")&gt;0,"Aprobado en otro curso",IF(COUNTIF(D20:H20,"")&gt;0,"Faltan Calificaciones",AVERAGE((D20:H20-$D$128:$H$128)*($D$2:$H$2="EXAMEN")/($D$130:$H$130)*($D$2:$H$2="EXAMEN"))))))</f>
        <v>-0.21806495098488715</v>
      </c>
      <c r="O20" s="40">
        <f t="shared" si="3"/>
        <v>0.28199999999999997</v>
      </c>
      <c r="P20" s="43">
        <f t="shared" si="4"/>
        <v>6.7249999999999996</v>
      </c>
      <c r="Q20" s="35" cm="1">
        <f t="array" ref="Q20">IF(COUNTIF(D20:H20,"NP")&gt;0,"NP",IF(COUNTIF(D20:H20,"Reconocimiento Créditos")&gt;0,"Reconocimiento Créditos",IF(COUNTIF(D20:H20,"Aprobado en otro curso")&gt;0,"Aprobado en otro curso",IF(COUNTIF(D20:H20,"")&gt;0,"Faltan Calificaciones",AVERAGE((D20:H20-$D$128:$H$128)*($D$2:$H$2="Prueba Complementaria")/($D$130:$H$130)*($D$2:$H$2="Prueba Complementaria"))))))</f>
        <v>0.18357047631995699</v>
      </c>
      <c r="R20" s="40">
        <f t="shared" si="5"/>
        <v>0.69499999999999995</v>
      </c>
      <c r="S20" s="42">
        <f t="shared" si="6"/>
        <v>5.34</v>
      </c>
      <c r="T20" s="43">
        <f t="shared" si="7"/>
        <v>2.3083333333333327</v>
      </c>
      <c r="U20" s="40">
        <f t="shared" si="8"/>
        <v>0.52264150943396204</v>
      </c>
      <c r="V20" s="40" t="str" cm="1">
        <f t="array" ref="V20">IF(COUNTIF(D20:H20,"NP")&gt;0,"NP",IF(COUNTIF(D20:H20,"Reconocimiento Créditos")&gt;0,"Reconocimiento Créditos",IF(COUNTIF(D20:H20,"Aprobado en otro curso")&gt;0,"Aprobado en otro curso",IF(COUNTBLANK(D20:H20)&gt;0,"Faltan Calificaciones",IF((SUMPRODUCT(($D$2:$H$2="EXAMEN")*((D20:H20-$D$128:$H$128)/$D$130:$H$130))/SUMPRODUCT(--($D$2:$H$2="EXAMEN")))-(SUMPRODUCT(($D$2:$H$2="PRUEBA COMPLEMENTARIA")*((D20:H20-$D$128:$H$128)/$D$130:$H$130))/SUMPRODUCT(--($D$2:$H$2="PRUEBA COMPLEMENTARIA")))&gt;0,"Exámenes","Actividades")))))</f>
        <v>Actividades</v>
      </c>
      <c r="W20" s="35">
        <f t="shared" si="9"/>
        <v>2.3583086711777473E-2</v>
      </c>
      <c r="X20" s="35">
        <f t="shared" si="10"/>
        <v>1.4877499789951272</v>
      </c>
      <c r="Y20" s="71">
        <f t="shared" si="11"/>
        <v>-0.3495210938273543</v>
      </c>
      <c r="Z20" s="35" cm="1">
        <f t="array" ref="Z20">IF(COUNTIF(D20:H20,"NP")&gt;0,"NP",IF(COUNTIF(D20:H20,"Reconocimiento Créditos")&gt;0,"Reconocimiento Créditos",IF(COUNTIF(D20:H20,"Aprobado en otro curso")&gt;0,"Aprobado en otro curso",IF(COUNTIF($D$2:$H$2,"Examen")&lt;2,"Faltan Calificaciones",SLOPE(_xlfn._xlws.FILTER(D20:H20,$D$2:$H$2="EXAMEN"),_xlfn.SEQUENCE(1,COUNTIF($D$2:$H$2,"EXAMEN"),1,1))))))</f>
        <v>-0.85000000000000009</v>
      </c>
      <c r="AA20" s="35">
        <f t="shared" si="12"/>
        <v>-1.04</v>
      </c>
      <c r="AB20" s="35" t="str" cm="1">
        <f t="array" ref="AB20">IF(COUNTIF(D20:H20,"NP")&gt;0,"NP",IF(COUNTIF(D20:H20,"Reconocimiento Créditos")&gt;0,"Reconocimiento Créditos",IF(COUNTIF(D20:H20,"Aprobado en otro curso")&gt;0,"Aprobado en otro curso",IF(COUNTBLANK(D20:H20)=0,"No Procede",IF(COUNTBLANK(D20:H20)&gt;3,"No Procede",IF(100*(5-SUMPRODUCT(D20:H20,$D$4:$H$4)/100)/(100-SUMPRODUCT((D20:H20&lt;&gt;"")*($D$4:$H$4)))&gt;10,"Necesita más de 10",IF(100*(5-SUMPRODUCT(D20:H20,$D$4:$H$4)/100)/(100-SUMPRODUCT((D20:H20&lt;&gt;"")*($D$4:$H$4)))&lt;0,"va bien encaminado",100*(5-SUMPRODUCT(D20:H20,$D$4:$H$4)/100)/(100-SUMPRODUCT((D20:H20&lt;&gt;"")*($D$4:$H$4))))))))))</f>
        <v>No Procede</v>
      </c>
    </row>
    <row r="21" spans="2:45" ht="22" customHeight="1">
      <c r="B21" s="19">
        <f t="shared" si="14"/>
        <v>14</v>
      </c>
      <c r="C21" s="4" t="s">
        <v>30</v>
      </c>
      <c r="D21" s="97">
        <v>6</v>
      </c>
      <c r="E21" s="70">
        <v>7.5</v>
      </c>
      <c r="F21" s="97">
        <v>6</v>
      </c>
      <c r="G21" s="97">
        <v>7.9</v>
      </c>
      <c r="H21" s="97">
        <v>6.65</v>
      </c>
      <c r="I21" s="81">
        <f t="shared" si="15"/>
        <v>6.77</v>
      </c>
      <c r="J21" s="60" t="s">
        <v>29</v>
      </c>
      <c r="K21" s="35" cm="1">
        <f t="array" ref="K21">IF(COUNTIF(D21:H21,"NP")&gt;0,"NP",IF(COUNTIF(D21:H21,"Reconocimiento Créditos")&gt;0,"Reconocimiento Créditos",IF(COUNTIF(D21:H21,"Aprobado en otro curso")&gt;0,"Aprobado en otro curso",IF(COUNTIF(D21:H21,"")&gt;0,"Faltan Calificaciones",AVERAGE((D21:H21-$D$128:$H$128)/$D$130:$H$130)))))</f>
        <v>0.64149656786812259</v>
      </c>
      <c r="L21" s="40">
        <f t="shared" si="1"/>
        <v>0.81499999999999995</v>
      </c>
      <c r="M21" s="43">
        <f t="shared" si="2"/>
        <v>6.7166666666666659</v>
      </c>
      <c r="N21" s="35" cm="1">
        <f t="array" ref="N21">IF(COUNTIF(D21:H21,"NP")&gt;0,"NP",IF(COUNTIF(D21:H21,"Reconocimiento Créditos")&gt;0,"Reconocimiento Créditos",IF(COUNTIF(D21:H21,"Aprobado en otro curso")&gt;0,"Aprobado en otro curso",IF(COUNTIF(D21:H21,"")&gt;0,"Faltan Calificaciones",AVERAGE((D21:H21-$D$128:$H$128)*($D$2:$H$2="EXAMEN")/($D$130:$H$130)*($D$2:$H$2="EXAMEN"))))))</f>
        <v>0.43245979769756965</v>
      </c>
      <c r="O21" s="40">
        <f t="shared" si="3"/>
        <v>0.83599999999999997</v>
      </c>
      <c r="P21" s="43">
        <f t="shared" si="4"/>
        <v>6.95</v>
      </c>
      <c r="Q21" s="35" cm="1">
        <f t="array" ref="Q21">IF(COUNTIF(D21:H21,"NP")&gt;0,"NP",IF(COUNTIF(D21:H21,"Reconocimiento Créditos")&gt;0,"Reconocimiento Créditos",IF(COUNTIF(D21:H21,"Aprobado en otro curso")&gt;0,"Aprobado en otro curso",IF(COUNTIF(D21:H21,"")&gt;0,"Faltan Calificaciones",AVERAGE((D21:H21-$D$128:$H$128)*($D$2:$H$2="Prueba Complementaria")/($D$130:$H$130)*($D$2:$H$2="Prueba Complementaria"))))))</f>
        <v>0.20903677017055303</v>
      </c>
      <c r="R21" s="40">
        <f t="shared" si="5"/>
        <v>0.71699999999999997</v>
      </c>
      <c r="S21" s="42">
        <f t="shared" si="6"/>
        <v>6.81</v>
      </c>
      <c r="T21" s="43">
        <f t="shared" si="7"/>
        <v>0.23333333333333428</v>
      </c>
      <c r="U21" s="40">
        <f t="shared" si="8"/>
        <v>3.4739454094292951E-2</v>
      </c>
      <c r="V21" s="40" t="str" cm="1">
        <f t="array" ref="V21">IF(COUNTIF(D21:H21,"NP")&gt;0,"NP",IF(COUNTIF(D21:H21,"Reconocimiento Créditos")&gt;0,"Reconocimiento Créditos",IF(COUNTIF(D21:H21,"Aprobado en otro curso")&gt;0,"Aprobado en otro curso",IF(COUNTBLANK(D21:H21)&gt;0,"Faltan Calificaciones",IF((SUMPRODUCT(($D$2:$H$2="EXAMEN")*((D21:H21-$D$128:$H$128)/$D$130:$H$130))/SUMPRODUCT(--($D$2:$H$2="EXAMEN")))-(SUMPRODUCT(($D$2:$H$2="PRUEBA COMPLEMENTARIA")*((D21:H21-$D$128:$H$128)/$D$130:$H$130))/SUMPRODUCT(--($D$2:$H$2="PRUEBA COMPLEMENTARIA")))&gt;0,"Exámenes","Actividades")))))</f>
        <v>Exámenes</v>
      </c>
      <c r="W21" s="35">
        <f t="shared" si="9"/>
        <v>4.3873187349258283E-2</v>
      </c>
      <c r="X21" s="35">
        <f t="shared" si="10"/>
        <v>0.77485482511242043</v>
      </c>
      <c r="Y21" s="71">
        <f t="shared" si="11"/>
        <v>-0.10324514658393331</v>
      </c>
      <c r="Z21" s="35" cm="1">
        <f t="array" ref="Z21">IF(COUNTIF(D21:H21,"NP")&gt;0,"NP",IF(COUNTIF(D21:H21,"Reconocimiento Créditos")&gt;0,"Reconocimiento Créditos",IF(COUNTIF(D21:H21,"Aprobado en otro curso")&gt;0,"Aprobado en otro curso",IF(COUNTIF($D$2:$H$2,"Examen")&lt;2,"Faltan Calificaciones",SLOPE(_xlfn._xlws.FILTER(D21:H21,$D$2:$H$2="EXAMEN"),_xlfn.SEQUENCE(1,COUNTIF($D$2:$H$2,"EXAMEN"),1,1))))))</f>
        <v>0.32500000000000018</v>
      </c>
      <c r="AA21" s="35">
        <f t="shared" si="12"/>
        <v>-0.15999999999999925</v>
      </c>
      <c r="AB21" s="35" t="str" cm="1">
        <f t="array" ref="AB21">IF(COUNTIF(D21:H21,"NP")&gt;0,"NP",IF(COUNTIF(D21:H21,"Reconocimiento Créditos")&gt;0,"Reconocimiento Créditos",IF(COUNTIF(D21:H21,"Aprobado en otro curso")&gt;0,"Aprobado en otro curso",IF(COUNTBLANK(D21:H21)=0,"No Procede",IF(COUNTBLANK(D21:H21)&gt;3,"No Procede",IF(100*(5-SUMPRODUCT(D21:H21,$D$4:$H$4)/100)/(100-SUMPRODUCT((D21:H21&lt;&gt;"")*($D$4:$H$4)))&gt;10,"Necesita más de 10",IF(100*(5-SUMPRODUCT(D21:H21,$D$4:$H$4)/100)/(100-SUMPRODUCT((D21:H21&lt;&gt;"")*($D$4:$H$4)))&lt;0,"va bien encaminado",100*(5-SUMPRODUCT(D21:H21,$D$4:$H$4)/100)/(100-SUMPRODUCT((D21:H21&lt;&gt;"")*($D$4:$H$4))))))))))</f>
        <v>No Procede</v>
      </c>
    </row>
    <row r="22" spans="2:45" ht="22" customHeight="1">
      <c r="B22" s="19">
        <f t="shared" si="14"/>
        <v>15</v>
      </c>
      <c r="C22" s="4" t="s">
        <v>30</v>
      </c>
      <c r="D22" s="70" t="s">
        <v>18</v>
      </c>
      <c r="E22" s="70" t="s">
        <v>18</v>
      </c>
      <c r="F22" s="70" t="s">
        <v>18</v>
      </c>
      <c r="G22" s="70" t="s">
        <v>18</v>
      </c>
      <c r="H22" s="70" t="s">
        <v>18</v>
      </c>
      <c r="I22" s="70" t="s">
        <v>18</v>
      </c>
      <c r="J22" s="60" t="s">
        <v>29</v>
      </c>
      <c r="K22" s="35" t="str" cm="1">
        <f t="array" ref="K22">IF(COUNTIF(D22:H22,"NP")&gt;0,"NP",IF(COUNTIF(D22:H22,"Reconocimiento Créditos")&gt;0,"Reconocimiento Créditos",IF(COUNTIF(D22:H22,"Aprobado en otro curso")&gt;0,"Aprobado en otro curso",IF(COUNTIF(D22:H22,"")&gt;0,"Faltan Calificaciones",AVERAGE((D22:H22-$D$128:$H$128)/$D$130:$H$130)))))</f>
        <v>Reconocimiento Créditos</v>
      </c>
      <c r="L22" s="40" t="str">
        <f t="shared" si="1"/>
        <v>Reconocimiento Créditos</v>
      </c>
      <c r="M22" s="43" t="str">
        <f t="shared" si="2"/>
        <v>Reconocimiento Créditos</v>
      </c>
      <c r="N22" s="35" t="str" cm="1">
        <f t="array" ref="N22">IF(COUNTIF(D22:H22,"NP")&gt;0,"NP",IF(COUNTIF(D22:H22,"Reconocimiento Créditos")&gt;0,"Reconocimiento Créditos",IF(COUNTIF(D22:H22,"Aprobado en otro curso")&gt;0,"Aprobado en otro curso",IF(COUNTIF(D22:H22,"")&gt;0,"Faltan Calificaciones",AVERAGE((D22:H22-$D$128:$H$128)*($D$2:$H$2="EXAMEN")/($D$130:$H$130)*($D$2:$H$2="EXAMEN"))))))</f>
        <v>Reconocimiento Créditos</v>
      </c>
      <c r="O22" s="40" t="str">
        <f t="shared" si="3"/>
        <v>Reconocimiento Créditos</v>
      </c>
      <c r="P22" s="43" t="str">
        <f t="shared" si="4"/>
        <v>Reconocimiento Créditos</v>
      </c>
      <c r="Q22" s="35" t="str" cm="1">
        <f t="array" ref="Q22">IF(COUNTIF(D22:H22,"NP")&gt;0,"NP",IF(COUNTIF(D22:H22,"Reconocimiento Créditos")&gt;0,"Reconocimiento Créditos",IF(COUNTIF(D22:H22,"Aprobado en otro curso")&gt;0,"Aprobado en otro curso",IF(COUNTIF(D22:H22,"")&gt;0,"Faltan Calificaciones",AVERAGE((D22:H22-$D$128:$H$128)*($D$2:$H$2="Prueba Complementaria")/($D$130:$H$130)*($D$2:$H$2="Prueba Complementaria"))))))</f>
        <v>Reconocimiento Créditos</v>
      </c>
      <c r="R22" s="40" t="str">
        <f t="shared" si="5"/>
        <v>Reconocimiento Créditos</v>
      </c>
      <c r="S22" s="42" t="str">
        <f t="shared" si="6"/>
        <v>Reconocimiento Créditos</v>
      </c>
      <c r="T22" s="43" t="str">
        <f t="shared" si="7"/>
        <v>Reconocimiento Créditos</v>
      </c>
      <c r="U22" s="40" t="str">
        <f t="shared" si="8"/>
        <v>Reconocimiento Créditos</v>
      </c>
      <c r="V22" s="40" t="str" cm="1">
        <f t="array" ref="V22">IF(COUNTIF(D22:H22,"NP")&gt;0,"NP",IF(COUNTIF(D22:H22,"Reconocimiento Créditos")&gt;0,"Reconocimiento Créditos",IF(COUNTIF(D22:H22,"Aprobado en otro curso")&gt;0,"Aprobado en otro curso",IF(COUNTBLANK(D22:H22)&gt;0,"Faltan Calificaciones",IF((SUMPRODUCT(($D$2:$H$2="EXAMEN")*((D22:H22-$D$128:$H$128)/$D$130:$H$130))/SUMPRODUCT(--($D$2:$H$2="EXAMEN")))-(SUMPRODUCT(($D$2:$H$2="PRUEBA COMPLEMENTARIA")*((D22:H22-$D$128:$H$128)/$D$130:$H$130))/SUMPRODUCT(--($D$2:$H$2="PRUEBA COMPLEMENTARIA")))&gt;0,"Exámenes","Actividades")))))</f>
        <v>Reconocimiento Créditos</v>
      </c>
      <c r="W22" s="35" t="str">
        <f t="shared" si="9"/>
        <v>Reconocimiento Créditos</v>
      </c>
      <c r="X22" s="35" t="str">
        <f t="shared" si="10"/>
        <v>Reconocimiento Créditos</v>
      </c>
      <c r="Y22" s="71" t="str">
        <f t="shared" si="11"/>
        <v>Reconocimiento Créditos</v>
      </c>
      <c r="Z22" s="35" t="str" cm="1">
        <f t="array" ref="Z22">IF(COUNTIF(D22:H22,"NP")&gt;0,"NP",IF(COUNTIF(D22:H22,"Reconocimiento Créditos")&gt;0,"Reconocimiento Créditos",IF(COUNTIF(D22:H22,"Aprobado en otro curso")&gt;0,"Aprobado en otro curso",IF(COUNTIF($D$2:$H$2,"Examen")&lt;2,"Faltan Calificaciones",SLOPE(_xlfn._xlws.FILTER(D22:H22,$D$2:$H$2="EXAMEN"),_xlfn.SEQUENCE(1,COUNTIF($D$2:$H$2,"EXAMEN"),1,1))))))</f>
        <v>Reconocimiento Créditos</v>
      </c>
      <c r="AA22" s="35" t="str">
        <f t="shared" si="12"/>
        <v>Reconocimiento Créditos</v>
      </c>
      <c r="AB22" s="35" t="str" cm="1">
        <f t="array" ref="AB22">IF(COUNTIF(D22:H22,"NP")&gt;0,"NP",IF(COUNTIF(D22:H22,"Reconocimiento Créditos")&gt;0,"Reconocimiento Créditos",IF(COUNTIF(D22:H22,"Aprobado en otro curso")&gt;0,"Aprobado en otro curso",IF(COUNTBLANK(D22:H22)=0,"No Procede",IF(COUNTBLANK(D22:H22)&gt;3,"No Procede",IF(100*(5-SUMPRODUCT(D22:H22,$D$4:$H$4)/100)/(100-SUMPRODUCT((D22:H22&lt;&gt;"")*($D$4:$H$4)))&gt;10,"Necesita más de 10",IF(100*(5-SUMPRODUCT(D22:H22,$D$4:$H$4)/100)/(100-SUMPRODUCT((D22:H22&lt;&gt;"")*($D$4:$H$4)))&lt;0,"va bien encaminado",100*(5-SUMPRODUCT(D22:H22,$D$4:$H$4)/100)/(100-SUMPRODUCT((D22:H22&lt;&gt;"")*($D$4:$H$4))))))))))</f>
        <v>Reconocimiento Créditos</v>
      </c>
    </row>
    <row r="23" spans="2:45" ht="22" customHeight="1">
      <c r="B23" s="19">
        <f t="shared" si="14"/>
        <v>16</v>
      </c>
      <c r="C23" s="4" t="s">
        <v>30</v>
      </c>
      <c r="D23" s="97">
        <v>6</v>
      </c>
      <c r="E23" s="70">
        <v>2.25</v>
      </c>
      <c r="F23" s="97">
        <v>8</v>
      </c>
      <c r="G23" s="97">
        <v>1</v>
      </c>
      <c r="H23" s="97">
        <v>5.55</v>
      </c>
      <c r="I23" s="81">
        <f t="shared" si="15"/>
        <v>4.8075000000000001</v>
      </c>
      <c r="J23" s="60" t="s">
        <v>29</v>
      </c>
      <c r="K23" s="35" cm="1">
        <f t="array" ref="K23">IF(COUNTIF(D23:H23,"NP")&gt;0,"NP",IF(COUNTIF(D23:H23,"Reconocimiento Créditos")&gt;0,"Reconocimiento Créditos",IF(COUNTIF(D23:H23,"Aprobado en otro curso")&gt;0,"Aprobado en otro curso",IF(COUNTIF(D23:H23,"")&gt;0,"Faltan Calificaciones",AVERAGE((D23:H23-$D$128:$H$128)/$D$130:$H$130)))))</f>
        <v>-0.30233632706098007</v>
      </c>
      <c r="L23" s="40">
        <f t="shared" si="1"/>
        <v>0.27100000000000002</v>
      </c>
      <c r="M23" s="43">
        <f t="shared" si="2"/>
        <v>4.6000000000000005</v>
      </c>
      <c r="N23" s="35" cm="1">
        <f t="array" ref="N23">IF(COUNTIF(D23:H23,"NP")&gt;0,"NP",IF(COUNTIF(D23:H23,"Reconocimiento Créditos")&gt;0,"Reconocimiento Créditos",IF(COUNTIF(D23:H23,"Aprobado en otro curso")&gt;0,"Aprobado en otro curso",IF(COUNTIF(D23:H23,"")&gt;0,"Faltan Calificaciones",AVERAGE((D23:H23-$D$128:$H$128)*($D$2:$H$2="EXAMEN")/($D$130:$H$130)*($D$2:$H$2="EXAMEN"))))))</f>
        <v>-0.17135716523414504</v>
      </c>
      <c r="O23" s="40">
        <f t="shared" si="3"/>
        <v>0.32600000000000001</v>
      </c>
      <c r="P23" s="43">
        <f t="shared" si="4"/>
        <v>4.5</v>
      </c>
      <c r="Q23" s="35" cm="1">
        <f t="array" ref="Q23">IF(COUNTIF(D23:H23,"NP")&gt;0,"NP",IF(COUNTIF(D23:H23,"Reconocimiento Créditos")&gt;0,"Reconocimiento Créditos",IF(COUNTIF(D23:H23,"Aprobado en otro curso")&gt;0,"Aprobado en otro curso",IF(COUNTIF(D23:H23,"")&gt;0,"Faltan Calificaciones",AVERAGE((D23:H23-$D$128:$H$128)*($D$2:$H$2="Prueba Complementaria")/($D$130:$H$130)*($D$2:$H$2="Prueba Complementaria"))))))</f>
        <v>-0.13097916182683506</v>
      </c>
      <c r="R23" s="40">
        <f t="shared" si="5"/>
        <v>0.23899999999999999</v>
      </c>
      <c r="S23" s="42">
        <f t="shared" si="6"/>
        <v>4.5600000000000005</v>
      </c>
      <c r="T23" s="43">
        <f t="shared" si="7"/>
        <v>-0.10000000000000053</v>
      </c>
      <c r="U23" s="40">
        <f t="shared" si="8"/>
        <v>-2.1739130434782723E-2</v>
      </c>
      <c r="V23" s="40" t="str" cm="1">
        <f t="array" ref="V23">IF(COUNTIF(D23:H23,"NP")&gt;0,"NP",IF(COUNTIF(D23:H23,"Reconocimiento Créditos")&gt;0,"Reconocimiento Créditos",IF(COUNTIF(D23:H23,"Aprobado en otro curso")&gt;0,"Aprobado en otro curso",IF(COUNTBLANK(D23:H23)&gt;0,"Faltan Calificaciones",IF((SUMPRODUCT(($D$2:$H$2="EXAMEN")*((D23:H23-$D$128:$H$128)/$D$130:$H$130))/SUMPRODUCT(--($D$2:$H$2="EXAMEN")))-(SUMPRODUCT(($D$2:$H$2="PRUEBA COMPLEMENTARIA")*((D23:H23-$D$128:$H$128)/$D$130:$H$130))/SUMPRODUCT(--($D$2:$H$2="PRUEBA COMPLEMENTARIA")))&gt;0,"Exámenes","Actividades")))))</f>
        <v>Exámenes</v>
      </c>
      <c r="W23" s="35">
        <f t="shared" si="9"/>
        <v>1.8739714952643712E-2</v>
      </c>
      <c r="X23" s="35">
        <f t="shared" si="10"/>
        <v>2.5650341128335898</v>
      </c>
      <c r="Y23" s="71">
        <f t="shared" si="11"/>
        <v>0.19297988963319251</v>
      </c>
      <c r="Z23" s="35" cm="1">
        <f t="array" ref="Z23">IF(COUNTIF(D23:H23,"NP")&gt;0,"NP",IF(COUNTIF(D23:H23,"Reconocimiento Créditos")&gt;0,"Reconocimiento Créditos",IF(COUNTIF(D23:H23,"Aprobado en otro curso")&gt;0,"Aprobado en otro curso",IF(COUNTIF($D$2:$H$2,"Examen")&lt;2,"Faltan Calificaciones",SLOPE(_xlfn._xlws.FILTER(D23:H23,$D$2:$H$2="EXAMEN"),_xlfn.SEQUENCE(1,COUNTIF($D$2:$H$2,"EXAMEN"),1,1))))))</f>
        <v>-0.22500000000000009</v>
      </c>
      <c r="AA23" s="35">
        <f t="shared" si="12"/>
        <v>0.98999999999999932</v>
      </c>
      <c r="AB23" s="35" t="str" cm="1">
        <f t="array" ref="AB23">IF(COUNTIF(D23:H23,"NP")&gt;0,"NP",IF(COUNTIF(D23:H23,"Reconocimiento Créditos")&gt;0,"Reconocimiento Créditos",IF(COUNTIF(D23:H23,"Aprobado en otro curso")&gt;0,"Aprobado en otro curso",IF(COUNTBLANK(D23:H23)=0,"No Procede",IF(COUNTBLANK(D23:H23)&gt;3,"No Procede",IF(100*(5-SUMPRODUCT(D23:H23,$D$4:$H$4)/100)/(100-SUMPRODUCT((D23:H23&lt;&gt;"")*($D$4:$H$4)))&gt;10,"Necesita más de 10",IF(100*(5-SUMPRODUCT(D23:H23,$D$4:$H$4)/100)/(100-SUMPRODUCT((D23:H23&lt;&gt;"")*($D$4:$H$4)))&lt;0,"va bien encaminado",100*(5-SUMPRODUCT(D23:H23,$D$4:$H$4)/100)/(100-SUMPRODUCT((D23:H23&lt;&gt;"")*($D$4:$H$4))))))))))</f>
        <v>No Procede</v>
      </c>
    </row>
    <row r="24" spans="2:45" ht="22" customHeight="1">
      <c r="B24" s="19">
        <f t="shared" si="14"/>
        <v>17</v>
      </c>
      <c r="C24" s="4" t="s">
        <v>30</v>
      </c>
      <c r="D24" s="97">
        <v>8.4</v>
      </c>
      <c r="E24" s="70">
        <v>6.25</v>
      </c>
      <c r="F24" s="97">
        <v>5</v>
      </c>
      <c r="G24" s="97">
        <v>6.25</v>
      </c>
      <c r="H24" s="97">
        <v>7.4</v>
      </c>
      <c r="I24" s="81">
        <f t="shared" si="15"/>
        <v>6.8449999999999998</v>
      </c>
      <c r="J24" s="60" t="s">
        <v>29</v>
      </c>
      <c r="K24" s="35" cm="1">
        <f t="array" ref="K24">IF(COUNTIF(D24:H24,"NP")&gt;0,"NP",IF(COUNTIF(D24:H24,"Reconocimiento Créditos")&gt;0,"Reconocimiento Créditos",IF(COUNTIF(D24:H24,"Aprobado en otro curso")&gt;0,"Aprobado en otro curso",IF(COUNTIF(D24:H24,"")&gt;0,"Faltan Calificaciones",AVERAGE((D24:H24-$D$128:$H$128)/$D$130:$H$130)))))</f>
        <v>0.60833176632240771</v>
      </c>
      <c r="L24" s="40">
        <f t="shared" si="1"/>
        <v>0.86899999999999999</v>
      </c>
      <c r="M24" s="43">
        <f t="shared" si="2"/>
        <v>7.3500000000000005</v>
      </c>
      <c r="N24" s="35" cm="1">
        <f t="array" ref="N24">IF(COUNTIF(D24:H24,"NP")&gt;0,"NP",IF(COUNTIF(D24:H24,"Reconocimiento Créditos")&gt;0,"Reconocimiento Créditos",IF(COUNTIF(D24:H24,"Aprobado en otro curso")&gt;0,"Aprobado en otro curso",IF(COUNTIF(D24:H24,"")&gt;0,"Faltan Calificaciones",AVERAGE((D24:H24-$D$128:$H$128)*($D$2:$H$2="EXAMEN")/($D$130:$H$130)*($D$2:$H$2="EXAMEN"))))))</f>
        <v>0.6043518022662886</v>
      </c>
      <c r="O24" s="40">
        <f t="shared" si="3"/>
        <v>0.90200000000000002</v>
      </c>
      <c r="P24" s="43">
        <f t="shared" si="4"/>
        <v>5.625</v>
      </c>
      <c r="Q24" s="35" cm="1">
        <f t="array" ref="Q24">IF(COUNTIF(D24:H24,"NP")&gt;0,"NP",IF(COUNTIF(D24:H24,"Reconocimiento Créditos")&gt;0,"Reconocimiento Créditos",IF(COUNTIF(D24:H24,"Aprobado en otro curso")&gt;0,"Aprobado en otro curso",IF(COUNTIF(D24:H24,"")&gt;0,"Faltan Calificaciones",AVERAGE((D24:H24-$D$128:$H$128)*($D$2:$H$2="Prueba Complementaria")/($D$130:$H$130)*($D$2:$H$2="Prueba Complementaria"))))))</f>
        <v>3.9799640561190234E-3</v>
      </c>
      <c r="R24" s="40">
        <f t="shared" si="5"/>
        <v>0.45600000000000002</v>
      </c>
      <c r="S24" s="42">
        <f t="shared" si="6"/>
        <v>6.6599999999999993</v>
      </c>
      <c r="T24" s="43">
        <f t="shared" si="7"/>
        <v>-1.7250000000000005</v>
      </c>
      <c r="U24" s="40">
        <f t="shared" si="8"/>
        <v>-0.23469387755102047</v>
      </c>
      <c r="V24" s="40" t="str" cm="1">
        <f t="array" ref="V24">IF(COUNTIF(D24:H24,"NP")&gt;0,"NP",IF(COUNTIF(D24:H24,"Reconocimiento Créditos")&gt;0,"Reconocimiento Créditos",IF(COUNTIF(D24:H24,"Aprobado en otro curso")&gt;0,"Aprobado en otro curso",IF(COUNTBLANK(D24:H24)&gt;0,"Faltan Calificaciones",IF((SUMPRODUCT(($D$2:$H$2="EXAMEN")*((D24:H24-$D$128:$H$128)/$D$130:$H$130))/SUMPRODUCT(--($D$2:$H$2="EXAMEN")))-(SUMPRODUCT(($D$2:$H$2="PRUEBA COMPLEMENTARIA")*((D24:H24-$D$128:$H$128)/$D$130:$H$130))/SUMPRODUCT(--($D$2:$H$2="PRUEBA COMPLEMENTARIA")))&gt;0,"Exámenes","Actividades")))))</f>
        <v>Exámenes</v>
      </c>
      <c r="W24" s="35">
        <f t="shared" si="9"/>
        <v>6.1697557894072601E-2</v>
      </c>
      <c r="X24" s="35">
        <f t="shared" si="10"/>
        <v>1.1547294055318766</v>
      </c>
      <c r="Y24" s="71">
        <f t="shared" si="11"/>
        <v>0.32042138896564742</v>
      </c>
      <c r="Z24" s="35" cm="1">
        <f t="array" ref="Z24">IF(COUNTIF(D24:H24,"NP")&gt;0,"NP",IF(COUNTIF(D24:H24,"Reconocimiento Créditos")&gt;0,"Reconocimiento Créditos",IF(COUNTIF(D24:H24,"Aprobado en otro curso")&gt;0,"Aprobado en otro curso",IF(COUNTIF($D$2:$H$2,"Examen")&lt;2,"Faltan Calificaciones",SLOPE(_xlfn._xlws.FILTER(D24:H24,$D$2:$H$2="EXAMEN"),_xlfn.SEQUENCE(1,COUNTIF($D$2:$H$2,"EXAMEN"),1,1))))))</f>
        <v>-0.5</v>
      </c>
      <c r="AA24" s="35">
        <f t="shared" si="12"/>
        <v>0.7400000000000011</v>
      </c>
      <c r="AB24" s="35" t="str" cm="1">
        <f t="array" ref="AB24">IF(COUNTIF(D24:H24,"NP")&gt;0,"NP",IF(COUNTIF(D24:H24,"Reconocimiento Créditos")&gt;0,"Reconocimiento Créditos",IF(COUNTIF(D24:H24,"Aprobado en otro curso")&gt;0,"Aprobado en otro curso",IF(COUNTBLANK(D24:H24)=0,"No Procede",IF(COUNTBLANK(D24:H24)&gt;3,"No Procede",IF(100*(5-SUMPRODUCT(D24:H24,$D$4:$H$4)/100)/(100-SUMPRODUCT((D24:H24&lt;&gt;"")*($D$4:$H$4)))&gt;10,"Necesita más de 10",IF(100*(5-SUMPRODUCT(D24:H24,$D$4:$H$4)/100)/(100-SUMPRODUCT((D24:H24&lt;&gt;"")*($D$4:$H$4)))&lt;0,"va bien encaminado",100*(5-SUMPRODUCT(D24:H24,$D$4:$H$4)/100)/(100-SUMPRODUCT((D24:H24&lt;&gt;"")*($D$4:$H$4))))))))))</f>
        <v>No Procede</v>
      </c>
    </row>
    <row r="25" spans="2:45" ht="22" customHeight="1">
      <c r="B25" s="19">
        <f t="shared" si="14"/>
        <v>18</v>
      </c>
      <c r="C25" s="4" t="s">
        <v>30</v>
      </c>
      <c r="D25" s="97">
        <v>0.5</v>
      </c>
      <c r="E25" s="70">
        <v>3.5</v>
      </c>
      <c r="F25" s="97">
        <v>7.5</v>
      </c>
      <c r="G25" s="97">
        <v>8.5</v>
      </c>
      <c r="H25" s="97">
        <v>6.5</v>
      </c>
      <c r="I25" s="81">
        <f t="shared" si="15"/>
        <v>5.6</v>
      </c>
      <c r="J25" s="60" t="s">
        <v>29</v>
      </c>
      <c r="K25" s="35" cm="1">
        <f t="array" ref="K25">IF(COUNTIF(D25:H25,"NP")&gt;0,"NP",IF(COUNTIF(D25:H25,"Reconocimiento Créditos")&gt;0,"Reconocimiento Créditos",IF(COUNTIF(D25:H25,"Aprobado en otro curso")&gt;0,"Aprobado en otro curso",IF(COUNTIF(D25:H25,"")&gt;0,"Faltan Calificaciones",AVERAGE((D25:H25-$D$128:$H$128)/$D$130:$H$130)))))</f>
        <v>-9.8344064274214452E-2</v>
      </c>
      <c r="L25" s="40">
        <f t="shared" si="1"/>
        <v>0.46700000000000003</v>
      </c>
      <c r="M25" s="43">
        <f t="shared" si="2"/>
        <v>3.5</v>
      </c>
      <c r="N25" s="35" cm="1">
        <f t="array" ref="N25">IF(COUNTIF(D25:H25,"NP")&gt;0,"NP",IF(COUNTIF(D25:H25,"Reconocimiento Créditos")&gt;0,"Reconocimiento Créditos",IF(COUNTIF(D25:H25,"Aprobado en otro curso")&gt;0,"Aprobado en otro curso",IF(COUNTIF(D25:H25,"")&gt;0,"Faltan Calificaciones",AVERAGE((D25:H25-$D$128:$H$128)*($D$2:$H$2="EXAMEN")/($D$130:$H$130)*($D$2:$H$2="EXAMEN"))))))</f>
        <v>-0.47707458328070962</v>
      </c>
      <c r="O25" s="40">
        <f t="shared" si="3"/>
        <v>0.152</v>
      </c>
      <c r="P25" s="43">
        <f t="shared" si="4"/>
        <v>8</v>
      </c>
      <c r="Q25" s="35" cm="1">
        <f t="array" ref="Q25">IF(COUNTIF(D25:H25,"NP")&gt;0,"NP",IF(COUNTIF(D25:H25,"Reconocimiento Créditos")&gt;0,"Reconocimiento Créditos",IF(COUNTIF(D25:H25,"Aprobado en otro curso")&gt;0,"Aprobado en otro curso",IF(COUNTIF(D25:H25,"")&gt;0,"Faltan Calificaciones",AVERAGE((D25:H25-$D$128:$H$128)*($D$2:$H$2="Prueba Complementaria")/($D$130:$H$130)*($D$2:$H$2="Prueba Complementaria"))))))</f>
        <v>0.37873051900649513</v>
      </c>
      <c r="R25" s="40">
        <f t="shared" si="5"/>
        <v>0.88</v>
      </c>
      <c r="S25" s="42">
        <f t="shared" si="6"/>
        <v>5.3</v>
      </c>
      <c r="T25" s="43">
        <f t="shared" si="7"/>
        <v>4.5</v>
      </c>
      <c r="U25" s="40">
        <f t="shared" si="8"/>
        <v>1.2857142857142858</v>
      </c>
      <c r="V25" s="40" t="str" cm="1">
        <f t="array" ref="V25">IF(COUNTIF(D25:H25,"NP")&gt;0,"NP",IF(COUNTIF(D25:H25,"Reconocimiento Créditos")&gt;0,"Reconocimiento Créditos",IF(COUNTIF(D25:H25,"Aprobado en otro curso")&gt;0,"Aprobado en otro curso",IF(COUNTBLANK(D25:H25)&gt;0,"Faltan Calificaciones",IF((SUMPRODUCT(($D$2:$H$2="EXAMEN")*((D25:H25-$D$128:$H$128)/$D$130:$H$130))/SUMPRODUCT(--($D$2:$H$2="EXAMEN")))-(SUMPRODUCT(($D$2:$H$2="PRUEBA COMPLEMENTARIA")*((D25:H25-$D$128:$H$128)/$D$130:$H$130))/SUMPRODUCT(--($D$2:$H$2="PRUEBA COMPLEMENTARIA")))&gt;0,"Exámenes","Actividades")))))</f>
        <v>Actividades</v>
      </c>
      <c r="W25" s="35">
        <f t="shared" si="9"/>
        <v>5.0441134427843218E-2</v>
      </c>
      <c r="X25" s="35">
        <f t="shared" si="10"/>
        <v>2.925747767665559</v>
      </c>
      <c r="Y25" s="71">
        <f t="shared" si="11"/>
        <v>0.20507577810739902</v>
      </c>
      <c r="Z25" s="35" cm="1">
        <f t="array" ref="Z25">IF(COUNTIF(D25:H25,"NP")&gt;0,"NP",IF(COUNTIF(D25:H25,"Reconocimiento Créditos")&gt;0,"Reconocimiento Créditos",IF(COUNTIF(D25:H25,"Aprobado en otro curso")&gt;0,"Aprobado en otro curso",IF(COUNTIF($D$2:$H$2,"Examen")&lt;2,"Faltan Calificaciones",SLOPE(_xlfn._xlws.FILTER(D25:H25,$D$2:$H$2="EXAMEN"),_xlfn.SEQUENCE(1,COUNTIF($D$2:$H$2,"EXAMEN"),1,1))))))</f>
        <v>3</v>
      </c>
      <c r="AA25" s="35">
        <f t="shared" si="12"/>
        <v>1.2000000000000002</v>
      </c>
      <c r="AB25" s="35" t="str" cm="1">
        <f t="array" ref="AB25">IF(COUNTIF(D25:H25,"NP")&gt;0,"NP",IF(COUNTIF(D25:H25,"Reconocimiento Créditos")&gt;0,"Reconocimiento Créditos",IF(COUNTIF(D25:H25,"Aprobado en otro curso")&gt;0,"Aprobado en otro curso",IF(COUNTBLANK(D25:H25)=0,"No Procede",IF(COUNTBLANK(D25:H25)&gt;3,"No Procede",IF(100*(5-SUMPRODUCT(D25:H25,$D$4:$H$4)/100)/(100-SUMPRODUCT((D25:H25&lt;&gt;"")*($D$4:$H$4)))&gt;10,"Necesita más de 10",IF(100*(5-SUMPRODUCT(D25:H25,$D$4:$H$4)/100)/(100-SUMPRODUCT((D25:H25&lt;&gt;"")*($D$4:$H$4)))&lt;0,"va bien encaminado",100*(5-SUMPRODUCT(D25:H25,$D$4:$H$4)/100)/(100-SUMPRODUCT((D25:H25&lt;&gt;"")*($D$4:$H$4))))))))))</f>
        <v>No Procede</v>
      </c>
    </row>
    <row r="26" spans="2:45" ht="22" customHeight="1">
      <c r="B26" s="19">
        <f t="shared" si="14"/>
        <v>19</v>
      </c>
      <c r="C26" s="4" t="s">
        <v>30</v>
      </c>
      <c r="D26" s="97">
        <v>4.0999999999999996</v>
      </c>
      <c r="E26" s="70">
        <v>3.25</v>
      </c>
      <c r="F26" s="97">
        <v>7.5</v>
      </c>
      <c r="G26" s="97">
        <v>4</v>
      </c>
      <c r="H26" s="97">
        <v>2.4</v>
      </c>
      <c r="I26" s="81">
        <f t="shared" ref="I26:I29" si="16">IF(COUNTA(D26:H26)=0, "", IF(COUNT(D26:H26)&lt;&gt;COUNTA(D26:H26), "NP", SUMPRODUCT(D26:H26, D$4:H$4)/100))</f>
        <v>3.7875000000000001</v>
      </c>
      <c r="J26" s="60" t="s">
        <v>29</v>
      </c>
      <c r="K26" s="35" cm="1">
        <f t="array" ref="K26">IF(COUNTIF(D26:H26,"NP")&gt;0,"NP",IF(COUNTIF(D26:H26,"Reconocimiento Créditos")&gt;0,"Reconocimiento Créditos",IF(COUNTIF(D26:H26,"Aprobado en otro curso")&gt;0,"Aprobado en otro curso",IF(COUNTIF(D26:H26,"")&gt;0,"Faltan Calificaciones",AVERAGE((D26:H26-$D$128:$H$128)/$D$130:$H$130)))))</f>
        <v>-0.49148653745659471</v>
      </c>
      <c r="L26" s="40">
        <f t="shared" si="1"/>
        <v>0.152</v>
      </c>
      <c r="M26" s="43">
        <f t="shared" si="2"/>
        <v>3.25</v>
      </c>
      <c r="N26" s="35" cm="1">
        <f t="array" ref="N26">IF(COUNTIF(D26:H26,"NP")&gt;0,"NP",IF(COUNTIF(D26:H26,"Reconocimiento Créditos")&gt;0,"Reconocimiento Créditos",IF(COUNTIF(D26:H26,"Aprobado en otro curso")&gt;0,"Aprobado en otro curso",IF(COUNTIF(D26:H26,"")&gt;0,"Faltan Calificaciones",AVERAGE((D26:H26-$D$128:$H$128)*($D$2:$H$2="EXAMEN")/($D$130:$H$130)*($D$2:$H$2="EXAMEN"))))))</f>
        <v>-0.53927755165738867</v>
      </c>
      <c r="O26" s="40">
        <f t="shared" si="3"/>
        <v>0.11899999999999999</v>
      </c>
      <c r="P26" s="43">
        <f t="shared" si="4"/>
        <v>5.75</v>
      </c>
      <c r="Q26" s="35" cm="1">
        <f t="array" ref="Q26">IF(COUNTIF(D26:H26,"NP")&gt;0,"NP",IF(COUNTIF(D26:H26,"Reconocimiento Créditos")&gt;0,"Reconocimiento Créditos",IF(COUNTIF(D26:H26,"Aprobado en otro curso")&gt;0,"Aprobado en otro curso",IF(COUNTIF(D26:H26,"")&gt;0,"Faltan Calificaciones",AVERAGE((D26:H26-$D$128:$H$128)*($D$2:$H$2="Prueba Complementaria")/($D$130:$H$130)*($D$2:$H$2="Prueba Complementaria"))))))</f>
        <v>4.7791014200793944E-2</v>
      </c>
      <c r="R26" s="40">
        <f t="shared" si="5"/>
        <v>0.5</v>
      </c>
      <c r="S26" s="42">
        <f t="shared" si="6"/>
        <v>4.25</v>
      </c>
      <c r="T26" s="43">
        <f t="shared" si="7"/>
        <v>2.5</v>
      </c>
      <c r="U26" s="40">
        <f t="shared" si="8"/>
        <v>0.76923076923076927</v>
      </c>
      <c r="V26" s="40" t="str" cm="1">
        <f t="array" ref="V26">IF(COUNTIF(D26:H26,"NP")&gt;0,"NP",IF(COUNTIF(D26:H26,"Reconocimiento Créditos")&gt;0,"Reconocimiento Créditos",IF(COUNTIF(D26:H26,"Aprobado en otro curso")&gt;0,"Aprobado en otro curso",IF(COUNTBLANK(D26:H26)&gt;0,"Faltan Calificaciones",IF((SUMPRODUCT(($D$2:$H$2="EXAMEN")*((D26:H26-$D$128:$H$128)/$D$130:$H$130))/SUMPRODUCT(--($D$2:$H$2="EXAMEN")))-(SUMPRODUCT(($D$2:$H$2="PRUEBA COMPLEMENTARIA")*((D26:H26-$D$128:$H$128)/$D$130:$H$130))/SUMPRODUCT(--($D$2:$H$2="PRUEBA COMPLEMENTARIA")))&gt;0,"Exámenes","Actividades")))))</f>
        <v>Actividades</v>
      </c>
      <c r="W26" s="35">
        <f t="shared" si="9"/>
        <v>5.6891281775389248E-2</v>
      </c>
      <c r="X26" s="35">
        <f t="shared" si="10"/>
        <v>1.7360875553957529</v>
      </c>
      <c r="Y26" s="71">
        <f t="shared" si="11"/>
        <v>-0.53280722917752854</v>
      </c>
      <c r="Z26" s="35" cm="1">
        <f t="array" ref="Z26">IF(COUNTIF(D26:H26,"NP")&gt;0,"NP",IF(COUNTIF(D26:H26,"Reconocimiento Créditos")&gt;0,"Reconocimiento Créditos",IF(COUNTIF(D26:H26,"Aprobado en otro curso")&gt;0,"Aprobado en otro curso",IF(COUNTIF($D$2:$H$2,"Examen")&lt;2,"Faltan Calificaciones",SLOPE(_xlfn._xlws.FILTER(D26:H26,$D$2:$H$2="EXAMEN"),_xlfn.SEQUENCE(1,COUNTIF($D$2:$H$2,"EXAMEN"),1,1))))))</f>
        <v>-0.84999999999999987</v>
      </c>
      <c r="AA26" s="35">
        <f t="shared" si="12"/>
        <v>-1.85</v>
      </c>
      <c r="AB26" s="35" t="str" cm="1">
        <f t="array" ref="AB26">IF(COUNTIF(D26:H26,"NP")&gt;0,"NP",IF(COUNTIF(D26:H26,"Reconocimiento Créditos")&gt;0,"Reconocimiento Créditos",IF(COUNTIF(D26:H26,"Aprobado en otro curso")&gt;0,"Aprobado en otro curso",IF(COUNTBLANK(D26:H26)=0,"No Procede",IF(COUNTBLANK(D26:H26)&gt;3,"No Procede",IF(100*(5-SUMPRODUCT(D26:H26,$D$4:$H$4)/100)/(100-SUMPRODUCT((D26:H26&lt;&gt;"")*($D$4:$H$4)))&gt;10,"Necesita más de 10",IF(100*(5-SUMPRODUCT(D26:H26,$D$4:$H$4)/100)/(100-SUMPRODUCT((D26:H26&lt;&gt;"")*($D$4:$H$4)))&lt;0,"va bien encaminado",100*(5-SUMPRODUCT(D26:H26,$D$4:$H$4)/100)/(100-SUMPRODUCT((D26:H26&lt;&gt;"")*($D$4:$H$4))))))))))</f>
        <v>No Procede</v>
      </c>
    </row>
    <row r="27" spans="2:45" ht="22" customHeight="1">
      <c r="B27" s="19">
        <f t="shared" si="14"/>
        <v>20</v>
      </c>
      <c r="C27" s="4" t="s">
        <v>30</v>
      </c>
      <c r="D27" s="97">
        <v>3.5</v>
      </c>
      <c r="E27" s="70">
        <v>4.3</v>
      </c>
      <c r="F27" s="97">
        <v>7.75</v>
      </c>
      <c r="G27" s="97">
        <v>3.6</v>
      </c>
      <c r="H27" s="97">
        <v>4</v>
      </c>
      <c r="I27" s="81">
        <f t="shared" si="16"/>
        <v>4.4725000000000001</v>
      </c>
      <c r="J27" s="60" t="s">
        <v>29</v>
      </c>
      <c r="K27" s="35" cm="1">
        <f t="array" ref="K27">IF(COUNTIF(D27:H27,"NP")&gt;0,"NP",IF(COUNTIF(D27:H27,"Reconocimiento Créditos")&gt;0,"Reconocimiento Créditos",IF(COUNTIF(D27:H27,"Aprobado en otro curso")&gt;0,"Aprobado en otro curso",IF(COUNTIF(D27:H27,"")&gt;0,"Faltan Calificaciones",AVERAGE((D27:H27-$D$128:$H$128)/$D$130:$H$130)))))</f>
        <v>-0.30938520423366733</v>
      </c>
      <c r="L27" s="40">
        <f t="shared" si="1"/>
        <v>0.217</v>
      </c>
      <c r="M27" s="43">
        <f t="shared" si="2"/>
        <v>3.9333333333333336</v>
      </c>
      <c r="N27" s="35" cm="1">
        <f t="array" ref="N27">IF(COUNTIF(D27:H27,"NP")&gt;0,"NP",IF(COUNTIF(D27:H27,"Reconocimiento Créditos")&gt;0,"Reconocimiento Créditos",IF(COUNTIF(D27:H27,"Aprobado en otro curso")&gt;0,"Aprobado en otro curso",IF(COUNTIF(D27:H27,"")&gt;0,"Faltan Calificaciones",AVERAGE((D27:H27-$D$128:$H$128)*($D$2:$H$2="EXAMEN")/($D$130:$H$130)*($D$2:$H$2="EXAMEN"))))))</f>
        <v>-0.34868745381759592</v>
      </c>
      <c r="O27" s="40">
        <f t="shared" si="3"/>
        <v>0.184</v>
      </c>
      <c r="P27" s="43">
        <f t="shared" si="4"/>
        <v>5.6749999999999998</v>
      </c>
      <c r="Q27" s="35" cm="1">
        <f t="array" ref="Q27">IF(COUNTIF(D27:H27,"NP")&gt;0,"NP",IF(COUNTIF(D27:H27,"Reconocimiento Créditos")&gt;0,"Reconocimiento Créditos",IF(COUNTIF(D27:H27,"Aprobado en otro curso")&gt;0,"Aprobado en otro curso",IF(COUNTIF(D27:H27,"")&gt;0,"Faltan Calificaciones",AVERAGE((D27:H27-$D$128:$H$128)*($D$2:$H$2="Prueba Complementaria")/($D$130:$H$130)*($D$2:$H$2="Prueba Complementaria"))))))</f>
        <v>3.9302249583928604E-2</v>
      </c>
      <c r="R27" s="40">
        <f t="shared" si="5"/>
        <v>0.46700000000000003</v>
      </c>
      <c r="S27" s="42">
        <f t="shared" si="6"/>
        <v>4.6300000000000008</v>
      </c>
      <c r="T27" s="43">
        <f t="shared" si="7"/>
        <v>1.7416666666666663</v>
      </c>
      <c r="U27" s="40">
        <f t="shared" si="8"/>
        <v>0.4427966101694914</v>
      </c>
      <c r="V27" s="40" t="str" cm="1">
        <f t="array" ref="V27">IF(COUNTIF(D27:H27,"NP")&gt;0,"NP",IF(COUNTIF(D27:H27,"Reconocimiento Créditos")&gt;0,"Reconocimiento Créditos",IF(COUNTIF(D27:H27,"Aprobado en otro curso")&gt;0,"Aprobado en otro curso",IF(COUNTBLANK(D27:H27)&gt;0,"Faltan Calificaciones",IF((SUMPRODUCT(($D$2:$H$2="EXAMEN")*((D27:H27-$D$128:$H$128)/$D$130:$H$130))/SUMPRODUCT(--($D$2:$H$2="EXAMEN")))-(SUMPRODUCT(($D$2:$H$2="PRUEBA COMPLEMENTARIA")*((D27:H27-$D$128:$H$128)/$D$130:$H$130))/SUMPRODUCT(--($D$2:$H$2="PRUEBA COMPLEMENTARIA")))&gt;0,"Exámenes","Actividades")))))</f>
        <v>Actividades</v>
      </c>
      <c r="W27" s="35">
        <f t="shared" si="9"/>
        <v>3.7128009280008187E-2</v>
      </c>
      <c r="X27" s="35">
        <f t="shared" si="10"/>
        <v>1.5860643114325454</v>
      </c>
      <c r="Y27" s="71">
        <f t="shared" si="11"/>
        <v>-0.19860480923090007</v>
      </c>
      <c r="Z27" s="35" cm="1">
        <f t="array" ref="Z27">IF(COUNTIF(D27:H27,"NP")&gt;0,"NP",IF(COUNTIF(D27:H27,"Reconocimiento Créditos")&gt;0,"Reconocimiento Créditos",IF(COUNTIF(D27:H27,"Aprobado en otro curso")&gt;0,"Aprobado en otro curso",IF(COUNTIF($D$2:$H$2,"Examen")&lt;2,"Faltan Calificaciones",SLOPE(_xlfn._xlws.FILTER(D27:H27,$D$2:$H$2="EXAMEN"),_xlfn.SEQUENCE(1,COUNTIF($D$2:$H$2,"EXAMEN"),1,1))))))</f>
        <v>0.25</v>
      </c>
      <c r="AA27" s="35">
        <f t="shared" si="12"/>
        <v>-0.63000000000000078</v>
      </c>
      <c r="AB27" s="35" t="str" cm="1">
        <f t="array" ref="AB27">IF(COUNTIF(D27:H27,"NP")&gt;0,"NP",IF(COUNTIF(D27:H27,"Reconocimiento Créditos")&gt;0,"Reconocimiento Créditos",IF(COUNTIF(D27:H27,"Aprobado en otro curso")&gt;0,"Aprobado en otro curso",IF(COUNTBLANK(D27:H27)=0,"No Procede",IF(COUNTBLANK(D27:H27)&gt;3,"No Procede",IF(100*(5-SUMPRODUCT(D27:H27,$D$4:$H$4)/100)/(100-SUMPRODUCT((D27:H27&lt;&gt;"")*($D$4:$H$4)))&gt;10,"Necesita más de 10",IF(100*(5-SUMPRODUCT(D27:H27,$D$4:$H$4)/100)/(100-SUMPRODUCT((D27:H27&lt;&gt;"")*($D$4:$H$4)))&lt;0,"va bien encaminado",100*(5-SUMPRODUCT(D27:H27,$D$4:$H$4)/100)/(100-SUMPRODUCT((D27:H27&lt;&gt;"")*($D$4:$H$4))))))))))</f>
        <v>No Procede</v>
      </c>
    </row>
    <row r="28" spans="2:45" ht="22" customHeight="1">
      <c r="B28" s="19">
        <f t="shared" si="14"/>
        <v>21</v>
      </c>
      <c r="C28" s="4" t="s">
        <v>30</v>
      </c>
      <c r="D28" s="97">
        <v>0.5</v>
      </c>
      <c r="E28" s="70">
        <v>1.25</v>
      </c>
      <c r="F28" s="97">
        <v>0.75</v>
      </c>
      <c r="G28" s="97">
        <v>2</v>
      </c>
      <c r="H28" s="97">
        <v>0.35</v>
      </c>
      <c r="I28" s="81">
        <f t="shared" si="16"/>
        <v>0.81499999999999995</v>
      </c>
      <c r="J28" s="60" t="s">
        <v>29</v>
      </c>
      <c r="K28" s="35" cm="1">
        <f t="array" ref="K28">IF(COUNTIF(D28:H28,"NP")&gt;0,"NP",IF(COUNTIF(D28:H28,"Reconocimiento Créditos")&gt;0,"Reconocimiento Créditos",IF(COUNTIF(D28:H28,"Aprobado en otro curso")&gt;0,"Aprobado en otro curso",IF(COUNTIF(D28:H28,"")&gt;0,"Faltan Calificaciones",AVERAGE((D28:H28-$D$128:$H$128)/$D$130:$H$130)))))</f>
        <v>-1.9174427480913636</v>
      </c>
      <c r="L28" s="40">
        <f t="shared" si="1"/>
        <v>0</v>
      </c>
      <c r="M28" s="43">
        <f t="shared" si="2"/>
        <v>0.70000000000000007</v>
      </c>
      <c r="N28" s="35" cm="1">
        <f t="array" ref="N28">IF(COUNTIF(D28:H28,"NP")&gt;0,"NP",IF(COUNTIF(D28:H28,"Reconocimiento Créditos")&gt;0,"Reconocimiento Créditos",IF(COUNTIF(D28:H28,"Aprobado en otro curso")&gt;0,"Aprobado en otro curso",IF(COUNTIF(D28:H28,"")&gt;0,"Faltan Calificaciones",AVERAGE((D28:H28-$D$128:$H$128)*($D$2:$H$2="EXAMEN")/($D$130:$H$130)*($D$2:$H$2="EXAMEN"))))))</f>
        <v>-1.2530913710557492</v>
      </c>
      <c r="O28" s="40">
        <f t="shared" si="3"/>
        <v>0</v>
      </c>
      <c r="P28" s="43">
        <f t="shared" si="4"/>
        <v>1.375</v>
      </c>
      <c r="Q28" s="35" cm="1">
        <f t="array" ref="Q28">IF(COUNTIF(D28:H28,"NP")&gt;0,"NP",IF(COUNTIF(D28:H28,"Reconocimiento Créditos")&gt;0,"Reconocimiento Créditos",IF(COUNTIF(D28:H28,"Aprobado en otro curso")&gt;0,"Aprobado en otro curso",IF(COUNTIF(D28:H28,"")&gt;0,"Faltan Calificaciones",AVERAGE((D28:H28-$D$128:$H$128)*($D$2:$H$2="Prueba Complementaria")/($D$130:$H$130)*($D$2:$H$2="Prueba Complementaria"))))))</f>
        <v>-0.66435137703561442</v>
      </c>
      <c r="R28" s="40">
        <f t="shared" si="5"/>
        <v>2.1000000000000001E-2</v>
      </c>
      <c r="S28" s="42">
        <f t="shared" si="6"/>
        <v>0.97</v>
      </c>
      <c r="T28" s="43">
        <f t="shared" si="7"/>
        <v>0.67499999999999993</v>
      </c>
      <c r="U28" s="40">
        <f t="shared" si="8"/>
        <v>0.96428571428571408</v>
      </c>
      <c r="V28" s="40" t="str" cm="1">
        <f t="array" ref="V28">IF(COUNTIF(D28:H28,"NP")&gt;0,"NP",IF(COUNTIF(D28:H28,"Reconocimiento Créditos")&gt;0,"Reconocimiento Créditos",IF(COUNTIF(D28:H28,"Aprobado en otro curso")&gt;0,"Aprobado en otro curso",IF(COUNTBLANK(D28:H28)&gt;0,"Faltan Calificaciones",IF((SUMPRODUCT(($D$2:$H$2="EXAMEN")*((D28:H28-$D$128:$H$128)/$D$130:$H$130))/SUMPRODUCT(--($D$2:$H$2="EXAMEN")))-(SUMPRODUCT(($D$2:$H$2="PRUEBA COMPLEMENTARIA")*((D28:H28-$D$128:$H$128)/$D$130:$H$130))/SUMPRODUCT(--($D$2:$H$2="PRUEBA COMPLEMENTARIA")))&gt;0,"Exámenes","Actividades")))))</f>
        <v>Actividades</v>
      </c>
      <c r="W28" s="35">
        <f t="shared" si="9"/>
        <v>0.13091032675010203</v>
      </c>
      <c r="X28" s="35">
        <f t="shared" si="10"/>
        <v>0.59883219686319467</v>
      </c>
      <c r="Y28" s="71">
        <f t="shared" si="11"/>
        <v>-0.51767423599439599</v>
      </c>
      <c r="Z28" s="35" cm="1">
        <f t="array" ref="Z28">IF(COUNTIF(D28:H28,"NP")&gt;0,"NP",IF(COUNTIF(D28:H28,"Reconocimiento Créditos")&gt;0,"Reconocimiento Créditos",IF(COUNTIF(D28:H28,"Aprobado en otro curso")&gt;0,"Aprobado en otro curso",IF(COUNTIF($D$2:$H$2,"Examen")&lt;2,"Faltan Calificaciones",SLOPE(_xlfn._xlws.FILTER(D28:H28,$D$2:$H$2="EXAMEN"),_xlfn.SEQUENCE(1,COUNTIF($D$2:$H$2,"EXAMEN"),1,1))))))</f>
        <v>-7.5000000000000011E-2</v>
      </c>
      <c r="AA28" s="35">
        <f t="shared" si="12"/>
        <v>-0.62</v>
      </c>
      <c r="AB28" s="35" t="str" cm="1">
        <f t="array" ref="AB28">IF(COUNTIF(D28:H28,"NP")&gt;0,"NP",IF(COUNTIF(D28:H28,"Reconocimiento Créditos")&gt;0,"Reconocimiento Créditos",IF(COUNTIF(D28:H28,"Aprobado en otro curso")&gt;0,"Aprobado en otro curso",IF(COUNTBLANK(D28:H28)=0,"No Procede",IF(COUNTBLANK(D28:H28)&gt;3,"No Procede",IF(100*(5-SUMPRODUCT(D28:H28,$D$4:$H$4)/100)/(100-SUMPRODUCT((D28:H28&lt;&gt;"")*($D$4:$H$4)))&gt;10,"Necesita más de 10",IF(100*(5-SUMPRODUCT(D28:H28,$D$4:$H$4)/100)/(100-SUMPRODUCT((D28:H28&lt;&gt;"")*($D$4:$H$4)))&lt;0,"va bien encaminado",100*(5-SUMPRODUCT(D28:H28,$D$4:$H$4)/100)/(100-SUMPRODUCT((D28:H28&lt;&gt;"")*($D$4:$H$4))))))))))</f>
        <v>No Procede</v>
      </c>
    </row>
    <row r="29" spans="2:45" ht="22" customHeight="1">
      <c r="B29" s="19">
        <f t="shared" si="14"/>
        <v>22</v>
      </c>
      <c r="C29" s="4" t="s">
        <v>30</v>
      </c>
      <c r="D29" s="97">
        <v>6.3</v>
      </c>
      <c r="E29" s="70">
        <v>1.8</v>
      </c>
      <c r="F29" s="97">
        <v>7</v>
      </c>
      <c r="G29" s="97">
        <v>6.25</v>
      </c>
      <c r="H29" s="97">
        <v>5.05</v>
      </c>
      <c r="I29" s="81">
        <f t="shared" si="16"/>
        <v>5.2225000000000001</v>
      </c>
      <c r="J29" s="60" t="s">
        <v>29</v>
      </c>
      <c r="K29" s="35" cm="1">
        <f t="array" ref="K29">IF(COUNTIF(D29:H29,"NP")&gt;0,"NP",IF(COUNTIF(D29:H29,"Reconocimiento Créditos")&gt;0,"Reconocimiento Créditos",IF(COUNTIF(D29:H29,"Aprobado en otro curso")&gt;0,"Aprobado en otro curso",IF(COUNTIF(D29:H29,"")&gt;0,"Faltan Calificaciones",AVERAGE((D29:H29-$D$128:$H$128)/$D$130:$H$130)))))</f>
        <v>-6.0727216280360083E-2</v>
      </c>
      <c r="L29" s="40">
        <f t="shared" si="1"/>
        <v>0.41299999999999998</v>
      </c>
      <c r="M29" s="43">
        <f t="shared" si="2"/>
        <v>4.3833333333333329</v>
      </c>
      <c r="N29" s="35" cm="1">
        <f t="array" ref="N29">IF(COUNTIF(D29:H29,"NP")&gt;0,"NP",IF(COUNTIF(D29:H29,"Reconocimiento Créditos")&gt;0,"Reconocimiento Créditos",IF(COUNTIF(D29:H29,"Aprobado en otro curso")&gt;0,"Aprobado en otro curso",IF(COUNTIF(D29:H29,"")&gt;0,"Faltan Calificaciones",AVERAGE((D29:H29-$D$128:$H$128)*($D$2:$H$2="EXAMEN")/($D$130:$H$130)*($D$2:$H$2="EXAMEN"))))))</f>
        <v>-0.23213182237449953</v>
      </c>
      <c r="O29" s="40">
        <f t="shared" si="3"/>
        <v>0.25</v>
      </c>
      <c r="P29" s="43">
        <f t="shared" si="4"/>
        <v>6.625</v>
      </c>
      <c r="Q29" s="35" cm="1">
        <f t="array" ref="Q29">IF(COUNTIF(D29:H29,"NP")&gt;0,"NP",IF(COUNTIF(D29:H29,"Reconocimiento Créditos")&gt;0,"Reconocimiento Créditos",IF(COUNTIF(D29:H29,"Aprobado en otro curso")&gt;0,"Aprobado en otro curso",IF(COUNTIF(D29:H29,"")&gt;0,"Faltan Calificaciones",AVERAGE((D29:H29-$D$128:$H$128)*($D$2:$H$2="Prueba Complementaria")/($D$130:$H$130)*($D$2:$H$2="Prueba Complementaria"))))))</f>
        <v>0.17140460609413943</v>
      </c>
      <c r="R29" s="40">
        <f t="shared" si="5"/>
        <v>0.67300000000000004</v>
      </c>
      <c r="S29" s="42">
        <f t="shared" si="6"/>
        <v>5.28</v>
      </c>
      <c r="T29" s="43">
        <f t="shared" si="7"/>
        <v>2.2416666666666671</v>
      </c>
      <c r="U29" s="40">
        <f t="shared" si="8"/>
        <v>0.51140684410646409</v>
      </c>
      <c r="V29" s="40" t="str" cm="1">
        <f t="array" ref="V29">IF(COUNTIF(D29:H29,"NP")&gt;0,"NP",IF(COUNTIF(D29:H29,"Reconocimiento Créditos")&gt;0,"Reconocimiento Créditos",IF(COUNTIF(D29:H29,"Aprobado en otro curso")&gt;0,"Aprobado en otro curso",IF(COUNTBLANK(D29:H29)&gt;0,"Faltan Calificaciones",IF((SUMPRODUCT(($D$2:$H$2="EXAMEN")*((D29:H29-$D$128:$H$128)/$D$130:$H$130))/SUMPRODUCT(--($D$2:$H$2="EXAMEN")))-(SUMPRODUCT(($D$2:$H$2="PRUEBA COMPLEMENTARIA")*((D29:H29-$D$128:$H$128)/$D$130:$H$130))/SUMPRODUCT(--($D$2:$H$2="PRUEBA COMPLEMENTARIA")))&gt;0,"Exámenes","Actividades")))))</f>
        <v>Actividades</v>
      </c>
      <c r="W29" s="35">
        <f t="shared" si="9"/>
        <v>2.5041753324478826E-2</v>
      </c>
      <c r="X29" s="35">
        <f t="shared" si="10"/>
        <v>1.8494864151974717</v>
      </c>
      <c r="Y29" s="71">
        <f t="shared" si="11"/>
        <v>-6.2179424003890968E-2</v>
      </c>
      <c r="Z29" s="35" cm="1">
        <f t="array" ref="Z29">IF(COUNTIF(D29:H29,"NP")&gt;0,"NP",IF(COUNTIF(D29:H29,"Reconocimiento Créditos")&gt;0,"Reconocimiento Créditos",IF(COUNTIF(D29:H29,"Aprobado en otro curso")&gt;0,"Aprobado en otro curso",IF(COUNTIF($D$2:$H$2,"Examen")&lt;2,"Faltan Calificaciones",SLOPE(_xlfn._xlws.FILTER(D29:H29,$D$2:$H$2="EXAMEN"),_xlfn.SEQUENCE(1,COUNTIF($D$2:$H$2,"EXAMEN"),1,1))))))</f>
        <v>-0.625</v>
      </c>
      <c r="AA29" s="35">
        <f t="shared" si="12"/>
        <v>-0.23000000000000043</v>
      </c>
      <c r="AB29" s="35" t="str" cm="1">
        <f t="array" ref="AB29">IF(COUNTIF(D29:H29,"NP")&gt;0,"NP",IF(COUNTIF(D29:H29,"Reconocimiento Créditos")&gt;0,"Reconocimiento Créditos",IF(COUNTIF(D29:H29,"Aprobado en otro curso")&gt;0,"Aprobado en otro curso",IF(COUNTBLANK(D29:H29)=0,"No Procede",IF(COUNTBLANK(D29:H29)&gt;3,"No Procede",IF(100*(5-SUMPRODUCT(D29:H29,$D$4:$H$4)/100)/(100-SUMPRODUCT((D29:H29&lt;&gt;"")*($D$4:$H$4)))&gt;10,"Necesita más de 10",IF(100*(5-SUMPRODUCT(D29:H29,$D$4:$H$4)/100)/(100-SUMPRODUCT((D29:H29&lt;&gt;"")*($D$4:$H$4)))&lt;0,"va bien encaminado",100*(5-SUMPRODUCT(D29:H29,$D$4:$H$4)/100)/(100-SUMPRODUCT((D29:H29&lt;&gt;"")*($D$4:$H$4))))))))))</f>
        <v>No Procede</v>
      </c>
    </row>
    <row r="30" spans="2:45" ht="22" customHeight="1">
      <c r="B30" s="24"/>
      <c r="C30" s="25"/>
      <c r="D30" s="20"/>
      <c r="E30" s="22"/>
      <c r="F30" s="85"/>
      <c r="G30" s="85"/>
      <c r="H30" s="20"/>
      <c r="I30" s="81"/>
      <c r="K30" s="16"/>
      <c r="L30" s="39"/>
      <c r="M30" s="39"/>
      <c r="N30" s="67"/>
      <c r="O30" s="39"/>
      <c r="P30" s="39"/>
      <c r="Q30" s="67"/>
      <c r="R30" s="39"/>
      <c r="T30" s="16"/>
      <c r="U30" s="16"/>
    </row>
    <row r="31" spans="2:45" s="63" customFormat="1" ht="22" customHeight="1">
      <c r="B31" s="47"/>
      <c r="C31" s="51" t="s">
        <v>19</v>
      </c>
      <c r="D31" s="48"/>
      <c r="E31" s="87"/>
      <c r="F31" s="48"/>
      <c r="G31" s="48"/>
      <c r="H31" s="48"/>
      <c r="I31" s="82"/>
      <c r="K31" s="18" t="s">
        <v>50</v>
      </c>
      <c r="L31" s="34" t="s">
        <v>51</v>
      </c>
      <c r="M31" s="34" t="s">
        <v>53</v>
      </c>
      <c r="N31" s="58" t="s">
        <v>62</v>
      </c>
      <c r="O31" s="34" t="s">
        <v>64</v>
      </c>
      <c r="P31" s="34" t="s">
        <v>66</v>
      </c>
      <c r="Q31" s="58" t="s">
        <v>63</v>
      </c>
      <c r="R31" s="34" t="s">
        <v>65</v>
      </c>
      <c r="S31" s="18" t="s">
        <v>52</v>
      </c>
      <c r="T31" s="18" t="s">
        <v>56</v>
      </c>
      <c r="U31" s="18" t="s">
        <v>57</v>
      </c>
      <c r="V31" s="18" t="s">
        <v>58</v>
      </c>
      <c r="W31" s="18" t="s">
        <v>67</v>
      </c>
      <c r="X31" s="56" t="s">
        <v>68</v>
      </c>
      <c r="Y31" s="56" t="s">
        <v>69</v>
      </c>
      <c r="Z31" s="18" t="s">
        <v>70</v>
      </c>
      <c r="AA31" s="18" t="s">
        <v>71</v>
      </c>
      <c r="AB31" s="18" t="s">
        <v>77</v>
      </c>
      <c r="AI31" s="12"/>
      <c r="AJ31" s="12"/>
      <c r="AK31" s="12"/>
      <c r="AL31" s="12"/>
      <c r="AM31" s="12"/>
      <c r="AN31" s="12"/>
      <c r="AO31" s="12"/>
      <c r="AP31" s="12"/>
      <c r="AQ31" s="12"/>
      <c r="AR31" s="12"/>
      <c r="AS31" s="12"/>
    </row>
    <row r="32" spans="2:45" ht="22" customHeight="1">
      <c r="B32" s="19">
        <f>B29+1</f>
        <v>23</v>
      </c>
      <c r="C32" s="4" t="s">
        <v>30</v>
      </c>
      <c r="D32" s="97">
        <v>3.6</v>
      </c>
      <c r="E32" s="70">
        <v>6.8</v>
      </c>
      <c r="F32" s="97">
        <v>3.5</v>
      </c>
      <c r="G32" s="97">
        <v>7</v>
      </c>
      <c r="H32" s="97">
        <v>7.1</v>
      </c>
      <c r="I32" s="81">
        <f t="shared" ref="I32:I44" si="17">IF(COUNTA(D32:H32)=0, "", IF(COUNT(D32:H32)&lt;&gt;COUNTA(D32:H32), "NP", SUMPRODUCT(D32:H32, D$4:H$4)/100))</f>
        <v>5.9749999999999996</v>
      </c>
      <c r="J32" s="60" t="s">
        <v>29</v>
      </c>
      <c r="K32" s="35" cm="1">
        <f t="array" ref="K32">IF(COUNTIF(D32:H32,"NP")&gt;0,"NP",IF(COUNTIF(D32:H32,"Reconocimiento Créditos")&gt;0,"Reconocimiento Créditos",IF(COUNTIF(D32:H32,"Aprobado en otro curso")&gt;0,"Aprobado en otro curso",IF(COUNTIF(D32:H32,"")&gt;0,"Faltan Calificaciones",AVERAGE((D32:H32-$D$128:$H$128)/$D$130:$H$130)))))</f>
        <v>0.11637924913701858</v>
      </c>
      <c r="L32" s="40">
        <f t="shared" si="1"/>
        <v>0.61899999999999999</v>
      </c>
      <c r="M32" s="43">
        <f t="shared" si="2"/>
        <v>5.833333333333333</v>
      </c>
      <c r="N32" s="35" cm="1">
        <f t="array" ref="N32">IF(COUNTIF(D32:H32,"NP")&gt;0,"NP",IF(COUNTIF(D32:H32,"Reconocimiento Créditos")&gt;0,"Reconocimiento Créditos",IF(COUNTIF(D32:H32,"Aprobado en otro curso")&gt;0,"Aprobado en otro curso",IF(COUNTIF(D32:H32,"")&gt;0,"Faltan Calificaciones",AVERAGE((D32:H32-$D$128:$H$128)*($D$2:$H$2="EXAMEN")/($D$130:$H$130)*($D$2:$H$2="EXAMEN"))))))</f>
        <v>0.18281118247513134</v>
      </c>
      <c r="O32" s="40">
        <f t="shared" si="3"/>
        <v>0.63</v>
      </c>
      <c r="P32" s="43">
        <f t="shared" si="4"/>
        <v>5.25</v>
      </c>
      <c r="Q32" s="35" cm="1">
        <f t="array" ref="Q32">IF(COUNTIF(D32:H32,"NP")&gt;0,"NP",IF(COUNTIF(D32:H32,"Reconocimiento Créditos")&gt;0,"Reconocimiento Créditos",IF(COUNTIF(D32:H32,"Aprobado en otro curso")&gt;0,"Aprobado en otro curso",IF(COUNTIF(D32:H32,"")&gt;0,"Faltan Calificaciones",AVERAGE((D32:H32-$D$128:$H$128)*($D$2:$H$2="Prueba Complementaria")/($D$130:$H$130)*($D$2:$H$2="Prueba Complementaria"))))))</f>
        <v>-6.6431933338112759E-2</v>
      </c>
      <c r="R32" s="40">
        <f t="shared" si="5"/>
        <v>0.39100000000000001</v>
      </c>
      <c r="S32" s="42">
        <f t="shared" si="6"/>
        <v>5.6</v>
      </c>
      <c r="T32" s="43">
        <f t="shared" si="7"/>
        <v>-0.58333333333333304</v>
      </c>
      <c r="U32" s="40">
        <f t="shared" si="8"/>
        <v>-9.999999999999995E-2</v>
      </c>
      <c r="V32" s="40" t="str" cm="1">
        <f t="array" ref="V32">IF(COUNTIF(D32:H32,"NP")&gt;0,"NP",IF(COUNTIF(D32:H32,"Reconocimiento Créditos")&gt;0,"Reconocimiento Créditos",IF(COUNTIF(D32:H32,"Aprobado en otro curso")&gt;0,"Aprobado en otro curso",IF(COUNTBLANK(D32:H32)&gt;0,"Faltan Calificaciones",IF((SUMPRODUCT(($D$2:$H$2="EXAMEN")*((D32:H32-$D$128:$H$128)/$D$130:$H$130))/SUMPRODUCT(--($D$2:$H$2="EXAMEN")))-(SUMPRODUCT(($D$2:$H$2="PRUEBA COMPLEMENTARIA")*((D32:H32-$D$128:$H$128)/$D$130:$H$130))/SUMPRODUCT(--($D$2:$H$2="PRUEBA COMPLEMENTARIA")))&gt;0,"Exámenes","Actividades")))))</f>
        <v>Exámenes</v>
      </c>
      <c r="W32" s="35">
        <f t="shared" si="9"/>
        <v>1.7985831885057157E-2</v>
      </c>
      <c r="X32" s="35">
        <f t="shared" si="10"/>
        <v>1.6769019053003662</v>
      </c>
      <c r="Y32" s="71">
        <f t="shared" si="11"/>
        <v>0.44725335312065245</v>
      </c>
      <c r="Z32" s="35" cm="1">
        <f t="array" ref="Z32">IF(COUNTIF(D32:H32,"NP")&gt;0,"NP",IF(COUNTIF(D32:H32,"Reconocimiento Créditos")&gt;0,"Reconocimiento Créditos",IF(COUNTIF(D32:H32,"Aprobado en otro curso")&gt;0,"Aprobado en otro curso",IF(COUNTIF($D$2:$H$2,"Examen")&lt;2,"Faltan Calificaciones",SLOPE(_xlfn._xlws.FILTER(D32:H32,$D$2:$H$2="EXAMEN"),_xlfn.SEQUENCE(1,COUNTIF($D$2:$H$2,"EXAMEN"),1,1))))))</f>
        <v>1.7499999999999998</v>
      </c>
      <c r="AA32" s="35">
        <f t="shared" si="12"/>
        <v>1.5</v>
      </c>
      <c r="AB32" s="35" t="str" cm="1">
        <f t="array" ref="AB32">IF(COUNTIF(D32:H32,"NP")&gt;0,"NP",IF(COUNTIF(D32:H32,"Reconocimiento Créditos")&gt;0,"Reconocimiento Créditos",IF(COUNTIF(D32:H32,"Aprobado en otro curso")&gt;0,"Aprobado en otro curso",IF(COUNTBLANK(D32:H32)=0,"No Procede",IF(COUNTBLANK(D32:H32)&gt;3,"No Procede",IF(100*(5-SUMPRODUCT(D32:H32,$D$4:$H$4)/100)/(100-SUMPRODUCT((D32:H32&lt;&gt;"")*($D$4:$H$4)))&gt;10,"Necesita más de 10",IF(100*(5-SUMPRODUCT(D32:H32,$D$4:$H$4)/100)/(100-SUMPRODUCT((D32:H32&lt;&gt;"")*($D$4:$H$4)))&lt;0,"va bien encaminado",100*(5-SUMPRODUCT(D32:H32,$D$4:$H$4)/100)/(100-SUMPRODUCT((D32:H32&lt;&gt;"")*($D$4:$H$4))))))))))</f>
        <v>No Procede</v>
      </c>
    </row>
    <row r="33" spans="2:45" ht="22" customHeight="1">
      <c r="B33" s="19">
        <f>B32+1</f>
        <v>24</v>
      </c>
      <c r="C33" s="4" t="s">
        <v>30</v>
      </c>
      <c r="D33" s="97">
        <v>3.7</v>
      </c>
      <c r="E33" s="70">
        <v>3.75</v>
      </c>
      <c r="F33" s="97">
        <v>7</v>
      </c>
      <c r="G33" s="97">
        <v>7.4</v>
      </c>
      <c r="H33" s="97">
        <v>5.9</v>
      </c>
      <c r="I33" s="81">
        <f t="shared" si="17"/>
        <v>5.6375000000000002</v>
      </c>
      <c r="J33" s="60" t="s">
        <v>29</v>
      </c>
      <c r="K33" s="35" cm="1">
        <f t="array" ref="K33">IF(COUNTIF(D33:H33,"NP")&gt;0,"NP",IF(COUNTIF(D33:H33,"Reconocimiento Créditos")&gt;0,"Reconocimiento Créditos",IF(COUNTIF(D33:H33,"Aprobado en otro curso")&gt;0,"Aprobado en otro curso",IF(COUNTIF(D33:H33,"")&gt;0,"Faltan Calificaciones",AVERAGE((D33:H33-$D$128:$H$128)/$D$130:$H$130)))))</f>
        <v>4.6217418125935224E-2</v>
      </c>
      <c r="L33" s="40">
        <f t="shared" si="1"/>
        <v>0.5</v>
      </c>
      <c r="M33" s="43">
        <f t="shared" si="2"/>
        <v>4.45</v>
      </c>
      <c r="N33" s="35" cm="1">
        <f t="array" ref="N33">IF(COUNTIF(D33:H33,"NP")&gt;0,"NP",IF(COUNTIF(D33:H33,"Reconocimiento Créditos")&gt;0,"Reconocimiento Créditos",IF(COUNTIF(D33:H33,"Aprobado en otro curso")&gt;0,"Aprobado en otro curso",IF(COUNTIF(D33:H33,"")&gt;0,"Faltan Calificaciones",AVERAGE((D33:H33-$D$128:$H$128)*($D$2:$H$2="EXAMEN")/($D$130:$H$130)*($D$2:$H$2="EXAMEN"))))))</f>
        <v>-0.20976061697410567</v>
      </c>
      <c r="O33" s="40">
        <f t="shared" si="3"/>
        <v>0.30399999999999999</v>
      </c>
      <c r="P33" s="43">
        <f t="shared" si="4"/>
        <v>7.2</v>
      </c>
      <c r="Q33" s="35" cm="1">
        <f t="array" ref="Q33">IF(COUNTIF(D33:H33,"NP")&gt;0,"NP",IF(COUNTIF(D33:H33,"Reconocimiento Créditos")&gt;0,"Reconocimiento Créditos",IF(COUNTIF(D33:H33,"Aprobado en otro curso")&gt;0,"Aprobado en otro curso",IF(COUNTIF(D33:H33,"")&gt;0,"Faltan Calificaciones",AVERAGE((D33:H33-$D$128:$H$128)*($D$2:$H$2="Prueba Complementaria")/($D$130:$H$130)*($D$2:$H$2="Prueba Complementaria"))))))</f>
        <v>0.25597803510004091</v>
      </c>
      <c r="R33" s="40">
        <f t="shared" si="5"/>
        <v>0.73899999999999999</v>
      </c>
      <c r="S33" s="42">
        <f t="shared" si="6"/>
        <v>5.55</v>
      </c>
      <c r="T33" s="43">
        <f t="shared" si="7"/>
        <v>2.75</v>
      </c>
      <c r="U33" s="40">
        <f t="shared" si="8"/>
        <v>0.6179775280898876</v>
      </c>
      <c r="V33" s="40" t="str" cm="1">
        <f t="array" ref="V33">IF(COUNTIF(D33:H33,"NP")&gt;0,"NP",IF(COUNTIF(D33:H33,"Reconocimiento Créditos")&gt;0,"Reconocimiento Créditos",IF(COUNTIF(D33:H33,"Aprobado en otro curso")&gt;0,"Aprobado en otro curso",IF(COUNTBLANK(D33:H33)&gt;0,"Faltan Calificaciones",IF((SUMPRODUCT(($D$2:$H$2="EXAMEN")*((D33:H33-$D$128:$H$128)/$D$130:$H$130))/SUMPRODUCT(--($D$2:$H$2="EXAMEN")))-(SUMPRODUCT(($D$2:$H$2="PRUEBA COMPLEMENTARIA")*((D33:H33-$D$128:$H$128)/$D$130:$H$130))/SUMPRODUCT(--($D$2:$H$2="PRUEBA COMPLEMENTARIA")))&gt;0,"Exámenes","Actividades")))))</f>
        <v>Actividades</v>
      </c>
      <c r="W33" s="35">
        <f t="shared" si="9"/>
        <v>2.2721967389168738E-2</v>
      </c>
      <c r="X33" s="35">
        <f t="shared" si="10"/>
        <v>1.5690761613127637</v>
      </c>
      <c r="Y33" s="71">
        <f t="shared" si="11"/>
        <v>0.11153059635651257</v>
      </c>
      <c r="Z33" s="35" cm="1">
        <f t="array" ref="Z33">IF(COUNTIF(D33:H33,"NP")&gt;0,"NP",IF(COUNTIF(D33:H33,"Reconocimiento Créditos")&gt;0,"Reconocimiento Créditos",IF(COUNTIF(D33:H33,"Aprobado en otro curso")&gt;0,"Aprobado en otro curso",IF(COUNTIF($D$2:$H$2,"Examen")&lt;2,"Faltan Calificaciones",SLOPE(_xlfn._xlws.FILTER(D33:H33,$D$2:$H$2="EXAMEN"),_xlfn.SEQUENCE(1,COUNTIF($D$2:$H$2,"EXAMEN"),1,1))))))</f>
        <v>1.1000000000000001</v>
      </c>
      <c r="AA33" s="35">
        <f t="shared" si="12"/>
        <v>0.35000000000000053</v>
      </c>
      <c r="AB33" s="35" t="str" cm="1">
        <f t="array" ref="AB33">IF(COUNTIF(D33:H33,"NP")&gt;0,"NP",IF(COUNTIF(D33:H33,"Reconocimiento Créditos")&gt;0,"Reconocimiento Créditos",IF(COUNTIF(D33:H33,"Aprobado en otro curso")&gt;0,"Aprobado en otro curso",IF(COUNTBLANK(D33:H33)=0,"No Procede",IF(COUNTBLANK(D33:H33)&gt;3,"No Procede",IF(100*(5-SUMPRODUCT(D33:H33,$D$4:$H$4)/100)/(100-SUMPRODUCT((D33:H33&lt;&gt;"")*($D$4:$H$4)))&gt;10,"Necesita más de 10",IF(100*(5-SUMPRODUCT(D33:H33,$D$4:$H$4)/100)/(100-SUMPRODUCT((D33:H33&lt;&gt;"")*($D$4:$H$4)))&lt;0,"va bien encaminado",100*(5-SUMPRODUCT(D33:H33,$D$4:$H$4)/100)/(100-SUMPRODUCT((D33:H33&lt;&gt;"")*($D$4:$H$4))))))))))</f>
        <v>No Procede</v>
      </c>
    </row>
    <row r="34" spans="2:45" ht="22" customHeight="1">
      <c r="B34" s="19">
        <f t="shared" ref="B34:B44" si="18">B33+1</f>
        <v>25</v>
      </c>
      <c r="C34" s="4" t="s">
        <v>30</v>
      </c>
      <c r="D34" s="97">
        <v>7.2</v>
      </c>
      <c r="E34" s="70">
        <v>4.9000000000000004</v>
      </c>
      <c r="F34" s="97">
        <v>7.5</v>
      </c>
      <c r="G34" s="97">
        <v>9.5</v>
      </c>
      <c r="H34" s="97">
        <v>5.85</v>
      </c>
      <c r="I34" s="81">
        <f t="shared" si="17"/>
        <v>6.7050000000000001</v>
      </c>
      <c r="J34" s="60" t="s">
        <v>29</v>
      </c>
      <c r="K34" s="35" cm="1">
        <f t="array" ref="K34">IF(COUNTIF(D34:H34,"NP")&gt;0,"NP",IF(COUNTIF(D34:H34,"Reconocimiento Créditos")&gt;0,"Reconocimiento Créditos",IF(COUNTIF(D34:H34,"Aprobado en otro curso")&gt;0,"Aprobado en otro curso",IF(COUNTIF(D34:H34,"")&gt;0,"Faltan Calificaciones",AVERAGE((D34:H34-$D$128:$H$128)/$D$130:$H$130)))))</f>
        <v>0.67419448052915887</v>
      </c>
      <c r="L34" s="40">
        <f t="shared" si="1"/>
        <v>0.78200000000000003</v>
      </c>
      <c r="M34" s="43">
        <f t="shared" si="2"/>
        <v>5.9833333333333343</v>
      </c>
      <c r="N34" s="35" cm="1">
        <f t="array" ref="N34">IF(COUNTIF(D34:H34,"NP")&gt;0,"NP",IF(COUNTIF(D34:H34,"Reconocimiento Créditos")&gt;0,"Reconocimiento Créditos",IF(COUNTIF(D34:H34,"Aprobado en otro curso")&gt;0,"Aprobado en otro curso",IF(COUNTIF(D34:H34,"")&gt;0,"Faltan Calificaciones",AVERAGE((D34:H34-$D$128:$H$128)*($D$2:$H$2="EXAMEN")/($D$130:$H$130)*($D$2:$H$2="EXAMEN"))))))</f>
        <v>0.22192184934361903</v>
      </c>
      <c r="O34" s="40">
        <f t="shared" si="3"/>
        <v>0.69499999999999995</v>
      </c>
      <c r="P34" s="43">
        <f t="shared" si="4"/>
        <v>8.5</v>
      </c>
      <c r="Q34" s="35" cm="1">
        <f t="array" ref="Q34">IF(COUNTIF(D34:H34,"NP")&gt;0,"NP",IF(COUNTIF(D34:H34,"Reconocimiento Créditos")&gt;0,"Reconocimiento Créditos",IF(COUNTIF(D34:H34,"Aprobado en otro curso")&gt;0,"Aprobado en otro curso",IF(COUNTIF(D34:H34,"")&gt;0,"Faltan Calificaciones",AVERAGE((D34:H34-$D$128:$H$128)*($D$2:$H$2="Prueba Complementaria")/($D$130:$H$130)*($D$2:$H$2="Prueba Complementaria"))))))</f>
        <v>0.45227263118553979</v>
      </c>
      <c r="R34" s="40">
        <f t="shared" si="5"/>
        <v>0.95599999999999996</v>
      </c>
      <c r="S34" s="42">
        <f t="shared" si="6"/>
        <v>6.99</v>
      </c>
      <c r="T34" s="43">
        <f t="shared" si="7"/>
        <v>2.5166666666666657</v>
      </c>
      <c r="U34" s="40">
        <f t="shared" si="8"/>
        <v>0.42061281337047329</v>
      </c>
      <c r="V34" s="40" t="str" cm="1">
        <f t="array" ref="V34">IF(COUNTIF(D34:H34,"NP")&gt;0,"NP",IF(COUNTIF(D34:H34,"Reconocimiento Créditos")&gt;0,"Reconocimiento Créditos",IF(COUNTIF(D34:H34,"Aprobado en otro curso")&gt;0,"Aprobado en otro curso",IF(COUNTBLANK(D34:H34)&gt;0,"Faltan Calificaciones",IF((SUMPRODUCT(($D$2:$H$2="EXAMEN")*((D34:H34-$D$128:$H$128)/$D$130:$H$130))/SUMPRODUCT(--($D$2:$H$2="EXAMEN")))-(SUMPRODUCT(($D$2:$H$2="PRUEBA COMPLEMENTARIA")*((D34:H34-$D$128:$H$128)/$D$130:$H$130))/SUMPRODUCT(--($D$2:$H$2="PRUEBA COMPLEMENTARIA")))&gt;0,"Exámenes","Actividades")))))</f>
        <v>Actividades</v>
      </c>
      <c r="W34" s="35">
        <f t="shared" si="9"/>
        <v>2.20414191141887E-2</v>
      </c>
      <c r="X34" s="35">
        <f t="shared" si="10"/>
        <v>1.566652482205287</v>
      </c>
      <c r="Y34" s="71">
        <f t="shared" si="11"/>
        <v>-0.36383308134656794</v>
      </c>
      <c r="Z34" s="35" cm="1">
        <f t="array" ref="Z34">IF(COUNTIF(D34:H34,"NP")&gt;0,"NP",IF(COUNTIF(D34:H34,"Reconocimiento Créditos")&gt;0,"Reconocimiento Créditos",IF(COUNTIF(D34:H34,"Aprobado en otro curso")&gt;0,"Aprobado en otro curso",IF(COUNTIF($D$2:$H$2,"Examen")&lt;2,"Faltan Calificaciones",SLOPE(_xlfn._xlws.FILTER(D34:H34,$D$2:$H$2="EXAMEN"),_xlfn.SEQUENCE(1,COUNTIF($D$2:$H$2,"EXAMEN"),1,1))))))</f>
        <v>-0.67500000000000027</v>
      </c>
      <c r="AA34" s="35">
        <f t="shared" si="12"/>
        <v>-1.1400000000000006</v>
      </c>
      <c r="AB34" s="35" t="str" cm="1">
        <f t="array" ref="AB34">IF(COUNTIF(D34:H34,"NP")&gt;0,"NP",IF(COUNTIF(D34:H34,"Reconocimiento Créditos")&gt;0,"Reconocimiento Créditos",IF(COUNTIF(D34:H34,"Aprobado en otro curso")&gt;0,"Aprobado en otro curso",IF(COUNTBLANK(D34:H34)=0,"No Procede",IF(COUNTBLANK(D34:H34)&gt;3,"No Procede",IF(100*(5-SUMPRODUCT(D34:H34,$D$4:$H$4)/100)/(100-SUMPRODUCT((D34:H34&lt;&gt;"")*($D$4:$H$4)))&gt;10,"Necesita más de 10",IF(100*(5-SUMPRODUCT(D34:H34,$D$4:$H$4)/100)/(100-SUMPRODUCT((D34:H34&lt;&gt;"")*($D$4:$H$4)))&lt;0,"va bien encaminado",100*(5-SUMPRODUCT(D34:H34,$D$4:$H$4)/100)/(100-SUMPRODUCT((D34:H34&lt;&gt;"")*($D$4:$H$4))))))))))</f>
        <v>No Procede</v>
      </c>
      <c r="AI34" s="63"/>
      <c r="AJ34" s="63"/>
      <c r="AK34" s="63"/>
      <c r="AL34" s="63"/>
      <c r="AM34" s="63"/>
      <c r="AN34" s="63"/>
      <c r="AO34" s="63"/>
      <c r="AP34" s="63"/>
      <c r="AQ34" s="63"/>
      <c r="AR34" s="63"/>
      <c r="AS34" s="63"/>
    </row>
    <row r="35" spans="2:45" ht="22" customHeight="1">
      <c r="B35" s="19">
        <f t="shared" si="18"/>
        <v>26</v>
      </c>
      <c r="C35" s="4" t="s">
        <v>30</v>
      </c>
      <c r="D35" s="97">
        <v>8.25</v>
      </c>
      <c r="E35" s="70">
        <v>5.45</v>
      </c>
      <c r="F35" s="97">
        <v>8</v>
      </c>
      <c r="G35" s="97">
        <v>3.5</v>
      </c>
      <c r="H35" s="97">
        <v>7.6</v>
      </c>
      <c r="I35" s="81">
        <f t="shared" si="17"/>
        <v>6.82</v>
      </c>
      <c r="J35" s="60" t="s">
        <v>29</v>
      </c>
      <c r="K35" s="35" cm="1">
        <f t="array" ref="K35">IF(COUNTIF(D35:H35,"NP")&gt;0,"NP",IF(COUNTIF(D35:H35,"Reconocimiento Créditos")&gt;0,"Reconocimiento Créditos",IF(COUNTIF(D35:H35,"Aprobado en otro curso")&gt;0,"Aprobado en otro curso",IF(COUNTIF(D35:H35,"")&gt;0,"Faltan Calificaciones",AVERAGE((D35:H35-$D$128:$H$128)/$D$130:$H$130)))))</f>
        <v>0.58473467082996966</v>
      </c>
      <c r="L35" s="40">
        <f t="shared" si="1"/>
        <v>0.84699999999999998</v>
      </c>
      <c r="M35" s="43">
        <f t="shared" si="2"/>
        <v>7.0999999999999988</v>
      </c>
      <c r="N35" s="35" cm="1">
        <f t="array" ref="N35">IF(COUNTIF(D35:H35,"NP")&gt;0,"NP",IF(COUNTIF(D35:H35,"Reconocimiento Créditos")&gt;0,"Reconocimiento Créditos",IF(COUNTIF(D35:H35,"Aprobado en otro curso")&gt;0,"Aprobado en otro curso",IF(COUNTIF(D35:H35,"")&gt;0,"Faltan Calificaciones",AVERAGE((D35:H35-$D$128:$H$128)*($D$2:$H$2="EXAMEN")/($D$130:$H$130)*($D$2:$H$2="EXAMEN"))))))</f>
        <v>0.53185855220919309</v>
      </c>
      <c r="O35" s="40">
        <f t="shared" si="3"/>
        <v>0.89100000000000001</v>
      </c>
      <c r="P35" s="43">
        <f t="shared" si="4"/>
        <v>5.75</v>
      </c>
      <c r="Q35" s="35" cm="1">
        <f t="array" ref="Q35">IF(COUNTIF(D35:H35,"NP")&gt;0,"NP",IF(COUNTIF(D35:H35,"Reconocimiento Créditos")&gt;0,"Reconocimiento Créditos",IF(COUNTIF(D35:H35,"Aprobado en otro curso")&gt;0,"Aprobado en otro curso",IF(COUNTIF(D35:H35,"")&gt;0,"Faltan Calificaciones",AVERAGE((D35:H35-$D$128:$H$128)*($D$2:$H$2="Prueba Complementaria")/($D$130:$H$130)*($D$2:$H$2="Prueba Complementaria"))))))</f>
        <v>5.2876118620776701E-2</v>
      </c>
      <c r="R35" s="40">
        <f t="shared" si="5"/>
        <v>0.5</v>
      </c>
      <c r="S35" s="42">
        <f t="shared" si="6"/>
        <v>6.56</v>
      </c>
      <c r="T35" s="43">
        <f t="shared" si="7"/>
        <v>-1.3499999999999988</v>
      </c>
      <c r="U35" s="40">
        <f t="shared" si="8"/>
        <v>-0.19014084507042239</v>
      </c>
      <c r="V35" s="40" t="str" cm="1">
        <f t="array" ref="V35">IF(COUNTIF(D35:H35,"NP")&gt;0,"NP",IF(COUNTIF(D35:H35,"Reconocimiento Créditos")&gt;0,"Reconocimiento Créditos",IF(COUNTIF(D35:H35,"Aprobado en otro curso")&gt;0,"Aprobado en otro curso",IF(COUNTBLANK(D35:H35)&gt;0,"Faltan Calificaciones",IF((SUMPRODUCT(($D$2:$H$2="EXAMEN")*((D35:H35-$D$128:$H$128)/$D$130:$H$130))/SUMPRODUCT(--($D$2:$H$2="EXAMEN")))-(SUMPRODUCT(($D$2:$H$2="PRUEBA COMPLEMENTARIA")*((D35:H35-$D$128:$H$128)/$D$130:$H$130))/SUMPRODUCT(--($D$2:$H$2="PRUEBA COMPLEMENTARIA")))&gt;0,"Exámenes","Actividades")))))</f>
        <v>Exámenes</v>
      </c>
      <c r="W35" s="35">
        <f t="shared" si="9"/>
        <v>5.4180358043750439E-2</v>
      </c>
      <c r="X35" s="35">
        <f t="shared" si="10"/>
        <v>1.8224708502469946</v>
      </c>
      <c r="Y35" s="71">
        <f t="shared" si="11"/>
        <v>0.28532692302295309</v>
      </c>
      <c r="Z35" s="35" cm="1">
        <f t="array" ref="Z35">IF(COUNTIF(D35:H35,"NP")&gt;0,"NP",IF(COUNTIF(D35:H35,"Reconocimiento Créditos")&gt;0,"Reconocimiento Créditos",IF(COUNTIF(D35:H35,"Aprobado en otro curso")&gt;0,"Aprobado en otro curso",IF(COUNTIF($D$2:$H$2,"Examen")&lt;2,"Faltan Calificaciones",SLOPE(_xlfn._xlws.FILTER(D35:H35,$D$2:$H$2="EXAMEN"),_xlfn.SEQUENCE(1,COUNTIF($D$2:$H$2,"EXAMEN"),1,1))))))</f>
        <v>-0.32500000000000018</v>
      </c>
      <c r="AA35" s="35">
        <f t="shared" si="12"/>
        <v>1.04</v>
      </c>
      <c r="AB35" s="35" t="str" cm="1">
        <f t="array" ref="AB35">IF(COUNTIF(D35:H35,"NP")&gt;0,"NP",IF(COUNTIF(D35:H35,"Reconocimiento Créditos")&gt;0,"Reconocimiento Créditos",IF(COUNTIF(D35:H35,"Aprobado en otro curso")&gt;0,"Aprobado en otro curso",IF(COUNTBLANK(D35:H35)=0,"No Procede",IF(COUNTBLANK(D35:H35)&gt;3,"No Procede",IF(100*(5-SUMPRODUCT(D35:H35,$D$4:$H$4)/100)/(100-SUMPRODUCT((D35:H35&lt;&gt;"")*($D$4:$H$4)))&gt;10,"Necesita más de 10",IF(100*(5-SUMPRODUCT(D35:H35,$D$4:$H$4)/100)/(100-SUMPRODUCT((D35:H35&lt;&gt;"")*($D$4:$H$4)))&lt;0,"va bien encaminado",100*(5-SUMPRODUCT(D35:H35,$D$4:$H$4)/100)/(100-SUMPRODUCT((D35:H35&lt;&gt;"")*($D$4:$H$4))))))))))</f>
        <v>No Procede</v>
      </c>
    </row>
    <row r="36" spans="2:45" ht="22" customHeight="1">
      <c r="B36" s="19">
        <f t="shared" si="18"/>
        <v>27</v>
      </c>
      <c r="C36" s="4" t="s">
        <v>30</v>
      </c>
      <c r="D36" s="97">
        <v>7.55</v>
      </c>
      <c r="E36" s="70">
        <v>5.2</v>
      </c>
      <c r="F36" s="97">
        <v>6.5</v>
      </c>
      <c r="G36" s="97">
        <v>6.25</v>
      </c>
      <c r="H36" s="97">
        <v>7.95</v>
      </c>
      <c r="I36" s="81">
        <f t="shared" si="17"/>
        <v>7.0049999999999999</v>
      </c>
      <c r="J36" s="60" t="s">
        <v>29</v>
      </c>
      <c r="K36" s="35" cm="1">
        <f t="array" ref="K36">IF(COUNTIF(D36:H36,"NP")&gt;0,"NP",IF(COUNTIF(D36:H36,"Reconocimiento Créditos")&gt;0,"Reconocimiento Créditos",IF(COUNTIF(D36:H36,"Aprobado en otro curso")&gt;0,"Aprobado en otro curso",IF(COUNTIF(D36:H36,"")&gt;0,"Faltan Calificaciones",AVERAGE((D36:H36-$D$128:$H$128)/$D$130:$H$130)))))</f>
        <v>0.60412116691774198</v>
      </c>
      <c r="L36" s="40">
        <f t="shared" si="1"/>
        <v>0.89100000000000001</v>
      </c>
      <c r="M36" s="43">
        <f t="shared" si="2"/>
        <v>6.8999999999999995</v>
      </c>
      <c r="N36" s="35" cm="1">
        <f t="array" ref="N36">IF(COUNTIF(D36:H36,"NP")&gt;0,"NP",IF(COUNTIF(D36:H36,"Reconocimiento Créditos")&gt;0,"Reconocimiento Créditos",IF(COUNTIF(D36:H36,"Aprobado en otro curso")&gt;0,"Aprobado en otro curso",IF(COUNTIF(D36:H36,"")&gt;0,"Faltan Calificaciones",AVERAGE((D36:H36-$D$128:$H$128)*($D$2:$H$2="EXAMEN")/($D$130:$H$130)*($D$2:$H$2="EXAMEN"))))))</f>
        <v>0.47457272133310757</v>
      </c>
      <c r="O36" s="40">
        <f t="shared" si="3"/>
        <v>0.85799999999999998</v>
      </c>
      <c r="P36" s="43">
        <f t="shared" si="4"/>
        <v>6.375</v>
      </c>
      <c r="Q36" s="35" cm="1">
        <f t="array" ref="Q36">IF(COUNTIF(D36:H36,"NP")&gt;0,"NP",IF(COUNTIF(D36:H36,"Reconocimiento Créditos")&gt;0,"Reconocimiento Créditos",IF(COUNTIF(D36:H36,"Aprobado en otro curso")&gt;0,"Aprobado en otro curso",IF(COUNTIF(D36:H36,"")&gt;0,"Faltan Calificaciones",AVERAGE((D36:H36-$D$128:$H$128)*($D$2:$H$2="Prueba Complementaria")/($D$130:$H$130)*($D$2:$H$2="Prueba Complementaria"))))))</f>
        <v>0.12954844558463435</v>
      </c>
      <c r="R36" s="40">
        <f t="shared" si="5"/>
        <v>0.61899999999999999</v>
      </c>
      <c r="S36" s="42">
        <f t="shared" si="6"/>
        <v>6.69</v>
      </c>
      <c r="T36" s="43">
        <f t="shared" si="7"/>
        <v>-0.52499999999999947</v>
      </c>
      <c r="U36" s="40">
        <f t="shared" si="8"/>
        <v>-7.6086956521739066E-2</v>
      </c>
      <c r="V36" s="40" t="str" cm="1">
        <f t="array" ref="V36">IF(COUNTIF(D36:H36,"NP")&gt;0,"NP",IF(COUNTIF(D36:H36,"Reconocimiento Créditos")&gt;0,"Reconocimiento Créditos",IF(COUNTIF(D36:H36,"Aprobado en otro curso")&gt;0,"Aprobado en otro curso",IF(COUNTBLANK(D36:H36)&gt;0,"Faltan Calificaciones",IF((SUMPRODUCT(($D$2:$H$2="EXAMEN")*((D36:H36-$D$128:$H$128)/$D$130:$H$130))/SUMPRODUCT(--($D$2:$H$2="EXAMEN")))-(SUMPRODUCT(($D$2:$H$2="PRUEBA COMPLEMENTARIA")*((D36:H36-$D$128:$H$128)/$D$130:$H$130))/SUMPRODUCT(--($D$2:$H$2="PRUEBA COMPLEMENTARIA")))&gt;0,"Exámenes","Actividades")))))</f>
        <v>Exámenes</v>
      </c>
      <c r="W36" s="35">
        <f t="shared" si="9"/>
        <v>4.8240094102650691E-2</v>
      </c>
      <c r="X36" s="35">
        <f t="shared" si="10"/>
        <v>0.97744565066298728</v>
      </c>
      <c r="Y36" s="71">
        <f t="shared" si="11"/>
        <v>0.6445371152582009</v>
      </c>
      <c r="Z36" s="35" cm="1">
        <f t="array" ref="Z36">IF(COUNTIF(D36:H36,"NP")&gt;0,"NP",IF(COUNTIF(D36:H36,"Reconocimiento Créditos")&gt;0,"Reconocimiento Créditos",IF(COUNTIF(D36:H36,"Aprobado en otro curso")&gt;0,"Aprobado en otro curso",IF(COUNTIF($D$2:$H$2,"Examen")&lt;2,"Faltan Calificaciones",SLOPE(_xlfn._xlws.FILTER(D36:H36,$D$2:$H$2="EXAMEN"),_xlfn.SEQUENCE(1,COUNTIF($D$2:$H$2,"EXAMEN"),1,1))))))</f>
        <v>0.20000000000000018</v>
      </c>
      <c r="AA36" s="35">
        <f t="shared" si="12"/>
        <v>1.2599999999999998</v>
      </c>
      <c r="AB36" s="35" t="str" cm="1">
        <f t="array" ref="AB36">IF(COUNTIF(D36:H36,"NP")&gt;0,"NP",IF(COUNTIF(D36:H36,"Reconocimiento Créditos")&gt;0,"Reconocimiento Créditos",IF(COUNTIF(D36:H36,"Aprobado en otro curso")&gt;0,"Aprobado en otro curso",IF(COUNTBLANK(D36:H36)=0,"No Procede",IF(COUNTBLANK(D36:H36)&gt;3,"No Procede",IF(100*(5-SUMPRODUCT(D36:H36,$D$4:$H$4)/100)/(100-SUMPRODUCT((D36:H36&lt;&gt;"")*($D$4:$H$4)))&gt;10,"Necesita más de 10",IF(100*(5-SUMPRODUCT(D36:H36,$D$4:$H$4)/100)/(100-SUMPRODUCT((D36:H36&lt;&gt;"")*($D$4:$H$4)))&lt;0,"va bien encaminado",100*(5-SUMPRODUCT(D36:H36,$D$4:$H$4)/100)/(100-SUMPRODUCT((D36:H36&lt;&gt;"")*($D$4:$H$4))))))))))</f>
        <v>No Procede</v>
      </c>
    </row>
    <row r="37" spans="2:45" ht="22" customHeight="1">
      <c r="B37" s="19">
        <f t="shared" si="18"/>
        <v>28</v>
      </c>
      <c r="C37" s="4" t="s">
        <v>30</v>
      </c>
      <c r="D37" s="97">
        <v>6.9</v>
      </c>
      <c r="E37" s="70">
        <v>5.3</v>
      </c>
      <c r="F37" s="97">
        <v>7.5</v>
      </c>
      <c r="G37" s="97">
        <v>5.5</v>
      </c>
      <c r="H37" s="97">
        <v>7.5</v>
      </c>
      <c r="I37" s="81">
        <f t="shared" si="17"/>
        <v>6.78</v>
      </c>
      <c r="J37" s="60" t="s">
        <v>29</v>
      </c>
      <c r="K37" s="35" cm="1">
        <f t="array" ref="K37">IF(COUNTIF(D37:H37,"NP")&gt;0,"NP",IF(COUNTIF(D37:H37,"Reconocimiento Créditos")&gt;0,"Reconocimiento Créditos",IF(COUNTIF(D37:H37,"Aprobado en otro curso")&gt;0,"Aprobado en otro curso",IF(COUNTIF(D37:H37,"")&gt;0,"Faltan Calificaciones",AVERAGE((D37:H37-$D$128:$H$128)/$D$130:$H$130)))))</f>
        <v>0.54075313077579534</v>
      </c>
      <c r="L37" s="40">
        <f t="shared" si="1"/>
        <v>0.83599999999999997</v>
      </c>
      <c r="M37" s="43">
        <f t="shared" si="2"/>
        <v>6.5666666666666664</v>
      </c>
      <c r="N37" s="35" cm="1">
        <f t="array" ref="N37">IF(COUNTIF(D37:H37,"NP")&gt;0,"NP",IF(COUNTIF(D37:H37,"Reconocimiento Créditos")&gt;0,"Reconocimiento Créditos",IF(COUNTIF(D37:H37,"Aprobado en otro curso")&gt;0,"Aprobado en otro curso",IF(COUNTIF(D37:H37,"")&gt;0,"Faltan Calificaciones",AVERAGE((D37:H37-$D$128:$H$128)*($D$2:$H$2="EXAMEN")/($D$130:$H$130)*($D$2:$H$2="EXAMEN"))))))</f>
        <v>0.38264894830643437</v>
      </c>
      <c r="O37" s="40">
        <f t="shared" si="3"/>
        <v>0.81499999999999995</v>
      </c>
      <c r="P37" s="43">
        <f t="shared" si="4"/>
        <v>6.5</v>
      </c>
      <c r="Q37" s="35" cm="1">
        <f t="array" ref="Q37">IF(COUNTIF(D37:H37,"NP")&gt;0,"NP",IF(COUNTIF(D37:H37,"Reconocimiento Créditos")&gt;0,"Reconocimiento Créditos",IF(COUNTIF(D37:H37,"Aprobado en otro curso")&gt;0,"Aprobado en otro curso",IF(COUNTIF(D37:H37,"")&gt;0,"Faltan Calificaciones",AVERAGE((D37:H37-$D$128:$H$128)*($D$2:$H$2="Prueba Complementaria")/($D$130:$H$130)*($D$2:$H$2="Prueba Complementaria"))))))</f>
        <v>0.158104182469361</v>
      </c>
      <c r="R37" s="40">
        <f t="shared" si="5"/>
        <v>0.64100000000000001</v>
      </c>
      <c r="S37" s="42">
        <f t="shared" si="6"/>
        <v>6.5400000000000009</v>
      </c>
      <c r="T37" s="43">
        <f t="shared" si="7"/>
        <v>-6.666666666666643E-2</v>
      </c>
      <c r="U37" s="40">
        <f t="shared" si="8"/>
        <v>-1.0152284263959355E-2</v>
      </c>
      <c r="V37" s="40" t="str" cm="1">
        <f t="array" ref="V37">IF(COUNTIF(D37:H37,"NP")&gt;0,"NP",IF(COUNTIF(D37:H37,"Reconocimiento Créditos")&gt;0,"Reconocimiento Créditos",IF(COUNTIF(D37:H37,"Aprobado en otro curso")&gt;0,"Aprobado en otro curso",IF(COUNTBLANK(D37:H37)&gt;0,"Faltan Calificaciones",IF((SUMPRODUCT(($D$2:$H$2="EXAMEN")*((D37:H37-$D$128:$H$128)/$D$130:$H$130))/SUMPRODUCT(--($D$2:$H$2="EXAMEN")))-(SUMPRODUCT(($D$2:$H$2="PRUEBA COMPLEMENTARIA")*((D37:H37-$D$128:$H$128)/$D$130:$H$130))/SUMPRODUCT(--($D$2:$H$2="PRUEBA COMPLEMENTARIA")))&gt;0,"Exámenes","Actividades")))))</f>
        <v>Exámenes</v>
      </c>
      <c r="W37" s="35">
        <f t="shared" si="9"/>
        <v>3.870804288004831E-2</v>
      </c>
      <c r="X37" s="35">
        <f t="shared" si="10"/>
        <v>0.9583318840568712</v>
      </c>
      <c r="Y37" s="71">
        <f t="shared" si="11"/>
        <v>0.50087032267780929</v>
      </c>
      <c r="Z37" s="35" cm="1">
        <f t="array" ref="Z37">IF(COUNTIF(D37:H37,"NP")&gt;0,"NP",IF(COUNTIF(D37:H37,"Reconocimiento Créditos")&gt;0,"Reconocimiento Créditos",IF(COUNTIF(D37:H37,"Aprobado en otro curso")&gt;0,"Aprobado en otro curso",IF(COUNTIF($D$2:$H$2,"Examen")&lt;2,"Faltan Calificaciones",SLOPE(_xlfn._xlws.FILTER(D37:H37,$D$2:$H$2="EXAMEN"),_xlfn.SEQUENCE(1,COUNTIF($D$2:$H$2,"EXAMEN"),1,1))))))</f>
        <v>0.29999999999999982</v>
      </c>
      <c r="AA37" s="35">
        <f t="shared" si="12"/>
        <v>0.95999999999999908</v>
      </c>
      <c r="AB37" s="35" t="str" cm="1">
        <f t="array" ref="AB37">IF(COUNTIF(D37:H37,"NP")&gt;0,"NP",IF(COUNTIF(D37:H37,"Reconocimiento Créditos")&gt;0,"Reconocimiento Créditos",IF(COUNTIF(D37:H37,"Aprobado en otro curso")&gt;0,"Aprobado en otro curso",IF(COUNTBLANK(D37:H37)=0,"No Procede",IF(COUNTBLANK(D37:H37)&gt;3,"No Procede",IF(100*(5-SUMPRODUCT(D37:H37,$D$4:$H$4)/100)/(100-SUMPRODUCT((D37:H37&lt;&gt;"")*($D$4:$H$4)))&gt;10,"Necesita más de 10",IF(100*(5-SUMPRODUCT(D37:H37,$D$4:$H$4)/100)/(100-SUMPRODUCT((D37:H37&lt;&gt;"")*($D$4:$H$4)))&lt;0,"va bien encaminado",100*(5-SUMPRODUCT(D37:H37,$D$4:$H$4)/100)/(100-SUMPRODUCT((D37:H37&lt;&gt;"")*($D$4:$H$4))))))))))</f>
        <v>No Procede</v>
      </c>
    </row>
    <row r="38" spans="2:45" ht="22" customHeight="1">
      <c r="B38" s="19">
        <f t="shared" si="18"/>
        <v>29</v>
      </c>
      <c r="C38" s="4" t="s">
        <v>30</v>
      </c>
      <c r="D38" s="97">
        <v>4</v>
      </c>
      <c r="E38" s="70">
        <v>6.75</v>
      </c>
      <c r="F38" s="97">
        <v>6</v>
      </c>
      <c r="G38" s="97">
        <v>6</v>
      </c>
      <c r="H38" s="97">
        <v>4.45</v>
      </c>
      <c r="I38" s="81">
        <f t="shared" si="17"/>
        <v>5.1924999999999999</v>
      </c>
      <c r="J38" s="60" t="s">
        <v>29</v>
      </c>
      <c r="K38" s="35" cm="1">
        <f t="array" ref="K38">IF(COUNTIF(D38:H38,"NP")&gt;0,"NP",IF(COUNTIF(D38:H38,"Reconocimiento Créditos")&gt;0,"Reconocimiento Créditos",IF(COUNTIF(D38:H38,"Aprobado en otro curso")&gt;0,"Aprobado en otro curso",IF(COUNTIF(D38:H38,"")&gt;0,"Faltan Calificaciones",AVERAGE((D38:H38-$D$128:$H$128)/$D$130:$H$130)))))</f>
        <v>4.3191700295728774E-2</v>
      </c>
      <c r="L38" s="40">
        <f t="shared" si="1"/>
        <v>0.40200000000000002</v>
      </c>
      <c r="M38" s="43">
        <f t="shared" si="2"/>
        <v>5.0666666666666664</v>
      </c>
      <c r="N38" s="35" cm="1">
        <f t="array" ref="N38">IF(COUNTIF(D38:H38,"NP")&gt;0,"NP",IF(COUNTIF(D38:H38,"Reconocimiento Créditos")&gt;0,"Reconocimiento Créditos",IF(COUNTIF(D38:H38,"Aprobado en otro curso")&gt;0,"Aprobado en otro curso",IF(COUNTIF(D38:H38,"")&gt;0,"Faltan Calificaciones",AVERAGE((D38:H38-$D$128:$H$128)*($D$2:$H$2="EXAMEN")/($D$130:$H$130)*($D$2:$H$2="EXAMEN"))))))</f>
        <v>-2.6115056734639264E-2</v>
      </c>
      <c r="O38" s="40">
        <f t="shared" si="3"/>
        <v>0.434</v>
      </c>
      <c r="P38" s="43">
        <f t="shared" si="4"/>
        <v>6</v>
      </c>
      <c r="Q38" s="35" cm="1">
        <f t="array" ref="Q38">IF(COUNTIF(D38:H38,"NP")&gt;0,"NP",IF(COUNTIF(D38:H38,"Reconocimiento Créditos")&gt;0,"Reconocimiento Créditos",IF(COUNTIF(D38:H38,"Aprobado en otro curso")&gt;0,"Aprobado en otro curso",IF(COUNTIF(D38:H38,"")&gt;0,"Faltan Calificaciones",AVERAGE((D38:H38-$D$128:$H$128)*($D$2:$H$2="Prueba Complementaria")/($D$130:$H$130)*($D$2:$H$2="Prueba Complementaria"))))))</f>
        <v>6.9306757030368052E-2</v>
      </c>
      <c r="R38" s="40">
        <f t="shared" si="5"/>
        <v>0.56499999999999995</v>
      </c>
      <c r="S38" s="42">
        <f t="shared" si="6"/>
        <v>5.4399999999999995</v>
      </c>
      <c r="T38" s="43">
        <f t="shared" si="7"/>
        <v>0.93333333333333357</v>
      </c>
      <c r="U38" s="40">
        <f t="shared" si="8"/>
        <v>0.18421052631578952</v>
      </c>
      <c r="V38" s="40" t="str" cm="1">
        <f t="array" ref="V38">IF(COUNTIF(D38:H38,"NP")&gt;0,"NP",IF(COUNTIF(D38:H38,"Reconocimiento Créditos")&gt;0,"Reconocimiento Créditos",IF(COUNTIF(D38:H38,"Aprobado en otro curso")&gt;0,"Aprobado en otro curso",IF(COUNTBLANK(D38:H38)&gt;0,"Faltan Calificaciones",IF((SUMPRODUCT(($D$2:$H$2="EXAMEN")*((D38:H38-$D$128:$H$128)/$D$130:$H$130))/SUMPRODUCT(--($D$2:$H$2="EXAMEN")))-(SUMPRODUCT(($D$2:$H$2="PRUEBA COMPLEMENTARIA")*((D38:H38-$D$128:$H$128)/$D$130:$H$130))/SUMPRODUCT(--($D$2:$H$2="PRUEBA COMPLEMENTARIA")))&gt;0,"Exámenes","Actividades")))))</f>
        <v>Actividades</v>
      </c>
      <c r="W38" s="35">
        <f t="shared" si="9"/>
        <v>3.6788098971654269E-3</v>
      </c>
      <c r="X38" s="35">
        <f t="shared" si="10"/>
        <v>1.0389417693018244</v>
      </c>
      <c r="Y38" s="71">
        <f t="shared" si="11"/>
        <v>-0.4764463366725975</v>
      </c>
      <c r="Z38" s="35" cm="1">
        <f t="array" ref="Z38">IF(COUNTIF(D38:H38,"NP")&gt;0,"NP",IF(COUNTIF(D38:H38,"Reconocimiento Créditos")&gt;0,"Reconocimiento Créditos",IF(COUNTIF(D38:H38,"Aprobado en otro curso")&gt;0,"Aprobado en otro curso",IF(COUNTIF($D$2:$H$2,"Examen")&lt;2,"Faltan Calificaciones",SLOPE(_xlfn._xlws.FILTER(D38:H38,$D$2:$H$2="EXAMEN"),_xlfn.SEQUENCE(1,COUNTIF($D$2:$H$2,"EXAMEN"),1,1))))))</f>
        <v>0.22500000000000009</v>
      </c>
      <c r="AA38" s="35">
        <f t="shared" si="12"/>
        <v>-0.98999999999999932</v>
      </c>
      <c r="AB38" s="35" t="str" cm="1">
        <f t="array" ref="AB38">IF(COUNTIF(D38:H38,"NP")&gt;0,"NP",IF(COUNTIF(D38:H38,"Reconocimiento Créditos")&gt;0,"Reconocimiento Créditos",IF(COUNTIF(D38:H38,"Aprobado en otro curso")&gt;0,"Aprobado en otro curso",IF(COUNTBLANK(D38:H38)=0,"No Procede",IF(COUNTBLANK(D38:H38)&gt;3,"No Procede",IF(100*(5-SUMPRODUCT(D38:H38,$D$4:$H$4)/100)/(100-SUMPRODUCT((D38:H38&lt;&gt;"")*($D$4:$H$4)))&gt;10,"Necesita más de 10",IF(100*(5-SUMPRODUCT(D38:H38,$D$4:$H$4)/100)/(100-SUMPRODUCT((D38:H38&lt;&gt;"")*($D$4:$H$4)))&lt;0,"va bien encaminado",100*(5-SUMPRODUCT(D38:H38,$D$4:$H$4)/100)/(100-SUMPRODUCT((D38:H38&lt;&gt;"")*($D$4:$H$4))))))))))</f>
        <v>No Procede</v>
      </c>
    </row>
    <row r="39" spans="2:45" ht="22" customHeight="1">
      <c r="B39" s="19">
        <f t="shared" si="18"/>
        <v>30</v>
      </c>
      <c r="C39" s="4" t="s">
        <v>30</v>
      </c>
      <c r="D39" s="97">
        <v>3.5</v>
      </c>
      <c r="E39" s="70">
        <v>7.15</v>
      </c>
      <c r="F39" s="97">
        <v>7</v>
      </c>
      <c r="G39" s="97">
        <v>6.3</v>
      </c>
      <c r="H39" s="97">
        <v>5.05</v>
      </c>
      <c r="I39" s="81">
        <f t="shared" si="17"/>
        <v>5.6124999999999998</v>
      </c>
      <c r="J39" s="60" t="s">
        <v>29</v>
      </c>
      <c r="K39" s="35" cm="1">
        <f t="array" ref="K39">IF(COUNTIF(D39:H39,"NP")&gt;0,"NP",IF(COUNTIF(D39:H39,"Reconocimiento Créditos")&gt;0,"Reconocimiento Créditos",IF(COUNTIF(D39:H39,"Aprobado en otro curso")&gt;0,"Aprobado en otro curso",IF(COUNTIF(D39:H39,"")&gt;0,"Faltan Calificaciones",AVERAGE((D39:H39-$D$128:$H$128)/$D$130:$H$130)))))</f>
        <v>0.19542953355156237</v>
      </c>
      <c r="L39" s="40">
        <f t="shared" si="1"/>
        <v>0.47799999999999998</v>
      </c>
      <c r="M39" s="43">
        <f t="shared" si="2"/>
        <v>5.2333333333333334</v>
      </c>
      <c r="N39" s="35" cm="1">
        <f t="array" ref="N39">IF(COUNTIF(D39:H39,"NP")&gt;0,"NP",IF(COUNTIF(D39:H39,"Reconocimiento Créditos")&gt;0,"Reconocimiento Créditos",IF(COUNTIF(D39:H39,"Aprobado en otro curso")&gt;0,"Aprobado en otro curso",IF(COUNTIF(D39:H39,"")&gt;0,"Faltan Calificaciones",AVERAGE((D39:H39-$D$128:$H$128)*($D$2:$H$2="EXAMEN")/($D$130:$H$130)*($D$2:$H$2="EXAMEN"))))))</f>
        <v>2.0347821848470688E-2</v>
      </c>
      <c r="O39" s="40">
        <f t="shared" si="3"/>
        <v>0.48899999999999999</v>
      </c>
      <c r="P39" s="43">
        <f t="shared" si="4"/>
        <v>6.65</v>
      </c>
      <c r="Q39" s="35" cm="1">
        <f t="array" ref="Q39">IF(COUNTIF(D39:H39,"NP")&gt;0,"NP",IF(COUNTIF(D39:H39,"Reconocimiento Créditos")&gt;0,"Reconocimiento Créditos",IF(COUNTIF(D39:H39,"Aprobado en otro curso")&gt;0,"Aprobado en otro curso",IF(COUNTIF(D39:H39,"")&gt;0,"Faltan Calificaciones",AVERAGE((D39:H39-$D$128:$H$128)*($D$2:$H$2="Prueba Complementaria")/($D$130:$H$130)*($D$2:$H$2="Prueba Complementaria"))))))</f>
        <v>0.17508171170309167</v>
      </c>
      <c r="R39" s="40">
        <f t="shared" si="5"/>
        <v>0.68400000000000005</v>
      </c>
      <c r="S39" s="42">
        <f t="shared" si="6"/>
        <v>5.8</v>
      </c>
      <c r="T39" s="43">
        <f t="shared" si="7"/>
        <v>1.416666666666667</v>
      </c>
      <c r="U39" s="40">
        <f t="shared" si="8"/>
        <v>0.27070063694267521</v>
      </c>
      <c r="V39" s="40" t="str" cm="1">
        <f t="array" ref="V39">IF(COUNTIF(D39:H39,"NP")&gt;0,"NP",IF(COUNTIF(D39:H39,"Reconocimiento Créditos")&gt;0,"Reconocimiento Créditos",IF(COUNTIF(D39:H39,"Aprobado en otro curso")&gt;0,"Aprobado en otro curso",IF(COUNTBLANK(D39:H39)&gt;0,"Faltan Calificaciones",IF((SUMPRODUCT(($D$2:$H$2="EXAMEN")*((D39:H39-$D$128:$H$128)/$D$130:$H$130))/SUMPRODUCT(--($D$2:$H$2="EXAMEN")))-(SUMPRODUCT(($D$2:$H$2="PRUEBA COMPLEMENTARIA")*((D39:H39-$D$128:$H$128)/$D$130:$H$130))/SUMPRODUCT(--($D$2:$H$2="PRUEBA COMPLEMENTARIA")))&gt;0,"Exámenes","Actividades")))))</f>
        <v>Actividades</v>
      </c>
      <c r="W39" s="35">
        <f t="shared" si="9"/>
        <v>1.1391661717155574E-3</v>
      </c>
      <c r="X39" s="35">
        <f t="shared" si="10"/>
        <v>1.3685759021698438</v>
      </c>
      <c r="Y39" s="71">
        <f t="shared" si="11"/>
        <v>-0.27400745505269147</v>
      </c>
      <c r="Z39" s="35" cm="1">
        <f t="array" ref="Z39">IF(COUNTIF(D39:H39,"NP")&gt;0,"NP",IF(COUNTIF(D39:H39,"Reconocimiento Créditos")&gt;0,"Reconocimiento Créditos",IF(COUNTIF(D39:H39,"Aprobado en otro curso")&gt;0,"Aprobado en otro curso",IF(COUNTIF($D$2:$H$2,"Examen")&lt;2,"Faltan Calificaciones",SLOPE(_xlfn._xlws.FILTER(D39:H39,$D$2:$H$2="EXAMEN"),_xlfn.SEQUENCE(1,COUNTIF($D$2:$H$2,"EXAMEN"),1,1))))))</f>
        <v>0.77499999999999991</v>
      </c>
      <c r="AA39" s="35">
        <f t="shared" si="12"/>
        <v>-0.75</v>
      </c>
      <c r="AB39" s="35" t="str" cm="1">
        <f t="array" ref="AB39">IF(COUNTIF(D39:H39,"NP")&gt;0,"NP",IF(COUNTIF(D39:H39,"Reconocimiento Créditos")&gt;0,"Reconocimiento Créditos",IF(COUNTIF(D39:H39,"Aprobado en otro curso")&gt;0,"Aprobado en otro curso",IF(COUNTBLANK(D39:H39)=0,"No Procede",IF(COUNTBLANK(D39:H39)&gt;3,"No Procede",IF(100*(5-SUMPRODUCT(D39:H39,$D$4:$H$4)/100)/(100-SUMPRODUCT((D39:H39&lt;&gt;"")*($D$4:$H$4)))&gt;10,"Necesita más de 10",IF(100*(5-SUMPRODUCT(D39:H39,$D$4:$H$4)/100)/(100-SUMPRODUCT((D39:H39&lt;&gt;"")*($D$4:$H$4)))&lt;0,"va bien encaminado",100*(5-SUMPRODUCT(D39:H39,$D$4:$H$4)/100)/(100-SUMPRODUCT((D39:H39&lt;&gt;"")*($D$4:$H$4))))))))))</f>
        <v>No Procede</v>
      </c>
    </row>
    <row r="40" spans="2:45" ht="22" customHeight="1">
      <c r="B40" s="19">
        <f t="shared" si="18"/>
        <v>31</v>
      </c>
      <c r="C40" s="4" t="s">
        <v>30</v>
      </c>
      <c r="D40" s="97">
        <v>5.95</v>
      </c>
      <c r="E40" s="70">
        <v>8.1</v>
      </c>
      <c r="F40" s="97">
        <v>7.5</v>
      </c>
      <c r="G40" s="97">
        <v>7.5</v>
      </c>
      <c r="H40" s="97">
        <v>4.7</v>
      </c>
      <c r="I40" s="81">
        <f t="shared" si="17"/>
        <v>6.2374999999999998</v>
      </c>
      <c r="J40" s="60" t="s">
        <v>29</v>
      </c>
      <c r="K40" s="35" cm="1">
        <f t="array" ref="K40">IF(COUNTIF(D40:H40,"NP")&gt;0,"NP",IF(COUNTIF(D40:H40,"Reconocimiento Créditos")&gt;0,"Reconocimiento Créditos",IF(COUNTIF(D40:H40,"Aprobado en otro curso")&gt;0,"Aprobado en otro curso",IF(COUNTIF(D40:H40,"")&gt;0,"Faltan Calificaciones",AVERAGE((D40:H40-$D$128:$H$128)/$D$130:$H$130)))))</f>
        <v>0.61293145140823602</v>
      </c>
      <c r="L40" s="40">
        <f t="shared" si="1"/>
        <v>0.72799999999999998</v>
      </c>
      <c r="M40" s="43">
        <f t="shared" si="2"/>
        <v>6.25</v>
      </c>
      <c r="N40" s="35" cm="1">
        <f t="array" ref="N40">IF(COUNTIF(D40:H40,"NP")&gt;0,"NP",IF(COUNTIF(D40:H40,"Reconocimiento Créditos")&gt;0,"Reconocimiento Créditos",IF(COUNTIF(D40:H40,"Aprobado en otro curso")&gt;0,"Aprobado en otro curso",IF(COUNTIF(D40:H40,"")&gt;0,"Faltan Calificaciones",AVERAGE((D40:H40-$D$128:$H$128)*($D$2:$H$2="EXAMEN")/($D$130:$H$130)*($D$2:$H$2="EXAMEN"))))))</f>
        <v>0.3077430445807855</v>
      </c>
      <c r="O40" s="40">
        <f t="shared" si="3"/>
        <v>0.75</v>
      </c>
      <c r="P40" s="43">
        <f t="shared" si="4"/>
        <v>7.5</v>
      </c>
      <c r="Q40" s="35" cm="1">
        <f t="array" ref="Q40">IF(COUNTIF(D40:H40,"NP")&gt;0,"NP",IF(COUNTIF(D40:H40,"Reconocimiento Créditos")&gt;0,"Reconocimiento Créditos",IF(COUNTIF(D40:H40,"Aprobado en otro curso")&gt;0,"Aprobado en otro curso",IF(COUNTIF(D40:H40,"")&gt;0,"Faltan Calificaciones",AVERAGE((D40:H40-$D$128:$H$128)*($D$2:$H$2="Prueba Complementaria")/($D$130:$H$130)*($D$2:$H$2="Prueba Complementaria"))))))</f>
        <v>0.30518840682745041</v>
      </c>
      <c r="R40" s="40">
        <f t="shared" si="5"/>
        <v>0.80400000000000005</v>
      </c>
      <c r="S40" s="42">
        <f t="shared" si="6"/>
        <v>6.75</v>
      </c>
      <c r="T40" s="43">
        <f t="shared" si="7"/>
        <v>1.25</v>
      </c>
      <c r="U40" s="40">
        <f t="shared" si="8"/>
        <v>0.2</v>
      </c>
      <c r="V40" s="40" t="str" cm="1">
        <f t="array" ref="V40">IF(COUNTIF(D40:H40,"NP")&gt;0,"NP",IF(COUNTIF(D40:H40,"Reconocimiento Créditos")&gt;0,"Reconocimiento Créditos",IF(COUNTIF(D40:H40,"Aprobado en otro curso")&gt;0,"Aprobado en otro curso",IF(COUNTBLANK(D40:H40)&gt;0,"Faltan Calificaciones",IF((SUMPRODUCT(($D$2:$H$2="EXAMEN")*((D40:H40-$D$128:$H$128)/$D$130:$H$130))/SUMPRODUCT(--($D$2:$H$2="EXAMEN")))-(SUMPRODUCT(($D$2:$H$2="PRUEBA COMPLEMENTARIA")*((D40:H40-$D$128:$H$128)/$D$130:$H$130))/SUMPRODUCT(--($D$2:$H$2="PRUEBA COMPLEMENTARIA")))&gt;0,"Exámenes","Actividades")))))</f>
        <v>Actividades</v>
      </c>
      <c r="W40" s="35">
        <f t="shared" si="9"/>
        <v>3.0940662498685746E-2</v>
      </c>
      <c r="X40" s="35">
        <f t="shared" si="10"/>
        <v>1.2481987021303946</v>
      </c>
      <c r="Y40" s="71">
        <f t="shared" si="11"/>
        <v>-0.82118335666473308</v>
      </c>
      <c r="Z40" s="35" cm="1">
        <f t="array" ref="Z40">IF(COUNTIF(D40:H40,"NP")&gt;0,"NP",IF(COUNTIF(D40:H40,"Reconocimiento Créditos")&gt;0,"Reconocimiento Créditos",IF(COUNTIF(D40:H40,"Aprobado en otro curso")&gt;0,"Aprobado en otro curso",IF(COUNTIF($D$2:$H$2,"Examen")&lt;2,"Faltan Calificaciones",SLOPE(_xlfn._xlws.FILTER(D40:H40,$D$2:$H$2="EXAMEN"),_xlfn.SEQUENCE(1,COUNTIF($D$2:$H$2,"EXAMEN"),1,1))))))</f>
        <v>-0.625</v>
      </c>
      <c r="AA40" s="35">
        <f t="shared" si="12"/>
        <v>-2.0499999999999998</v>
      </c>
      <c r="AB40" s="35" t="str" cm="1">
        <f t="array" ref="AB40">IF(COUNTIF(D40:H40,"NP")&gt;0,"NP",IF(COUNTIF(D40:H40,"Reconocimiento Créditos")&gt;0,"Reconocimiento Créditos",IF(COUNTIF(D40:H40,"Aprobado en otro curso")&gt;0,"Aprobado en otro curso",IF(COUNTBLANK(D40:H40)=0,"No Procede",IF(COUNTBLANK(D40:H40)&gt;3,"No Procede",IF(100*(5-SUMPRODUCT(D40:H40,$D$4:$H$4)/100)/(100-SUMPRODUCT((D40:H40&lt;&gt;"")*($D$4:$H$4)))&gt;10,"Necesita más de 10",IF(100*(5-SUMPRODUCT(D40:H40,$D$4:$H$4)/100)/(100-SUMPRODUCT((D40:H40&lt;&gt;"")*($D$4:$H$4)))&lt;0,"va bien encaminado",100*(5-SUMPRODUCT(D40:H40,$D$4:$H$4)/100)/(100-SUMPRODUCT((D40:H40&lt;&gt;"")*($D$4:$H$4))))))))))</f>
        <v>No Procede</v>
      </c>
    </row>
    <row r="41" spans="2:45" ht="22" customHeight="1">
      <c r="B41" s="19">
        <f t="shared" si="18"/>
        <v>32</v>
      </c>
      <c r="C41" s="4" t="s">
        <v>30</v>
      </c>
      <c r="D41" s="97">
        <v>5.55</v>
      </c>
      <c r="E41" s="70">
        <v>7.85</v>
      </c>
      <c r="F41" s="97">
        <v>8</v>
      </c>
      <c r="G41" s="97">
        <v>7.25</v>
      </c>
      <c r="H41" s="97">
        <v>6.45</v>
      </c>
      <c r="I41" s="81">
        <f t="shared" si="17"/>
        <v>6.8775000000000004</v>
      </c>
      <c r="J41" s="60" t="s">
        <v>29</v>
      </c>
      <c r="K41" s="35" cm="1">
        <f t="array" ref="K41">IF(COUNTIF(D41:H41,"NP")&gt;0,"NP",IF(COUNTIF(D41:H41,"Reconocimiento Créditos")&gt;0,"Reconocimiento Créditos",IF(COUNTIF(D41:H41,"Aprobado en otro curso")&gt;0,"Aprobado en otro curso",IF(COUNTIF(D41:H41,"")&gt;0,"Faltan Calificaciones",AVERAGE((D41:H41-$D$128:$H$128)/$D$130:$H$130)))))</f>
        <v>0.73457254181839526</v>
      </c>
      <c r="L41" s="40">
        <f t="shared" si="1"/>
        <v>0.88</v>
      </c>
      <c r="M41" s="43">
        <f t="shared" si="2"/>
        <v>6.6166666666666663</v>
      </c>
      <c r="N41" s="35" cm="1">
        <f t="array" ref="N41">IF(COUNTIF(D41:H41,"NP")&gt;0,"NP",IF(COUNTIF(D41:H41,"Reconocimiento Créditos")&gt;0,"Reconocimiento Créditos",IF(COUNTIF(D41:H41,"Aprobado en otro curso")&gt;0,"Aprobado en otro curso",IF(COUNTIF(D41:H41,"")&gt;0,"Faltan Calificaciones",AVERAGE((D41:H41-$D$128:$H$128)*($D$2:$H$2="EXAMEN")/($D$130:$H$130)*($D$2:$H$2="EXAMEN"))))))</f>
        <v>0.4059135025262009</v>
      </c>
      <c r="O41" s="40">
        <f t="shared" si="3"/>
        <v>0.82599999999999996</v>
      </c>
      <c r="P41" s="43">
        <f t="shared" si="4"/>
        <v>7.625</v>
      </c>
      <c r="Q41" s="35" cm="1">
        <f t="array" ref="Q41">IF(COUNTIF(D41:H41,"NP")&gt;0,"NP",IF(COUNTIF(D41:H41,"Reconocimiento Créditos")&gt;0,"Reconocimiento Créditos",IF(COUNTIF(D41:H41,"Aprobado en otro curso")&gt;0,"Aprobado en otro curso",IF(COUNTIF(D41:H41,"")&gt;0,"Faltan Calificaciones",AVERAGE((D41:H41-$D$128:$H$128)*($D$2:$H$2="Prueba Complementaria")/($D$130:$H$130)*($D$2:$H$2="Prueba Complementaria"))))))</f>
        <v>0.32865903929219431</v>
      </c>
      <c r="R41" s="40">
        <f t="shared" si="5"/>
        <v>0.81499999999999995</v>
      </c>
      <c r="S41" s="42">
        <f t="shared" si="6"/>
        <v>7.0200000000000005</v>
      </c>
      <c r="T41" s="43">
        <f t="shared" si="7"/>
        <v>1.0083333333333337</v>
      </c>
      <c r="U41" s="40">
        <f t="shared" si="8"/>
        <v>0.15239294710327464</v>
      </c>
      <c r="V41" s="40" t="str" cm="1">
        <f t="array" ref="V41">IF(COUNTIF(D41:H41,"NP")&gt;0,"NP",IF(COUNTIF(D41:H41,"Reconocimiento Créditos")&gt;0,"Reconocimiento Créditos",IF(COUNTIF(D41:H41,"Aprobado en otro curso")&gt;0,"Aprobado en otro curso",IF(COUNTBLANK(D41:H41)&gt;0,"Faltan Calificaciones",IF((SUMPRODUCT(($D$2:$H$2="EXAMEN")*((D41:H41-$D$128:$H$128)/$D$130:$H$130))/SUMPRODUCT(--($D$2:$H$2="EXAMEN")))-(SUMPRODUCT(($D$2:$H$2="PRUEBA COMPLEMENTARIA")*((D41:H41-$D$128:$H$128)/$D$130:$H$130))/SUMPRODUCT(--($D$2:$H$2="PRUEBA COMPLEMENTARIA")))&gt;0,"Exámenes","Actividades")))))</f>
        <v>Actividades</v>
      </c>
      <c r="W41" s="35">
        <f t="shared" si="9"/>
        <v>4.1120464772581793E-2</v>
      </c>
      <c r="X41" s="35">
        <f t="shared" si="10"/>
        <v>0.91520489509180525</v>
      </c>
      <c r="Y41" s="71">
        <f t="shared" si="11"/>
        <v>-0.31140567705487587</v>
      </c>
      <c r="Z41" s="35" cm="1">
        <f t="array" ref="Z41">IF(COUNTIF(D41:H41,"NP")&gt;0,"NP",IF(COUNTIF(D41:H41,"Reconocimiento Créditos")&gt;0,"Reconocimiento Créditos",IF(COUNTIF(D41:H41,"Aprobado en otro curso")&gt;0,"Aprobado en otro curso",IF(COUNTIF($D$2:$H$2,"Examen")&lt;2,"Faltan Calificaciones",SLOPE(_xlfn._xlws.FILTER(D41:H41,$D$2:$H$2="EXAMEN"),_xlfn.SEQUENCE(1,COUNTIF($D$2:$H$2,"EXAMEN"),1,1))))))</f>
        <v>0.45000000000000018</v>
      </c>
      <c r="AA41" s="35">
        <f t="shared" si="12"/>
        <v>-0.57000000000000028</v>
      </c>
      <c r="AB41" s="35" t="str" cm="1">
        <f t="array" ref="AB41">IF(COUNTIF(D41:H41,"NP")&gt;0,"NP",IF(COUNTIF(D41:H41,"Reconocimiento Créditos")&gt;0,"Reconocimiento Créditos",IF(COUNTIF(D41:H41,"Aprobado en otro curso")&gt;0,"Aprobado en otro curso",IF(COUNTBLANK(D41:H41)=0,"No Procede",IF(COUNTBLANK(D41:H41)&gt;3,"No Procede",IF(100*(5-SUMPRODUCT(D41:H41,$D$4:$H$4)/100)/(100-SUMPRODUCT((D41:H41&lt;&gt;"")*($D$4:$H$4)))&gt;10,"Necesita más de 10",IF(100*(5-SUMPRODUCT(D41:H41,$D$4:$H$4)/100)/(100-SUMPRODUCT((D41:H41&lt;&gt;"")*($D$4:$H$4)))&lt;0,"va bien encaminado",100*(5-SUMPRODUCT(D41:H41,$D$4:$H$4)/100)/(100-SUMPRODUCT((D41:H41&lt;&gt;"")*($D$4:$H$4))))))))))</f>
        <v>No Procede</v>
      </c>
    </row>
    <row r="42" spans="2:45" ht="22" customHeight="1">
      <c r="B42" s="19">
        <f t="shared" si="18"/>
        <v>33</v>
      </c>
      <c r="C42" s="4" t="s">
        <v>30</v>
      </c>
      <c r="D42" s="97">
        <v>7.1</v>
      </c>
      <c r="E42" s="70">
        <v>7.6</v>
      </c>
      <c r="F42" s="97">
        <v>8</v>
      </c>
      <c r="G42" s="97">
        <v>8.5</v>
      </c>
      <c r="H42" s="97">
        <v>6.25</v>
      </c>
      <c r="I42" s="81">
        <f t="shared" si="17"/>
        <v>7.18</v>
      </c>
      <c r="J42" s="60" t="s">
        <v>29</v>
      </c>
      <c r="K42" s="35" cm="1">
        <f t="array" ref="K42">IF(COUNTIF(D42:H42,"NP")&gt;0,"NP",IF(COUNTIF(D42:H42,"Reconocimiento Créditos")&gt;0,"Reconocimiento Créditos",IF(COUNTIF(D42:H42,"Aprobado en otro curso")&gt;0,"Aprobado en otro curso",IF(COUNTIF(D42:H42,"")&gt;0,"Faltan Calificaciones",AVERAGE((D42:H42-$D$128:$H$128)/$D$130:$H$130)))))</f>
        <v>0.92863673837861893</v>
      </c>
      <c r="L42" s="40">
        <f t="shared" si="1"/>
        <v>0.91300000000000003</v>
      </c>
      <c r="M42" s="43">
        <f t="shared" si="2"/>
        <v>6.9833333333333334</v>
      </c>
      <c r="N42" s="35" cm="1">
        <f t="array" ref="N42">IF(COUNTIF(D42:H42,"NP")&gt;0,"NP",IF(COUNTIF(D42:H42,"Reconocimiento Créditos")&gt;0,"Reconocimiento Créditos",IF(COUNTIF(D42:H42,"Aprobado en otro curso")&gt;0,"Aprobado en otro curso",IF(COUNTIF(D42:H42,"")&gt;0,"Faltan Calificaciones",AVERAGE((D42:H42-$D$128:$H$128)*($D$2:$H$2="EXAMEN")/($D$130:$H$130)*($D$2:$H$2="EXAMEN"))))))</f>
        <v>0.50805005886261856</v>
      </c>
      <c r="O42" s="40">
        <f t="shared" si="3"/>
        <v>0.88</v>
      </c>
      <c r="P42" s="43">
        <f t="shared" si="4"/>
        <v>8.25</v>
      </c>
      <c r="Q42" s="35" cm="1">
        <f t="array" ref="Q42">IF(COUNTIF(D42:H42,"NP")&gt;0,"NP",IF(COUNTIF(D42:H42,"Reconocimiento Créditos")&gt;0,"Reconocimiento Créditos",IF(COUNTIF(D42:H42,"Aprobado en otro curso")&gt;0,"Aprobado en otro curso",IF(COUNTIF(D42:H42,"")&gt;0,"Faltan Calificaciones",AVERAGE((D42:H42-$D$128:$H$128)*($D$2:$H$2="Prueba Complementaria")/($D$130:$H$130)*($D$2:$H$2="Prueba Complementaria"))))))</f>
        <v>0.42058667951600021</v>
      </c>
      <c r="R42" s="40">
        <f t="shared" si="5"/>
        <v>0.92300000000000004</v>
      </c>
      <c r="S42" s="42">
        <f t="shared" si="6"/>
        <v>7.49</v>
      </c>
      <c r="T42" s="43">
        <f t="shared" si="7"/>
        <v>1.2666666666666666</v>
      </c>
      <c r="U42" s="40">
        <f t="shared" si="8"/>
        <v>0.18138424821002386</v>
      </c>
      <c r="V42" s="40" t="str" cm="1">
        <f t="array" ref="V42">IF(COUNTIF(D42:H42,"NP")&gt;0,"NP",IF(COUNTIF(D42:H42,"Reconocimiento Créditos")&gt;0,"Reconocimiento Créditos",IF(COUNTIF(D42:H42,"Aprobado en otro curso")&gt;0,"Aprobado en otro curso",IF(COUNTBLANK(D42:H42)&gt;0,"Faltan Calificaciones",IF((SUMPRODUCT(($D$2:$H$2="EXAMEN")*((D42:H42-$D$128:$H$128)/$D$130:$H$130))/SUMPRODUCT(--($D$2:$H$2="EXAMEN")))-(SUMPRODUCT(($D$2:$H$2="PRUEBA COMPLEMENTARIA")*((D42:H42-$D$128:$H$128)/$D$130:$H$130))/SUMPRODUCT(--($D$2:$H$2="PRUEBA COMPLEMENTARIA")))&gt;0,"Exámenes","Actividades")))))</f>
        <v>Actividades</v>
      </c>
      <c r="W42" s="35">
        <f t="shared" si="9"/>
        <v>5.1711532291279574E-2</v>
      </c>
      <c r="X42" s="35">
        <f t="shared" si="10"/>
        <v>0.77226938305230319</v>
      </c>
      <c r="Y42" s="71">
        <f t="shared" si="11"/>
        <v>-0.80282866782768925</v>
      </c>
      <c r="Z42" s="35" cm="1">
        <f t="array" ref="Z42">IF(COUNTIF(D42:H42,"NP")&gt;0,"NP",IF(COUNTIF(D42:H42,"Reconocimiento Créditos")&gt;0,"Reconocimiento Créditos",IF(COUNTIF(D42:H42,"Aprobado en otro curso")&gt;0,"Aprobado en otro curso",IF(COUNTIF($D$2:$H$2,"Examen")&lt;2,"Faltan Calificaciones",SLOPE(_xlfn._xlws.FILTER(D42:H42,$D$2:$H$2="EXAMEN"),_xlfn.SEQUENCE(1,COUNTIF($D$2:$H$2,"EXAMEN"),1,1))))))</f>
        <v>-0.42499999999999982</v>
      </c>
      <c r="AA42" s="35">
        <f t="shared" si="12"/>
        <v>-1.2400000000000002</v>
      </c>
      <c r="AB42" s="35" t="str" cm="1">
        <f t="array" ref="AB42">IF(COUNTIF(D42:H42,"NP")&gt;0,"NP",IF(COUNTIF(D42:H42,"Reconocimiento Créditos")&gt;0,"Reconocimiento Créditos",IF(COUNTIF(D42:H42,"Aprobado en otro curso")&gt;0,"Aprobado en otro curso",IF(COUNTBLANK(D42:H42)=0,"No Procede",IF(COUNTBLANK(D42:H42)&gt;3,"No Procede",IF(100*(5-SUMPRODUCT(D42:H42,$D$4:$H$4)/100)/(100-SUMPRODUCT((D42:H42&lt;&gt;"")*($D$4:$H$4)))&gt;10,"Necesita más de 10",IF(100*(5-SUMPRODUCT(D42:H42,$D$4:$H$4)/100)/(100-SUMPRODUCT((D42:H42&lt;&gt;"")*($D$4:$H$4)))&lt;0,"va bien encaminado",100*(5-SUMPRODUCT(D42:H42,$D$4:$H$4)/100)/(100-SUMPRODUCT((D42:H42&lt;&gt;"")*($D$4:$H$4))))))))))</f>
        <v>No Procede</v>
      </c>
    </row>
    <row r="43" spans="2:45" ht="22" customHeight="1">
      <c r="B43" s="19">
        <f t="shared" si="18"/>
        <v>34</v>
      </c>
      <c r="C43" s="4" t="s">
        <v>30</v>
      </c>
      <c r="D43" s="97">
        <v>6.3</v>
      </c>
      <c r="E43" s="70">
        <v>4.45</v>
      </c>
      <c r="F43" s="97">
        <v>8.25</v>
      </c>
      <c r="G43" s="97">
        <v>7</v>
      </c>
      <c r="H43" s="97">
        <v>4.3499999999999996</v>
      </c>
      <c r="I43" s="81">
        <f t="shared" si="17"/>
        <v>5.64</v>
      </c>
      <c r="J43" s="60" t="s">
        <v>29</v>
      </c>
      <c r="K43" s="35" cm="1">
        <f t="array" ref="K43">IF(COUNTIF(D43:H43,"NP")&gt;0,"NP",IF(COUNTIF(D43:H43,"Reconocimiento Créditos")&gt;0,"Reconocimiento Créditos",IF(COUNTIF(D43:H43,"Aprobado en otro curso")&gt;0,"Aprobado en otro curso",IF(COUNTIF(D43:H43,"")&gt;0,"Faltan Calificaciones",AVERAGE((D43:H43-$D$128:$H$128)/$D$130:$H$130)))))</f>
        <v>0.28951901151123538</v>
      </c>
      <c r="L43" s="40">
        <f t="shared" si="1"/>
        <v>0.53200000000000003</v>
      </c>
      <c r="M43" s="43">
        <f t="shared" si="2"/>
        <v>5.0333333333333332</v>
      </c>
      <c r="N43" s="35" cm="1">
        <f t="array" ref="N43">IF(COUNTIF(D43:H43,"NP")&gt;0,"NP",IF(COUNTIF(D43:H43,"Reconocimiento Créditos")&gt;0,"Reconocimiento Créditos",IF(COUNTIF(D43:H43,"Aprobado en otro curso")&gt;0,"Aprobado en otro curso",IF(COUNTIF(D43:H43,"")&gt;0,"Faltan Calificaciones",AVERAGE((D43:H43-$D$128:$H$128)*($D$2:$H$2="EXAMEN")/($D$130:$H$130)*($D$2:$H$2="EXAMEN"))))))</f>
        <v>-4.1682579990950354E-2</v>
      </c>
      <c r="O43" s="40">
        <f t="shared" si="3"/>
        <v>0.42299999999999999</v>
      </c>
      <c r="P43" s="43">
        <f t="shared" si="4"/>
        <v>7.625</v>
      </c>
      <c r="Q43" s="35" cm="1">
        <f t="array" ref="Q43">IF(COUNTIF(D43:H43,"NP")&gt;0,"NP",IF(COUNTIF(D43:H43,"Reconocimiento Créditos")&gt;0,"Reconocimiento Créditos",IF(COUNTIF(D43:H43,"Aprobado en otro curso")&gt;0,"Aprobado en otro curso",IF(COUNTIF(D43:H43,"")&gt;0,"Faltan Calificaciones",AVERAGE((D43:H43-$D$128:$H$128)*($D$2:$H$2="Prueba Complementaria")/($D$130:$H$130)*($D$2:$H$2="Prueba Complementaria"))))))</f>
        <v>0.3312015915021857</v>
      </c>
      <c r="R43" s="40">
        <f t="shared" si="5"/>
        <v>0.81499999999999995</v>
      </c>
      <c r="S43" s="42">
        <f t="shared" si="6"/>
        <v>6.07</v>
      </c>
      <c r="T43" s="43">
        <f t="shared" si="7"/>
        <v>2.5916666666666668</v>
      </c>
      <c r="U43" s="40">
        <f t="shared" si="8"/>
        <v>0.51490066225165565</v>
      </c>
      <c r="V43" s="40" t="str" cm="1">
        <f t="array" ref="V43">IF(COUNTIF(D43:H43,"NP")&gt;0,"NP",IF(COUNTIF(D43:H43,"Reconocimiento Créditos")&gt;0,"Reconocimiento Créditos",IF(COUNTIF(D43:H43,"Aprobado en otro curso")&gt;0,"Aprobado en otro curso",IF(COUNTBLANK(D43:H43)&gt;0,"Faltan Calificaciones",IF((SUMPRODUCT(($D$2:$H$2="EXAMEN")*((D43:H43-$D$128:$H$128)/$D$130:$H$130))/SUMPRODUCT(--($D$2:$H$2="EXAMEN")))-(SUMPRODUCT(($D$2:$H$2="PRUEBA COMPLEMENTARIA")*((D43:H43-$D$128:$H$128)/$D$130:$H$130))/SUMPRODUCT(--($D$2:$H$2="PRUEBA COMPLEMENTARIA")))&gt;0,"Exámenes","Actividades")))))</f>
        <v>Actividades</v>
      </c>
      <c r="W43" s="35">
        <f t="shared" si="9"/>
        <v>5.2930868595041361E-3</v>
      </c>
      <c r="X43" s="35">
        <f t="shared" si="10"/>
        <v>1.5001999866684426</v>
      </c>
      <c r="Y43" s="71">
        <f t="shared" si="11"/>
        <v>-0.57325690417438113</v>
      </c>
      <c r="Z43" s="35" cm="1">
        <f t="array" ref="Z43">IF(COUNTIF(D43:H43,"NP")&gt;0,"NP",IF(COUNTIF(D43:H43,"Reconocimiento Créditos")&gt;0,"Reconocimiento Créditos",IF(COUNTIF(D43:H43,"Aprobado en otro curso")&gt;0,"Aprobado en otro curso",IF(COUNTIF($D$2:$H$2,"Examen")&lt;2,"Faltan Calificaciones",SLOPE(_xlfn._xlws.FILTER(D43:H43,$D$2:$H$2="EXAMEN"),_xlfn.SEQUENCE(1,COUNTIF($D$2:$H$2,"EXAMEN"),1,1))))))</f>
        <v>-0.97500000000000009</v>
      </c>
      <c r="AA43" s="35">
        <f t="shared" si="12"/>
        <v>-1.7200000000000006</v>
      </c>
      <c r="AB43" s="35" t="str" cm="1">
        <f t="array" ref="AB43">IF(COUNTIF(D43:H43,"NP")&gt;0,"NP",IF(COUNTIF(D43:H43,"Reconocimiento Créditos")&gt;0,"Reconocimiento Créditos",IF(COUNTIF(D43:H43,"Aprobado en otro curso")&gt;0,"Aprobado en otro curso",IF(COUNTBLANK(D43:H43)=0,"No Procede",IF(COUNTBLANK(D43:H43)&gt;3,"No Procede",IF(100*(5-SUMPRODUCT(D43:H43,$D$4:$H$4)/100)/(100-SUMPRODUCT((D43:H43&lt;&gt;"")*($D$4:$H$4)))&gt;10,"Necesita más de 10",IF(100*(5-SUMPRODUCT(D43:H43,$D$4:$H$4)/100)/(100-SUMPRODUCT((D43:H43&lt;&gt;"")*($D$4:$H$4)))&lt;0,"va bien encaminado",100*(5-SUMPRODUCT(D43:H43,$D$4:$H$4)/100)/(100-SUMPRODUCT((D43:H43&lt;&gt;"")*($D$4:$H$4))))))))))</f>
        <v>No Procede</v>
      </c>
    </row>
    <row r="44" spans="2:45" ht="22" customHeight="1">
      <c r="B44" s="19">
        <f t="shared" si="18"/>
        <v>35</v>
      </c>
      <c r="C44" s="4" t="s">
        <v>30</v>
      </c>
      <c r="D44" s="97">
        <v>3.85</v>
      </c>
      <c r="E44" s="70">
        <v>1.75</v>
      </c>
      <c r="F44" s="97">
        <v>2.25</v>
      </c>
      <c r="G44" s="97">
        <v>0</v>
      </c>
      <c r="H44" s="97">
        <v>0</v>
      </c>
      <c r="I44" s="81">
        <f t="shared" si="17"/>
        <v>1.1775</v>
      </c>
      <c r="J44" s="60" t="s">
        <v>29</v>
      </c>
      <c r="K44" s="35" cm="1">
        <f t="array" ref="K44">IF(COUNTIF(D44:H44,"NP")&gt;0,"NP",IF(COUNTIF(D44:H44,"Reconocimiento Créditos")&gt;0,"Reconocimiento Créditos",IF(COUNTIF(D44:H44,"Aprobado en otro curso")&gt;0,"Aprobado en otro curso",IF(COUNTIF(D44:H44,"")&gt;0,"Faltan Calificaciones",AVERAGE((D44:H44-$D$128:$H$128)/$D$130:$H$130)))))</f>
        <v>-1.6109230392318701</v>
      </c>
      <c r="L44" s="40">
        <f t="shared" si="1"/>
        <v>0.01</v>
      </c>
      <c r="M44" s="43">
        <f t="shared" si="2"/>
        <v>1.8666666666666665</v>
      </c>
      <c r="N44" s="35" cm="1">
        <f t="array" ref="N44">IF(COUNTIF(D44:H44,"NP")&gt;0,"NP",IF(COUNTIF(D44:H44,"Reconocimiento Créditos")&gt;0,"Reconocimiento Créditos",IF(COUNTIF(D44:H44,"Aprobado en otro curso")&gt;0,"Aprobado en otro curso",IF(COUNTIF(D44:H44,"")&gt;0,"Faltan Calificaciones",AVERAGE((D44:H44-$D$128:$H$128)*($D$2:$H$2="EXAMEN")/($D$130:$H$130)*($D$2:$H$2="EXAMEN"))))))</f>
        <v>-0.92505591936668152</v>
      </c>
      <c r="O44" s="40">
        <f t="shared" si="3"/>
        <v>2.1000000000000001E-2</v>
      </c>
      <c r="P44" s="43">
        <f t="shared" si="4"/>
        <v>1.125</v>
      </c>
      <c r="Q44" s="35" cm="1">
        <f t="array" ref="Q44">IF(COUNTIF(D44:H44,"NP")&gt;0,"NP",IF(COUNTIF(D44:H44,"Reconocimiento Créditos")&gt;0,"Reconocimiento Créditos",IF(COUNTIF(D44:H44,"Aprobado en otro curso")&gt;0,"Aprobado en otro curso",IF(COUNTIF(D44:H44,"")&gt;0,"Faltan Calificaciones",AVERAGE((D44:H44-$D$128:$H$128)*($D$2:$H$2="Prueba Complementaria")/($D$130:$H$130)*($D$2:$H$2="Prueba Complementaria"))))))</f>
        <v>-0.68586711986518845</v>
      </c>
      <c r="R44" s="40">
        <f t="shared" si="5"/>
        <v>0.01</v>
      </c>
      <c r="S44" s="42">
        <f t="shared" si="6"/>
        <v>1.5699999999999998</v>
      </c>
      <c r="T44" s="43">
        <f t="shared" si="7"/>
        <v>-0.74166666666666647</v>
      </c>
      <c r="U44" s="40">
        <f t="shared" si="8"/>
        <v>-0.39732142857142849</v>
      </c>
      <c r="V44" s="40" t="str" cm="1">
        <f t="array" ref="V44">IF(COUNTIF(D44:H44,"NP")&gt;0,"NP",IF(COUNTIF(D44:H44,"Reconocimiento Créditos")&gt;0,"Reconocimiento Créditos",IF(COUNTIF(D44:H44,"Aprobado en otro curso")&gt;0,"Aprobado en otro curso",IF(COUNTBLANK(D44:H44)&gt;0,"Faltan Calificaciones",IF((SUMPRODUCT(($D$2:$H$2="EXAMEN")*((D44:H44-$D$128:$H$128)/$D$130:$H$130))/SUMPRODUCT(--($D$2:$H$2="EXAMEN")))-(SUMPRODUCT(($D$2:$H$2="PRUEBA COMPLEMENTARIA")*((D44:H44-$D$128:$H$128)/$D$130:$H$130))/SUMPRODUCT(--($D$2:$H$2="PRUEBA COMPLEMENTARIA")))&gt;0,"Exámenes","Actividades")))))</f>
        <v>Exámenes</v>
      </c>
      <c r="W44" s="35">
        <f t="shared" si="9"/>
        <v>9.6894634994038095E-2</v>
      </c>
      <c r="X44" s="35">
        <f t="shared" si="10"/>
        <v>1.4576007683861862</v>
      </c>
      <c r="Y44" s="71">
        <f t="shared" si="11"/>
        <v>-0.53855624737981556</v>
      </c>
      <c r="Z44" s="35" cm="1">
        <f t="array" ref="Z44">IF(COUNTIF(D44:H44,"NP")&gt;0,"NP",IF(COUNTIF(D44:H44,"Reconocimiento Créditos")&gt;0,"Reconocimiento Créditos",IF(COUNTIF(D44:H44,"Aprobado en otro curso")&gt;0,"Aprobado en otro curso",IF(COUNTIF($D$2:$H$2,"Examen")&lt;2,"Faltan Calificaciones",SLOPE(_xlfn._xlws.FILTER(D44:H44,$D$2:$H$2="EXAMEN"),_xlfn.SEQUENCE(1,COUNTIF($D$2:$H$2,"EXAMEN"),1,1))))))</f>
        <v>-1.925</v>
      </c>
      <c r="AA44" s="35">
        <f t="shared" si="12"/>
        <v>-1.5699999999999998</v>
      </c>
      <c r="AB44" s="35" t="str" cm="1">
        <f t="array" ref="AB44">IF(COUNTIF(D44:H44,"NP")&gt;0,"NP",IF(COUNTIF(D44:H44,"Reconocimiento Créditos")&gt;0,"Reconocimiento Créditos",IF(COUNTIF(D44:H44,"Aprobado en otro curso")&gt;0,"Aprobado en otro curso",IF(COUNTBLANK(D44:H44)=0,"No Procede",IF(COUNTBLANK(D44:H44)&gt;3,"No Procede",IF(100*(5-SUMPRODUCT(D44:H44,$D$4:$H$4)/100)/(100-SUMPRODUCT((D44:H44&lt;&gt;"")*($D$4:$H$4)))&gt;10,"Necesita más de 10",IF(100*(5-SUMPRODUCT(D44:H44,$D$4:$H$4)/100)/(100-SUMPRODUCT((D44:H44&lt;&gt;"")*($D$4:$H$4)))&lt;0,"va bien encaminado",100*(5-SUMPRODUCT(D44:H44,$D$4:$H$4)/100)/(100-SUMPRODUCT((D44:H44&lt;&gt;"")*($D$4:$H$4))))))))))</f>
        <v>No Procede</v>
      </c>
    </row>
    <row r="45" spans="2:45" ht="22" customHeight="1">
      <c r="B45" s="17"/>
      <c r="C45" s="21"/>
      <c r="D45" s="20"/>
      <c r="E45" s="22"/>
      <c r="F45" s="85"/>
      <c r="G45" s="85"/>
      <c r="H45" s="20"/>
      <c r="I45" s="81"/>
      <c r="K45" s="16"/>
      <c r="L45" s="39"/>
      <c r="M45" s="39"/>
      <c r="N45" s="67"/>
      <c r="O45" s="39"/>
      <c r="P45" s="39"/>
      <c r="Q45" s="67"/>
      <c r="R45" s="39"/>
      <c r="T45" s="16"/>
      <c r="U45" s="16"/>
    </row>
    <row r="46" spans="2:45" s="63" customFormat="1" ht="22" customHeight="1">
      <c r="B46" s="47"/>
      <c r="C46" s="51" t="s">
        <v>20</v>
      </c>
      <c r="D46" s="46"/>
      <c r="E46" s="86"/>
      <c r="F46" s="46"/>
      <c r="G46" s="46"/>
      <c r="H46" s="46"/>
      <c r="I46" s="82"/>
      <c r="K46" s="18" t="s">
        <v>50</v>
      </c>
      <c r="L46" s="34" t="s">
        <v>51</v>
      </c>
      <c r="M46" s="34" t="s">
        <v>53</v>
      </c>
      <c r="N46" s="58" t="s">
        <v>62</v>
      </c>
      <c r="O46" s="34" t="s">
        <v>64</v>
      </c>
      <c r="P46" s="34" t="s">
        <v>66</v>
      </c>
      <c r="Q46" s="58" t="s">
        <v>63</v>
      </c>
      <c r="R46" s="34" t="s">
        <v>65</v>
      </c>
      <c r="S46" s="18" t="s">
        <v>52</v>
      </c>
      <c r="T46" s="18" t="s">
        <v>56</v>
      </c>
      <c r="U46" s="18" t="s">
        <v>57</v>
      </c>
      <c r="V46" s="18" t="s">
        <v>58</v>
      </c>
      <c r="W46" s="18" t="s">
        <v>67</v>
      </c>
      <c r="X46" s="56" t="s">
        <v>68</v>
      </c>
      <c r="Y46" s="56" t="s">
        <v>69</v>
      </c>
      <c r="Z46" s="18" t="s">
        <v>70</v>
      </c>
      <c r="AA46" s="18" t="s">
        <v>71</v>
      </c>
      <c r="AB46" s="18" t="s">
        <v>77</v>
      </c>
      <c r="AI46" s="12"/>
      <c r="AJ46" s="12"/>
      <c r="AK46" s="12"/>
      <c r="AL46" s="12"/>
      <c r="AM46" s="12"/>
      <c r="AN46" s="12"/>
      <c r="AO46" s="12"/>
      <c r="AP46" s="12"/>
      <c r="AQ46" s="12"/>
      <c r="AR46" s="12"/>
      <c r="AS46" s="12"/>
    </row>
    <row r="47" spans="2:45" ht="22" customHeight="1">
      <c r="B47" s="19">
        <f>B44+1</f>
        <v>36</v>
      </c>
      <c r="C47" s="4" t="s">
        <v>30</v>
      </c>
      <c r="D47" s="97">
        <v>6.3</v>
      </c>
      <c r="E47" s="70">
        <v>6.3</v>
      </c>
      <c r="F47" s="97">
        <v>9</v>
      </c>
      <c r="G47" s="97">
        <v>8</v>
      </c>
      <c r="H47" s="97">
        <v>6.85</v>
      </c>
      <c r="I47" s="81">
        <f t="shared" ref="I47:I59" si="19">IF(COUNTA(D47:H47)=0, "", IF(COUNT(D47:H47)&lt;&gt;COUNTA(D47:H47), "NP", SUMPRODUCT(D47:H47, D$4:H$4)/100))</f>
        <v>7.18</v>
      </c>
      <c r="J47" s="60" t="s">
        <v>29</v>
      </c>
      <c r="K47" s="35" cm="1">
        <f t="array" ref="K47">IF(COUNTIF(D47:H47,"NP")&gt;0,"NP",IF(COUNTIF(D47:H47,"Reconocimiento Créditos")&gt;0,"Reconocimiento Créditos",IF(COUNTIF(D47:H47,"Aprobado en otro curso")&gt;0,"Aprobado en otro curso",IF(COUNTIF(D47:H47,"")&gt;0,"Faltan Calificaciones",AVERAGE((D47:H47-$D$128:$H$128)/$D$130:$H$130)))))</f>
        <v>0.83102719273763626</v>
      </c>
      <c r="L47" s="40">
        <f t="shared" si="1"/>
        <v>0.91300000000000003</v>
      </c>
      <c r="M47" s="43">
        <f t="shared" si="2"/>
        <v>6.4833333333333334</v>
      </c>
      <c r="N47" s="35" cm="1">
        <f t="array" ref="N47">IF(COUNTIF(D47:H47,"NP")&gt;0,"NP",IF(COUNTIF(D47:H47,"Reconocimiento Créditos")&gt;0,"Reconocimiento Créditos",IF(COUNTIF(D47:H47,"Aprobado en otro curso")&gt;0,"Aprobado en otro curso",IF(COUNTIF(D47:H47,"")&gt;0,"Faltan Calificaciones",AVERAGE((D47:H47-$D$128:$H$128)*($D$2:$H$2="EXAMEN")/($D$130:$H$130)*($D$2:$H$2="EXAMEN"))))))</f>
        <v>0.36349924829214825</v>
      </c>
      <c r="O47" s="40">
        <f t="shared" si="3"/>
        <v>0.80400000000000005</v>
      </c>
      <c r="P47" s="43">
        <f t="shared" si="4"/>
        <v>8.5</v>
      </c>
      <c r="Q47" s="35" cm="1">
        <f t="array" ref="Q47">IF(COUNTIF(D47:H47,"NP")&gt;0,"NP",IF(COUNTIF(D47:H47,"Reconocimiento Créditos")&gt;0,"Reconocimiento Créditos",IF(COUNTIF(D47:H47,"Aprobado en otro curso")&gt;0,"Aprobado en otro curso",IF(COUNTIF(D47:H47,"")&gt;0,"Faltan Calificaciones",AVERAGE((D47:H47-$D$128:$H$128)*($D$2:$H$2="Prueba Complementaria")/($D$130:$H$130)*($D$2:$H$2="Prueba Complementaria"))))))</f>
        <v>0.46752794444548806</v>
      </c>
      <c r="R47" s="40">
        <f t="shared" si="5"/>
        <v>0.95599999999999996</v>
      </c>
      <c r="S47" s="42">
        <f t="shared" si="6"/>
        <v>7.2900000000000009</v>
      </c>
      <c r="T47" s="43">
        <f t="shared" si="7"/>
        <v>2.0166666666666666</v>
      </c>
      <c r="U47" s="40">
        <f t="shared" si="8"/>
        <v>0.31105398457583544</v>
      </c>
      <c r="V47" s="40" t="str" cm="1">
        <f t="array" ref="V47">IF(COUNTIF(D47:H47,"NP")&gt;0,"NP",IF(COUNTIF(D47:H47,"Reconocimiento Créditos")&gt;0,"Reconocimiento Créditos",IF(COUNTIF(D47:H47,"Aprobado en otro curso")&gt;0,"Aprobado en otro curso",IF(COUNTBLANK(D47:H47)&gt;0,"Faltan Calificaciones",IF((SUMPRODUCT(($D$2:$H$2="EXAMEN")*((D47:H47-$D$128:$H$128)/$D$130:$H$130))/SUMPRODUCT(--($D$2:$H$2="EXAMEN")))-(SUMPRODUCT(($D$2:$H$2="PRUEBA COMPLEMENTARIA")*((D47:H47-$D$128:$H$128)/$D$130:$H$130))/SUMPRODUCT(--($D$2:$H$2="PRUEBA COMPLEMENTARIA")))&gt;0,"Exámenes","Actividades")))))</f>
        <v>Actividades</v>
      </c>
      <c r="W47" s="35">
        <f t="shared" si="9"/>
        <v>3.6722311491708987E-2</v>
      </c>
      <c r="X47" s="35">
        <f t="shared" si="10"/>
        <v>1.0565983153497804</v>
      </c>
      <c r="Y47" s="71">
        <f t="shared" si="11"/>
        <v>-0.20821536131937696</v>
      </c>
      <c r="Z47" s="35" cm="1">
        <f t="array" ref="Z47">IF(COUNTIF(D47:H47,"NP")&gt;0,"NP",IF(COUNTIF(D47:H47,"Reconocimiento Créditos")&gt;0,"Reconocimiento Créditos",IF(COUNTIF(D47:H47,"Aprobado en otro curso")&gt;0,"Aprobado en otro curso",IF(COUNTIF($D$2:$H$2,"Examen")&lt;2,"Faltan Calificaciones",SLOPE(_xlfn._xlws.FILTER(D47:H47,$D$2:$H$2="EXAMEN"),_xlfn.SEQUENCE(1,COUNTIF($D$2:$H$2,"EXAMEN"),1,1))))))</f>
        <v>0.27499999999999991</v>
      </c>
      <c r="AA47" s="35">
        <f t="shared" si="12"/>
        <v>-0.44000000000000128</v>
      </c>
      <c r="AB47" s="35" t="str" cm="1">
        <f t="array" ref="AB47">IF(COUNTIF(D47:H47,"NP")&gt;0,"NP",IF(COUNTIF(D47:H47,"Reconocimiento Créditos")&gt;0,"Reconocimiento Créditos",IF(COUNTIF(D47:H47,"Aprobado en otro curso")&gt;0,"Aprobado en otro curso",IF(COUNTBLANK(D47:H47)=0,"No Procede",IF(COUNTBLANK(D47:H47)&gt;3,"No Procede",IF(100*(5-SUMPRODUCT(D47:H47,$D$4:$H$4)/100)/(100-SUMPRODUCT((D47:H47&lt;&gt;"")*($D$4:$H$4)))&gt;10,"Necesita más de 10",IF(100*(5-SUMPRODUCT(D47:H47,$D$4:$H$4)/100)/(100-SUMPRODUCT((D47:H47&lt;&gt;"")*($D$4:$H$4)))&lt;0,"va bien encaminado",100*(5-SUMPRODUCT(D47:H47,$D$4:$H$4)/100)/(100-SUMPRODUCT((D47:H47&lt;&gt;"")*($D$4:$H$4))))))))))</f>
        <v>No Procede</v>
      </c>
    </row>
    <row r="48" spans="2:45" ht="22" customHeight="1">
      <c r="B48" s="19">
        <f>B47+1</f>
        <v>37</v>
      </c>
      <c r="C48" s="4" t="s">
        <v>30</v>
      </c>
      <c r="D48" s="97">
        <v>6.3</v>
      </c>
      <c r="E48" s="70">
        <v>2.75</v>
      </c>
      <c r="F48" s="97">
        <v>8.5</v>
      </c>
      <c r="G48" s="97">
        <v>3.5</v>
      </c>
      <c r="H48" s="97">
        <v>2.85</v>
      </c>
      <c r="I48" s="81">
        <f t="shared" si="19"/>
        <v>4.2975000000000003</v>
      </c>
      <c r="J48" s="60" t="s">
        <v>29</v>
      </c>
      <c r="K48" s="35" cm="1">
        <f t="array" ref="K48">IF(COUNTIF(D48:H48,"NP")&gt;0,"NP",IF(COUNTIF(D48:H48,"Reconocimiento Créditos")&gt;0,"Reconocimiento Créditos",IF(COUNTIF(D48:H48,"Aprobado en otro curso")&gt;0,"Aprobado en otro curso",IF(COUNTIF(D48:H48,"")&gt;0,"Faltan Calificaciones",AVERAGE((D48:H48-$D$128:$H$128)/$D$130:$H$130)))))</f>
        <v>-0.24665696444626697</v>
      </c>
      <c r="L48" s="40">
        <f t="shared" si="1"/>
        <v>0.20599999999999999</v>
      </c>
      <c r="M48" s="43">
        <f t="shared" si="2"/>
        <v>3.9666666666666668</v>
      </c>
      <c r="N48" s="35" cm="1">
        <f t="array" ref="N48">IF(COUNTIF(D48:H48,"NP")&gt;0,"NP",IF(COUNTIF(D48:H48,"Reconocimiento Créditos")&gt;0,"Reconocimiento Créditos",IF(COUNTIF(D48:H48,"Aprobado en otro curso")&gt;0,"Aprobado en otro curso",IF(COUNTIF(D48:H48,"")&gt;0,"Faltan Calificaciones",AVERAGE((D48:H48-$D$128:$H$128)*($D$2:$H$2="EXAMEN")/($D$130:$H$130)*($D$2:$H$2="EXAMEN"))))))</f>
        <v>-0.34138924357654876</v>
      </c>
      <c r="O48" s="40">
        <f t="shared" si="3"/>
        <v>0.19500000000000001</v>
      </c>
      <c r="P48" s="43">
        <f t="shared" si="4"/>
        <v>6</v>
      </c>
      <c r="Q48" s="35" cm="1">
        <f t="array" ref="Q48">IF(COUNTIF(D48:H48,"NP")&gt;0,"NP",IF(COUNTIF(D48:H48,"Reconocimiento Créditos")&gt;0,"Reconocimiento Créditos",IF(COUNTIF(D48:H48,"Aprobado en otro curso")&gt;0,"Aprobado en otro curso",IF(COUNTIF(D48:H48,"")&gt;0,"Faltan Calificaciones",AVERAGE((D48:H48-$D$128:$H$128)*($D$2:$H$2="Prueba Complementaria")/($D$130:$H$130)*($D$2:$H$2="Prueba Complementaria"))))))</f>
        <v>9.4732279130281788E-2</v>
      </c>
      <c r="R48" s="40">
        <f t="shared" si="5"/>
        <v>0.56499999999999995</v>
      </c>
      <c r="S48" s="42">
        <f t="shared" si="6"/>
        <v>4.78</v>
      </c>
      <c r="T48" s="43">
        <f t="shared" si="7"/>
        <v>2.0333333333333332</v>
      </c>
      <c r="U48" s="40">
        <f t="shared" si="8"/>
        <v>0.51260504201680668</v>
      </c>
      <c r="V48" s="40" t="str" cm="1">
        <f t="array" ref="V48">IF(COUNTIF(D48:H48,"NP")&gt;0,"NP",IF(COUNTIF(D48:H48,"Reconocimiento Créditos")&gt;0,"Reconocimiento Créditos",IF(COUNTIF(D48:H48,"Aprobado en otro curso")&gt;0,"Aprobado en otro curso",IF(COUNTBLANK(D48:H48)&gt;0,"Faltan Calificaciones",IF((SUMPRODUCT(($D$2:$H$2="EXAMEN")*((D48:H48-$D$128:$H$128)/$D$130:$H$130))/SUMPRODUCT(--($D$2:$H$2="EXAMEN")))-(SUMPRODUCT(($D$2:$H$2="PRUEBA COMPLEMENTARIA")*((D48:H48-$D$128:$H$128)/$D$130:$H$130))/SUMPRODUCT(--($D$2:$H$2="PRUEBA COMPLEMENTARIA")))&gt;0,"Exámenes","Actividades")))))</f>
        <v>Actividades</v>
      </c>
      <c r="W48" s="35">
        <f t="shared" si="9"/>
        <v>3.637122013221291E-2</v>
      </c>
      <c r="X48" s="35">
        <f t="shared" si="10"/>
        <v>2.2641996378411497</v>
      </c>
      <c r="Y48" s="71">
        <f t="shared" si="11"/>
        <v>-0.42619916719008905</v>
      </c>
      <c r="Z48" s="35" cm="1">
        <f t="array" ref="Z48">IF(COUNTIF(D48:H48,"NP")&gt;0,"NP",IF(COUNTIF(D48:H48,"Reconocimiento Créditos")&gt;0,"Reconocimiento Créditos",IF(COUNTIF(D48:H48,"Aprobado en otro curso")&gt;0,"Aprobado en otro curso",IF(COUNTIF($D$2:$H$2,"Examen")&lt;2,"Faltan Calificaciones",SLOPE(_xlfn._xlws.FILTER(D48:H48,$D$2:$H$2="EXAMEN"),_xlfn.SEQUENCE(1,COUNTIF($D$2:$H$2,"EXAMEN"),1,1))))))</f>
        <v>-1.7249999999999999</v>
      </c>
      <c r="AA48" s="35">
        <f t="shared" si="12"/>
        <v>-1.9300000000000002</v>
      </c>
      <c r="AB48" s="35" t="str" cm="1">
        <f t="array" ref="AB48">IF(COUNTIF(D48:H48,"NP")&gt;0,"NP",IF(COUNTIF(D48:H48,"Reconocimiento Créditos")&gt;0,"Reconocimiento Créditos",IF(COUNTIF(D48:H48,"Aprobado en otro curso")&gt;0,"Aprobado en otro curso",IF(COUNTBLANK(D48:H48)=0,"No Procede",IF(COUNTBLANK(D48:H48)&gt;3,"No Procede",IF(100*(5-SUMPRODUCT(D48:H48,$D$4:$H$4)/100)/(100-SUMPRODUCT((D48:H48&lt;&gt;"")*($D$4:$H$4)))&gt;10,"Necesita más de 10",IF(100*(5-SUMPRODUCT(D48:H48,$D$4:$H$4)/100)/(100-SUMPRODUCT((D48:H48&lt;&gt;"")*($D$4:$H$4)))&lt;0,"va bien encaminado",100*(5-SUMPRODUCT(D48:H48,$D$4:$H$4)/100)/(100-SUMPRODUCT((D48:H48&lt;&gt;"")*($D$4:$H$4))))))))))</f>
        <v>No Procede</v>
      </c>
    </row>
    <row r="49" spans="2:45" ht="22" customHeight="1">
      <c r="B49" s="19">
        <f t="shared" ref="B49:B59" si="20">B48+1</f>
        <v>38</v>
      </c>
      <c r="C49" s="4" t="s">
        <v>30</v>
      </c>
      <c r="D49" s="97">
        <v>2.7</v>
      </c>
      <c r="E49" s="70">
        <v>3.65</v>
      </c>
      <c r="F49" s="97">
        <v>8.25</v>
      </c>
      <c r="G49" s="97">
        <v>0.75</v>
      </c>
      <c r="H49" s="97">
        <v>3.6</v>
      </c>
      <c r="I49" s="81">
        <f t="shared" si="19"/>
        <v>3.7425000000000002</v>
      </c>
      <c r="J49" s="60" t="s">
        <v>29</v>
      </c>
      <c r="K49" s="35" cm="1">
        <f t="array" ref="K49">IF(COUNTIF(D49:H49,"NP")&gt;0,"NP",IF(COUNTIF(D49:H49,"Reconocimiento Créditos")&gt;0,"Reconocimiento Créditos",IF(COUNTIF(D49:H49,"Aprobado en otro curso")&gt;0,"Aprobado en otro curso",IF(COUNTIF(D49:H49,"")&gt;0,"Faltan Calificaciones",AVERAGE((D49:H49-$D$128:$H$128)/$D$130:$H$130)))))</f>
        <v>-0.65040757549462813</v>
      </c>
      <c r="L49" s="40">
        <f t="shared" si="1"/>
        <v>0.14099999999999999</v>
      </c>
      <c r="M49" s="43">
        <f t="shared" si="2"/>
        <v>3.3166666666666664</v>
      </c>
      <c r="N49" s="35" cm="1">
        <f t="array" ref="N49">IF(COUNTIF(D49:H49,"NP")&gt;0,"NP",IF(COUNTIF(D49:H49,"Reconocimiento Créditos")&gt;0,"Reconocimiento Créditos",IF(COUNTIF(D49:H49,"Aprobado en otro curso")&gt;0,"Aprobado en otro curso",IF(COUNTIF(D49:H49,"")&gt;0,"Faltan Calificaciones",AVERAGE((D49:H49-$D$128:$H$128)*($D$2:$H$2="EXAMEN")/($D$130:$H$130)*($D$2:$H$2="EXAMEN"))))))</f>
        <v>-0.52197096587778435</v>
      </c>
      <c r="O49" s="40">
        <f t="shared" si="3"/>
        <v>0.13</v>
      </c>
      <c r="P49" s="43">
        <f t="shared" si="4"/>
        <v>4.5</v>
      </c>
      <c r="Q49" s="35" cm="1">
        <f t="array" ref="Q49">IF(COUNTIF(D49:H49,"NP")&gt;0,"NP",IF(COUNTIF(D49:H49,"Reconocimiento Créditos")&gt;0,"Reconocimiento Créditos",IF(COUNTIF(D49:H49,"Aprobado en otro curso")&gt;0,"Aprobado en otro curso",IF(COUNTIF(D49:H49,"")&gt;0,"Faltan Calificaciones",AVERAGE((D49:H49-$D$128:$H$128)*($D$2:$H$2="Prueba Complementaria")/($D$130:$H$130)*($D$2:$H$2="Prueba Complementaria"))))))</f>
        <v>-0.12843660961684372</v>
      </c>
      <c r="R49" s="40">
        <f t="shared" si="5"/>
        <v>0.23899999999999999</v>
      </c>
      <c r="S49" s="42">
        <f t="shared" si="6"/>
        <v>3.79</v>
      </c>
      <c r="T49" s="43">
        <f t="shared" si="7"/>
        <v>1.1833333333333336</v>
      </c>
      <c r="U49" s="40">
        <f t="shared" si="8"/>
        <v>0.35678391959799005</v>
      </c>
      <c r="V49" s="40" t="str" cm="1">
        <f t="array" ref="V49">IF(COUNTIF(D49:H49,"NP")&gt;0,"NP",IF(COUNTIF(D49:H49,"Reconocimiento Créditos")&gt;0,"Reconocimiento Créditos",IF(COUNTIF(D49:H49,"Aprobado en otro curso")&gt;0,"Aprobado en otro curso",IF(COUNTBLANK(D49:H49)&gt;0,"Faltan Calificaciones",IF((SUMPRODUCT(($D$2:$H$2="EXAMEN")*((D49:H49-$D$128:$H$128)/$D$130:$H$130))/SUMPRODUCT(--($D$2:$H$2="EXAMEN")))-(SUMPRODUCT(($D$2:$H$2="PRUEBA COMPLEMENTARIA")*((D49:H49-$D$128:$H$128)/$D$130:$H$130))/SUMPRODUCT(--($D$2:$H$2="PRUEBA COMPLEMENTARIA")))&gt;0,"Exámenes","Actividades")))))</f>
        <v>Actividades</v>
      </c>
      <c r="W49" s="35">
        <f t="shared" si="9"/>
        <v>5.5096672429973438E-2</v>
      </c>
      <c r="X49" s="35">
        <f t="shared" si="10"/>
        <v>2.4648326515201795</v>
      </c>
      <c r="Y49" s="71">
        <f t="shared" si="11"/>
        <v>-3.8542170374694172E-2</v>
      </c>
      <c r="Z49" s="35" cm="1">
        <f t="array" ref="Z49">IF(COUNTIF(D49:H49,"NP")&gt;0,"NP",IF(COUNTIF(D49:H49,"Reconocimiento Créditos")&gt;0,"Reconocimiento Créditos",IF(COUNTIF(D49:H49,"Aprobado en otro curso")&gt;0,"Aprobado en otro curso",IF(COUNTIF($D$2:$H$2,"Examen")&lt;2,"Faltan Calificaciones",SLOPE(_xlfn._xlws.FILTER(D49:H49,$D$2:$H$2="EXAMEN"),_xlfn.SEQUENCE(1,COUNTIF($D$2:$H$2,"EXAMEN"),1,1))))))</f>
        <v>0.44999999999999996</v>
      </c>
      <c r="AA49" s="35">
        <f t="shared" si="12"/>
        <v>-0.18999999999999995</v>
      </c>
      <c r="AB49" s="35" t="str" cm="1">
        <f t="array" ref="AB49">IF(COUNTIF(D49:H49,"NP")&gt;0,"NP",IF(COUNTIF(D49:H49,"Reconocimiento Créditos")&gt;0,"Reconocimiento Créditos",IF(COUNTIF(D49:H49,"Aprobado en otro curso")&gt;0,"Aprobado en otro curso",IF(COUNTBLANK(D49:H49)=0,"No Procede",IF(COUNTBLANK(D49:H49)&gt;3,"No Procede",IF(100*(5-SUMPRODUCT(D49:H49,$D$4:$H$4)/100)/(100-SUMPRODUCT((D49:H49&lt;&gt;"")*($D$4:$H$4)))&gt;10,"Necesita más de 10",IF(100*(5-SUMPRODUCT(D49:H49,$D$4:$H$4)/100)/(100-SUMPRODUCT((D49:H49&lt;&gt;"")*($D$4:$H$4)))&lt;0,"va bien encaminado",100*(5-SUMPRODUCT(D49:H49,$D$4:$H$4)/100)/(100-SUMPRODUCT((D49:H49&lt;&gt;"")*($D$4:$H$4))))))))))</f>
        <v>No Procede</v>
      </c>
      <c r="AI49" s="63"/>
      <c r="AJ49" s="63"/>
      <c r="AK49" s="63"/>
      <c r="AL49" s="63"/>
      <c r="AM49" s="63"/>
      <c r="AN49" s="63"/>
      <c r="AO49" s="63"/>
      <c r="AP49" s="63"/>
      <c r="AQ49" s="63"/>
      <c r="AR49" s="63"/>
      <c r="AS49" s="63"/>
    </row>
    <row r="50" spans="2:45" ht="22" customHeight="1">
      <c r="B50" s="19">
        <f t="shared" si="20"/>
        <v>39</v>
      </c>
      <c r="C50" s="4" t="s">
        <v>30</v>
      </c>
      <c r="D50" s="97">
        <v>1.9</v>
      </c>
      <c r="E50" s="70">
        <v>4.3</v>
      </c>
      <c r="F50" s="97">
        <v>7.5</v>
      </c>
      <c r="G50" s="97">
        <v>1</v>
      </c>
      <c r="H50" s="97">
        <v>0.7</v>
      </c>
      <c r="I50" s="81">
        <f t="shared" si="19"/>
        <v>2.4849999999999999</v>
      </c>
      <c r="J50" s="60" t="s">
        <v>29</v>
      </c>
      <c r="K50" s="35" cm="1">
        <f t="array" ref="K50">IF(COUNTIF(D50:H50,"NP")&gt;0,"NP",IF(COUNTIF(D50:H50,"Reconocimiento Créditos")&gt;0,"Reconocimiento Créditos",IF(COUNTIF(D50:H50,"Aprobado en otro curso")&gt;0,"Aprobado en otro curso",IF(COUNTIF(D50:H50,"")&gt;0,"Faltan Calificaciones",AVERAGE((D50:H50-$D$128:$H$128)/$D$130:$H$130)))))</f>
        <v>-0.97109817967677015</v>
      </c>
      <c r="L50" s="40">
        <f t="shared" si="1"/>
        <v>5.3999999999999999E-2</v>
      </c>
      <c r="M50" s="43">
        <f t="shared" si="2"/>
        <v>2.2999999999999998</v>
      </c>
      <c r="N50" s="35" cm="1">
        <f t="array" ref="N50">IF(COUNTIF(D50:H50,"NP")&gt;0,"NP",IF(COUNTIF(D50:H50,"Reconocimiento Créditos")&gt;0,"Reconocimiento Créditos",IF(COUNTIF(D50:H50,"Aprobado en otro curso")&gt;0,"Aprobado en otro curso",IF(COUNTIF(D50:H50,"")&gt;0,"Faltan Calificaciones",AVERAGE((D50:H50-$D$128:$H$128)*($D$2:$H$2="EXAMEN")/($D$130:$H$130)*($D$2:$H$2="EXAMEN"))))))</f>
        <v>-0.7982628573404299</v>
      </c>
      <c r="O50" s="40">
        <f t="shared" si="3"/>
        <v>5.3999999999999999E-2</v>
      </c>
      <c r="P50" s="43">
        <f t="shared" si="4"/>
        <v>4.25</v>
      </c>
      <c r="Q50" s="35" cm="1">
        <f t="array" ref="Q50">IF(COUNTIF(D50:H50,"NP")&gt;0,"NP",IF(COUNTIF(D50:H50,"Reconocimiento Créditos")&gt;0,"Reconocimiento Créditos",IF(COUNTIF(D50:H50,"Aprobado en otro curso")&gt;0,"Aprobado en otro curso",IF(COUNTIF(D50:H50,"")&gt;0,"Faltan Calificaciones",AVERAGE((D50:H50-$D$128:$H$128)*($D$2:$H$2="Prueba Complementaria")/($D$130:$H$130)*($D$2:$H$2="Prueba Complementaria"))))))</f>
        <v>-0.17283532233634016</v>
      </c>
      <c r="R50" s="40">
        <f t="shared" si="5"/>
        <v>0.184</v>
      </c>
      <c r="S50" s="42">
        <f t="shared" si="6"/>
        <v>3.0799999999999996</v>
      </c>
      <c r="T50" s="43">
        <f t="shared" si="7"/>
        <v>1.9500000000000002</v>
      </c>
      <c r="U50" s="40">
        <f t="shared" si="8"/>
        <v>0.84782608695652184</v>
      </c>
      <c r="V50" s="40" t="str" cm="1">
        <f t="array" ref="V50">IF(COUNTIF(D50:H50,"NP")&gt;0,"NP",IF(COUNTIF(D50:H50,"Reconocimiento Créditos")&gt;0,"Reconocimiento Créditos",IF(COUNTIF(D50:H50,"Aprobado en otro curso")&gt;0,"Aprobado en otro curso",IF(COUNTBLANK(D50:H50)&gt;0,"Faltan Calificaciones",IF((SUMPRODUCT(($D$2:$H$2="EXAMEN")*((D50:H50-$D$128:$H$128)/$D$130:$H$130))/SUMPRODUCT(--($D$2:$H$2="EXAMEN")))-(SUMPRODUCT(($D$2:$H$2="PRUEBA COMPLEMENTARIA")*((D50:H50-$D$128:$H$128)/$D$130:$H$130))/SUMPRODUCT(--($D$2:$H$2="PRUEBA COMPLEMENTARIA")))&gt;0,"Exámenes","Actividades")))))</f>
        <v>Actividades</v>
      </c>
      <c r="W50" s="35">
        <f t="shared" si="9"/>
        <v>8.3746806939219931E-2</v>
      </c>
      <c r="X50" s="35">
        <f t="shared" si="10"/>
        <v>2.5458986625551296</v>
      </c>
      <c r="Y50" s="71">
        <f t="shared" si="11"/>
        <v>-0.46741844736494148</v>
      </c>
      <c r="Z50" s="35" cm="1">
        <f t="array" ref="Z50">IF(COUNTIF(D50:H50,"NP")&gt;0,"NP",IF(COUNTIF(D50:H50,"Reconocimiento Créditos")&gt;0,"Reconocimiento Créditos",IF(COUNTIF(D50:H50,"Aprobado en otro curso")&gt;0,"Aprobado en otro curso",IF(COUNTIF($D$2:$H$2,"Examen")&lt;2,"Faltan Calificaciones",SLOPE(_xlfn._xlws.FILTER(D50:H50,$D$2:$H$2="EXAMEN"),_xlfn.SEQUENCE(1,COUNTIF($D$2:$H$2,"EXAMEN"),1,1))))))</f>
        <v>-0.6</v>
      </c>
      <c r="AA50" s="35">
        <f t="shared" si="12"/>
        <v>-2.38</v>
      </c>
      <c r="AB50" s="35" t="str" cm="1">
        <f t="array" ref="AB50">IF(COUNTIF(D50:H50,"NP")&gt;0,"NP",IF(COUNTIF(D50:H50,"Reconocimiento Créditos")&gt;0,"Reconocimiento Créditos",IF(COUNTIF(D50:H50,"Aprobado en otro curso")&gt;0,"Aprobado en otro curso",IF(COUNTBLANK(D50:H50)=0,"No Procede",IF(COUNTBLANK(D50:H50)&gt;3,"No Procede",IF(100*(5-SUMPRODUCT(D50:H50,$D$4:$H$4)/100)/(100-SUMPRODUCT((D50:H50&lt;&gt;"")*($D$4:$H$4)))&gt;10,"Necesita más de 10",IF(100*(5-SUMPRODUCT(D50:H50,$D$4:$H$4)/100)/(100-SUMPRODUCT((D50:H50&lt;&gt;"")*($D$4:$H$4)))&lt;0,"va bien encaminado",100*(5-SUMPRODUCT(D50:H50,$D$4:$H$4)/100)/(100-SUMPRODUCT((D50:H50&lt;&gt;"")*($D$4:$H$4))))))))))</f>
        <v>No Procede</v>
      </c>
    </row>
    <row r="51" spans="2:45" ht="22" customHeight="1">
      <c r="B51" s="19">
        <f t="shared" si="20"/>
        <v>40</v>
      </c>
      <c r="C51" s="4" t="s">
        <v>30</v>
      </c>
      <c r="D51" s="97">
        <v>6.9</v>
      </c>
      <c r="E51" s="70">
        <v>7.9</v>
      </c>
      <c r="F51" s="97">
        <v>7.75</v>
      </c>
      <c r="G51" s="97">
        <v>9.5</v>
      </c>
      <c r="H51" s="97">
        <v>9.35</v>
      </c>
      <c r="I51" s="81">
        <f t="shared" si="19"/>
        <v>8.5474999999999994</v>
      </c>
      <c r="J51" s="60" t="s">
        <v>29</v>
      </c>
      <c r="K51" s="35" cm="1">
        <f t="array" ref="K51">IF(COUNTIF(D51:H51,"NP")&gt;0,"NP",IF(COUNTIF(D51:H51,"Reconocimiento Créditos")&gt;0,"Reconocimiento Créditos",IF(COUNTIF(D51:H51,"Aprobado en otro curso")&gt;0,"Aprobado en otro curso",IF(COUNTIF(D51:H51,"")&gt;0,"Faltan Calificaciones",AVERAGE((D51:H51-$D$128:$H$128)/$D$130:$H$130)))))</f>
        <v>1.2737716779371944</v>
      </c>
      <c r="L51" s="40">
        <f t="shared" si="1"/>
        <v>0.98899999999999999</v>
      </c>
      <c r="M51" s="43">
        <f t="shared" si="2"/>
        <v>8.0499999999999989</v>
      </c>
      <c r="N51" s="35" cm="1">
        <f t="array" ref="N51">IF(COUNTIF(D51:H51,"NP")&gt;0,"NP",IF(COUNTIF(D51:H51,"Reconocimiento Créditos")&gt;0,"Reconocimiento Créditos",IF(COUNTIF(D51:H51,"Aprobado en otro curso")&gt;0,"Aprobado en otro curso",IF(COUNTIF(D51:H51,"")&gt;0,"Faltan Calificaciones",AVERAGE((D51:H51-$D$128:$H$128)*($D$2:$H$2="EXAMEN")/($D$130:$H$130)*($D$2:$H$2="EXAMEN"))))))</f>
        <v>0.80057096649690196</v>
      </c>
      <c r="O51" s="40">
        <f t="shared" si="3"/>
        <v>0.92300000000000004</v>
      </c>
      <c r="P51" s="43">
        <f t="shared" si="4"/>
        <v>8.625</v>
      </c>
      <c r="Q51" s="35" cm="1">
        <f t="array" ref="Q51">IF(COUNTIF(D51:H51,"NP")&gt;0,"NP",IF(COUNTIF(D51:H51,"Reconocimiento Créditos")&gt;0,"Reconocimiento Créditos",IF(COUNTIF(D51:H51,"Aprobado en otro curso")&gt;0,"Aprobado en otro curso",IF(COUNTIF(D51:H51,"")&gt;0,"Faltan Calificaciones",AVERAGE((D51:H51-$D$128:$H$128)*($D$2:$H$2="Prueba Complementaria")/($D$130:$H$130)*($D$2:$H$2="Prueba Complementaria"))))))</f>
        <v>0.47320071144029241</v>
      </c>
      <c r="R51" s="40">
        <f t="shared" si="5"/>
        <v>0.98899999999999999</v>
      </c>
      <c r="S51" s="42">
        <f t="shared" si="6"/>
        <v>8.2799999999999994</v>
      </c>
      <c r="T51" s="43">
        <f t="shared" si="7"/>
        <v>0.57500000000000107</v>
      </c>
      <c r="U51" s="40">
        <f t="shared" si="8"/>
        <v>7.1428571428571577E-2</v>
      </c>
      <c r="V51" s="40" t="str" cm="1">
        <f t="array" ref="V51">IF(COUNTIF(D51:H51,"NP")&gt;0,"NP",IF(COUNTIF(D51:H51,"Reconocimiento Créditos")&gt;0,"Reconocimiento Créditos",IF(COUNTIF(D51:H51,"Aprobado en otro curso")&gt;0,"Aprobado en otro curso",IF(COUNTBLANK(D51:H51)&gt;0,"Faltan Calificaciones",IF((SUMPRODUCT(($D$2:$H$2="EXAMEN")*((D51:H51-$D$128:$H$128)/$D$130:$H$130))/SUMPRODUCT(--($D$2:$H$2="EXAMEN")))-(SUMPRODUCT(($D$2:$H$2="PRUEBA COMPLEMENTARIA")*((D51:H51-$D$128:$H$128)/$D$130:$H$130))/SUMPRODUCT(--($D$2:$H$2="PRUEBA COMPLEMENTARIA")))&gt;0,"Exámenes","Actividades")))))</f>
        <v>Exámenes</v>
      </c>
      <c r="W51" s="35">
        <f t="shared" si="9"/>
        <v>8.2044537382824814E-2</v>
      </c>
      <c r="X51" s="35">
        <f t="shared" si="10"/>
        <v>0.99629312955576044</v>
      </c>
      <c r="Y51" s="71">
        <f t="shared" si="11"/>
        <v>0.53699055441499977</v>
      </c>
      <c r="Z51" s="35" cm="1">
        <f t="array" ref="Z51">IF(COUNTIF(D51:H51,"NP")&gt;0,"NP",IF(COUNTIF(D51:H51,"Reconocimiento Créditos")&gt;0,"Reconocimiento Créditos",IF(COUNTIF(D51:H51,"Aprobado en otro curso")&gt;0,"Aprobado en otro curso",IF(COUNTIF($D$2:$H$2,"Examen")&lt;2,"Faltan Calificaciones",SLOPE(_xlfn._xlws.FILTER(D51:H51,$D$2:$H$2="EXAMEN"),_xlfn.SEQUENCE(1,COUNTIF($D$2:$H$2,"EXAMEN"),1,1))))))</f>
        <v>1.2249999999999996</v>
      </c>
      <c r="AA51" s="35">
        <f t="shared" si="12"/>
        <v>1.0700000000000003</v>
      </c>
      <c r="AB51" s="35" t="str" cm="1">
        <f t="array" ref="AB51">IF(COUNTIF(D51:H51,"NP")&gt;0,"NP",IF(COUNTIF(D51:H51,"Reconocimiento Créditos")&gt;0,"Reconocimiento Créditos",IF(COUNTIF(D51:H51,"Aprobado en otro curso")&gt;0,"Aprobado en otro curso",IF(COUNTBLANK(D51:H51)=0,"No Procede",IF(COUNTBLANK(D51:H51)&gt;3,"No Procede",IF(100*(5-SUMPRODUCT(D51:H51,$D$4:$H$4)/100)/(100-SUMPRODUCT((D51:H51&lt;&gt;"")*($D$4:$H$4)))&gt;10,"Necesita más de 10",IF(100*(5-SUMPRODUCT(D51:H51,$D$4:$H$4)/100)/(100-SUMPRODUCT((D51:H51&lt;&gt;"")*($D$4:$H$4)))&lt;0,"va bien encaminado",100*(5-SUMPRODUCT(D51:H51,$D$4:$H$4)/100)/(100-SUMPRODUCT((D51:H51&lt;&gt;"")*($D$4:$H$4))))))))))</f>
        <v>No Procede</v>
      </c>
    </row>
    <row r="52" spans="2:45" ht="22" customHeight="1">
      <c r="B52" s="19">
        <f t="shared" si="20"/>
        <v>41</v>
      </c>
      <c r="C52" s="4" t="s">
        <v>30</v>
      </c>
      <c r="D52" s="97">
        <v>5.95</v>
      </c>
      <c r="E52" s="70">
        <v>5.05</v>
      </c>
      <c r="F52" s="97">
        <v>2.75</v>
      </c>
      <c r="G52" s="97">
        <v>6.5</v>
      </c>
      <c r="H52" s="97">
        <v>6.5</v>
      </c>
      <c r="I52" s="81">
        <f t="shared" si="19"/>
        <v>5.6375000000000002</v>
      </c>
      <c r="J52" s="60" t="s">
        <v>29</v>
      </c>
      <c r="K52" s="35" cm="1">
        <f t="array" ref="K52">IF(COUNTIF(D52:H52,"NP")&gt;0,"NP",IF(COUNTIF(D52:H52,"Reconocimiento Créditos")&gt;0,"Reconocimiento Créditos",IF(COUNTIF(D52:H52,"Aprobado en otro curso")&gt;0,"Aprobado en otro curso",IF(COUNTIF(D52:H52,"")&gt;0,"Faltan Calificaciones",AVERAGE((D52:H52-$D$128:$H$128)/$D$130:$H$130)))))</f>
        <v>1.3129888532097733E-2</v>
      </c>
      <c r="L52" s="40">
        <f t="shared" si="1"/>
        <v>0.5</v>
      </c>
      <c r="M52" s="43">
        <f t="shared" si="2"/>
        <v>5.833333333333333</v>
      </c>
      <c r="N52" s="35" cm="1">
        <f t="array" ref="N52">IF(COUNTIF(D52:H52,"NP")&gt;0,"NP",IF(COUNTIF(D52:H52,"Reconocimiento Créditos")&gt;0,"Reconocimiento Créditos",IF(COUNTIF(D52:H52,"Aprobado en otro curso")&gt;0,"Aprobado en otro curso",IF(COUNTIF(D52:H52,"")&gt;0,"Faltan Calificaciones",AVERAGE((D52:H52-$D$128:$H$128)*($D$2:$H$2="EXAMEN")/($D$130:$H$130)*($D$2:$H$2="EXAMEN"))))))</f>
        <v>0.1791171187239905</v>
      </c>
      <c r="O52" s="40">
        <f t="shared" si="3"/>
        <v>0.63</v>
      </c>
      <c r="P52" s="43">
        <f t="shared" si="4"/>
        <v>4.625</v>
      </c>
      <c r="Q52" s="35" cm="1">
        <f t="array" ref="Q52">IF(COUNTIF(D52:H52,"NP")&gt;0,"NP",IF(COUNTIF(D52:H52,"Reconocimiento Créditos")&gt;0,"Reconocimiento Créditos",IF(COUNTIF(D52:H52,"Aprobado en otro curso")&gt;0,"Aprobado en otro curso",IF(COUNTIF(D52:H52,"")&gt;0,"Faltan Calificaciones",AVERAGE((D52:H52-$D$128:$H$128)*($D$2:$H$2="Prueba Complementaria")/($D$130:$H$130)*($D$2:$H$2="Prueba Complementaria"))))))</f>
        <v>-0.16598723019189277</v>
      </c>
      <c r="R52" s="40">
        <f t="shared" si="5"/>
        <v>0.29299999999999998</v>
      </c>
      <c r="S52" s="42">
        <f t="shared" si="6"/>
        <v>5.35</v>
      </c>
      <c r="T52" s="43">
        <f t="shared" si="7"/>
        <v>-1.208333333333333</v>
      </c>
      <c r="U52" s="40">
        <f t="shared" si="8"/>
        <v>-0.2071428571428571</v>
      </c>
      <c r="V52" s="40" t="str" cm="1">
        <f t="array" ref="V52">IF(COUNTIF(D52:H52,"NP")&gt;0,"NP",IF(COUNTIF(D52:H52,"Reconocimiento Créditos")&gt;0,"Reconocimiento Créditos",IF(COUNTIF(D52:H52,"Aprobado en otro curso")&gt;0,"Aprobado en otro curso",IF(COUNTBLANK(D52:H52)&gt;0,"Faltan Calificaciones",IF((SUMPRODUCT(($D$2:$H$2="EXAMEN")*((D52:H52-$D$128:$H$128)/$D$130:$H$130))/SUMPRODUCT(--($D$2:$H$2="EXAMEN")))-(SUMPRODUCT(($D$2:$H$2="PRUEBA COMPLEMENTARIA")*((D52:H52-$D$128:$H$128)/$D$130:$H$130))/SUMPRODUCT(--($D$2:$H$2="PRUEBA COMPLEMENTARIA")))&gt;0,"Exámenes","Actividades")))))</f>
        <v>Exámenes</v>
      </c>
      <c r="W52" s="35">
        <f t="shared" si="9"/>
        <v>1.7602775318338384E-2</v>
      </c>
      <c r="X52" s="35">
        <f t="shared" si="10"/>
        <v>1.4039230748157105</v>
      </c>
      <c r="Y52" s="71">
        <f t="shared" si="11"/>
        <v>0.4095665997052429</v>
      </c>
      <c r="Z52" s="35" cm="1">
        <f t="array" ref="Z52">IF(COUNTIF(D52:H52,"NP")&gt;0,"NP",IF(COUNTIF(D52:H52,"Reconocimiento Créditos")&gt;0,"Reconocimiento Créditos",IF(COUNTIF(D52:H52,"Aprobado en otro curso")&gt;0,"Aprobado en otro curso",IF(COUNTIF($D$2:$H$2,"Examen")&lt;2,"Faltan Calificaciones",SLOPE(_xlfn._xlws.FILTER(D52:H52,$D$2:$H$2="EXAMEN"),_xlfn.SEQUENCE(1,COUNTIF($D$2:$H$2,"EXAMEN"),1,1))))))</f>
        <v>0.27499999999999991</v>
      </c>
      <c r="AA52" s="35">
        <f t="shared" si="12"/>
        <v>1.1500000000000004</v>
      </c>
      <c r="AB52" s="35" t="str" cm="1">
        <f t="array" ref="AB52">IF(COUNTIF(D52:H52,"NP")&gt;0,"NP",IF(COUNTIF(D52:H52,"Reconocimiento Créditos")&gt;0,"Reconocimiento Créditos",IF(COUNTIF(D52:H52,"Aprobado en otro curso")&gt;0,"Aprobado en otro curso",IF(COUNTBLANK(D52:H52)=0,"No Procede",IF(COUNTBLANK(D52:H52)&gt;3,"No Procede",IF(100*(5-SUMPRODUCT(D52:H52,$D$4:$H$4)/100)/(100-SUMPRODUCT((D52:H52&lt;&gt;"")*($D$4:$H$4)))&gt;10,"Necesita más de 10",IF(100*(5-SUMPRODUCT(D52:H52,$D$4:$H$4)/100)/(100-SUMPRODUCT((D52:H52&lt;&gt;"")*($D$4:$H$4)))&lt;0,"va bien encaminado",100*(5-SUMPRODUCT(D52:H52,$D$4:$H$4)/100)/(100-SUMPRODUCT((D52:H52&lt;&gt;"")*($D$4:$H$4))))))))))</f>
        <v>No Procede</v>
      </c>
    </row>
    <row r="53" spans="2:45" ht="22" customHeight="1">
      <c r="B53" s="19">
        <f t="shared" si="20"/>
        <v>42</v>
      </c>
      <c r="C53" s="4" t="s">
        <v>30</v>
      </c>
      <c r="D53" s="97">
        <v>9.3000000000000007</v>
      </c>
      <c r="E53" s="70">
        <v>9.15</v>
      </c>
      <c r="F53" s="97">
        <v>7.5</v>
      </c>
      <c r="G53" s="97">
        <v>9</v>
      </c>
      <c r="H53" s="97">
        <v>6.7</v>
      </c>
      <c r="I53" s="81">
        <f t="shared" si="19"/>
        <v>7.9225000000000003</v>
      </c>
      <c r="J53" s="60" t="s">
        <v>29</v>
      </c>
      <c r="K53" s="35" cm="1">
        <f t="array" ref="K53">IF(COUNTIF(D53:H53,"NP")&gt;0,"NP",IF(COUNTIF(D53:H53,"Reconocimiento Créditos")&gt;0,"Reconocimiento Créditos",IF(COUNTIF(D53:H53,"Aprobado en otro curso")&gt;0,"Aprobado en otro curso",IF(COUNTIF(D53:H53,"")&gt;0,"Faltan Calificaciones",AVERAGE((D53:H53-$D$128:$H$128)/$D$130:$H$130)))))</f>
        <v>1.3180925040094176</v>
      </c>
      <c r="L53" s="40">
        <f t="shared" si="1"/>
        <v>0.96699999999999997</v>
      </c>
      <c r="M53" s="43">
        <f t="shared" si="2"/>
        <v>8.3833333333333346</v>
      </c>
      <c r="N53" s="35" cm="1">
        <f t="array" ref="N53">IF(COUNTIF(D53:H53,"NP")&gt;0,"NP",IF(COUNTIF(D53:H53,"Reconocimiento Créditos")&gt;0,"Reconocimiento Créditos",IF(COUNTIF(D53:H53,"Aprobado en otro curso")&gt;0,"Aprobado en otro curso",IF(COUNTIF(D53:H53,"")&gt;0,"Faltan Calificaciones",AVERAGE((D53:H53-$D$128:$H$128)*($D$2:$H$2="EXAMEN")/($D$130:$H$130)*($D$2:$H$2="EXAMEN"))))))</f>
        <v>0.90259092891340009</v>
      </c>
      <c r="O53" s="40">
        <f t="shared" si="3"/>
        <v>0.98899999999999999</v>
      </c>
      <c r="P53" s="43">
        <f t="shared" si="4"/>
        <v>8.25</v>
      </c>
      <c r="Q53" s="35" cm="1">
        <f t="array" ref="Q53">IF(COUNTIF(D53:H53,"NP")&gt;0,"NP",IF(COUNTIF(D53:H53,"Reconocimiento Créditos")&gt;0,"Reconocimiento Créditos",IF(COUNTIF(D53:H53,"Aprobado en otro curso")&gt;0,"Aprobado en otro curso",IF(COUNTIF(D53:H53,"")&gt;0,"Faltan Calificaciones",AVERAGE((D53:H53-$D$128:$H$128)*($D$2:$H$2="Prueba Complementaria")/($D$130:$H$130)*($D$2:$H$2="Prueba Complementaria"))))))</f>
        <v>0.41550157509601748</v>
      </c>
      <c r="R53" s="40">
        <f t="shared" si="5"/>
        <v>0.92300000000000004</v>
      </c>
      <c r="S53" s="42">
        <f t="shared" si="6"/>
        <v>8.3300000000000018</v>
      </c>
      <c r="T53" s="43">
        <f t="shared" si="7"/>
        <v>-0.13333333333333464</v>
      </c>
      <c r="U53" s="40">
        <f t="shared" si="8"/>
        <v>-1.5904572564612481E-2</v>
      </c>
      <c r="V53" s="40" t="str" cm="1">
        <f t="array" ref="V53">IF(COUNTIF(D53:H53,"NP")&gt;0,"NP",IF(COUNTIF(D53:H53,"Reconocimiento Créditos")&gt;0,"Reconocimiento Créditos",IF(COUNTIF(D53:H53,"Aprobado en otro curso")&gt;0,"Aprobado en otro curso",IF(COUNTBLANK(D53:H53)&gt;0,"Faltan Calificaciones",IF((SUMPRODUCT(($D$2:$H$2="EXAMEN")*((D53:H53-$D$128:$H$128)/$D$130:$H$130))/SUMPRODUCT(--($D$2:$H$2="EXAMEN")))-(SUMPRODUCT(($D$2:$H$2="PRUEBA COMPLEMENTARIA")*((D53:H53-$D$128:$H$128)/$D$130:$H$130))/SUMPRODUCT(--($D$2:$H$2="PRUEBA COMPLEMENTARIA")))&gt;0,"Exámenes","Actividades")))))</f>
        <v>Exámenes</v>
      </c>
      <c r="W53" s="35">
        <f t="shared" si="9"/>
        <v>9.2623514675237023E-2</v>
      </c>
      <c r="X53" s="35">
        <f t="shared" si="10"/>
        <v>1.0399999999999905</v>
      </c>
      <c r="Y53" s="71">
        <f t="shared" si="11"/>
        <v>-0.78365384615384615</v>
      </c>
      <c r="Z53" s="35" cm="1">
        <f t="array" ref="Z53">IF(COUNTIF(D53:H53,"NP")&gt;0,"NP",IF(COUNTIF(D53:H53,"Reconocimiento Créditos")&gt;0,"Reconocimiento Créditos",IF(COUNTIF(D53:H53,"Aprobado en otro curso")&gt;0,"Aprobado en otro curso",IF(COUNTIF($D$2:$H$2,"Examen")&lt;2,"Faltan Calificaciones",SLOPE(_xlfn._xlws.FILTER(D53:H53,$D$2:$H$2="EXAMEN"),_xlfn.SEQUENCE(1,COUNTIF($D$2:$H$2,"EXAMEN"),1,1))))))</f>
        <v>-1.3000000000000003</v>
      </c>
      <c r="AA53" s="35">
        <f t="shared" si="12"/>
        <v>-1.6300000000000017</v>
      </c>
      <c r="AB53" s="35" t="str" cm="1">
        <f t="array" ref="AB53">IF(COUNTIF(D53:H53,"NP")&gt;0,"NP",IF(COUNTIF(D53:H53,"Reconocimiento Créditos")&gt;0,"Reconocimiento Créditos",IF(COUNTIF(D53:H53,"Aprobado en otro curso")&gt;0,"Aprobado en otro curso",IF(COUNTBLANK(D53:H53)=0,"No Procede",IF(COUNTBLANK(D53:H53)&gt;3,"No Procede",IF(100*(5-SUMPRODUCT(D53:H53,$D$4:$H$4)/100)/(100-SUMPRODUCT((D53:H53&lt;&gt;"")*($D$4:$H$4)))&gt;10,"Necesita más de 10",IF(100*(5-SUMPRODUCT(D53:H53,$D$4:$H$4)/100)/(100-SUMPRODUCT((D53:H53&lt;&gt;"")*($D$4:$H$4)))&lt;0,"va bien encaminado",100*(5-SUMPRODUCT(D53:H53,$D$4:$H$4)/100)/(100-SUMPRODUCT((D53:H53&lt;&gt;"")*($D$4:$H$4))))))))))</f>
        <v>No Procede</v>
      </c>
    </row>
    <row r="54" spans="2:45" ht="22" customHeight="1">
      <c r="B54" s="19">
        <f t="shared" si="20"/>
        <v>43</v>
      </c>
      <c r="C54" s="4" t="s">
        <v>30</v>
      </c>
      <c r="D54" s="97">
        <v>3.35</v>
      </c>
      <c r="E54" s="70">
        <v>3.15</v>
      </c>
      <c r="F54" s="97">
        <v>4.75</v>
      </c>
      <c r="G54" s="97">
        <v>7</v>
      </c>
      <c r="H54" s="97">
        <v>6.65</v>
      </c>
      <c r="I54" s="81">
        <f t="shared" si="19"/>
        <v>5.3975</v>
      </c>
      <c r="J54" s="60" t="s">
        <v>29</v>
      </c>
      <c r="K54" s="35" cm="1">
        <f t="array" ref="K54">IF(COUNTIF(D54:H54,"NP")&gt;0,"NP",IF(COUNTIF(D54:H54,"Reconocimiento Créditos")&gt;0,"Reconocimiento Créditos",IF(COUNTIF(D54:H54,"Aprobado en otro curso")&gt;0,"Aprobado en otro curso",IF(COUNTIF(D54:H54,"")&gt;0,"Faltan Calificaciones",AVERAGE((D54:H54-$D$128:$H$128)/$D$130:$H$130)))))</f>
        <v>-0.19338647911964532</v>
      </c>
      <c r="L54" s="40">
        <f t="shared" si="1"/>
        <v>0.42299999999999999</v>
      </c>
      <c r="M54" s="43">
        <f t="shared" si="2"/>
        <v>4.3833333333333337</v>
      </c>
      <c r="N54" s="35" cm="1">
        <f t="array" ref="N54">IF(COUNTIF(D54:H54,"NP")&gt;0,"NP",IF(COUNTIF(D54:H54,"Reconocimiento Créditos")&gt;0,"Reconocimiento Créditos",IF(COUNTIF(D54:H54,"Aprobado en otro curso")&gt;0,"Aprobado en otro curso",IF(COUNTIF(D54:H54,"")&gt;0,"Faltan Calificaciones",AVERAGE((D54:H54-$D$128:$H$128)*($D$2:$H$2="EXAMEN")/($D$130:$H$130)*($D$2:$H$2="EXAMEN"))))))</f>
        <v>-0.23159494705529537</v>
      </c>
      <c r="O54" s="40">
        <f t="shared" si="3"/>
        <v>0.26</v>
      </c>
      <c r="P54" s="43">
        <f t="shared" si="4"/>
        <v>5.875</v>
      </c>
      <c r="Q54" s="35" cm="1">
        <f t="array" ref="Q54">IF(COUNTIF(D54:H54,"NP")&gt;0,"NP",IF(COUNTIF(D54:H54,"Reconocimiento Créditos")&gt;0,"Reconocimiento Créditos",IF(COUNTIF(D54:H54,"Aprobado en otro curso")&gt;0,"Aprobado en otro curso",IF(COUNTIF(D54:H54,"")&gt;0,"Faltan Calificaciones",AVERAGE((D54:H54-$D$128:$H$128)*($D$2:$H$2="Prueba Complementaria")/($D$130:$H$130)*($D$2:$H$2="Prueba Complementaria"))))))</f>
        <v>3.8208467935650005E-2</v>
      </c>
      <c r="R54" s="40">
        <f t="shared" si="5"/>
        <v>0.55400000000000005</v>
      </c>
      <c r="S54" s="42">
        <f t="shared" si="6"/>
        <v>4.9799999999999995</v>
      </c>
      <c r="T54" s="43">
        <f t="shared" si="7"/>
        <v>1.4916666666666663</v>
      </c>
      <c r="U54" s="40">
        <f t="shared" si="8"/>
        <v>0.34030418250950556</v>
      </c>
      <c r="V54" s="40" t="str" cm="1">
        <f t="array" ref="V54">IF(COUNTIF(D54:H54,"NP")&gt;0,"NP",IF(COUNTIF(D54:H54,"Reconocimiento Créditos")&gt;0,"Reconocimiento Créditos",IF(COUNTIF(D54:H54,"Aprobado en otro curso")&gt;0,"Aprobado en otro curso",IF(COUNTBLANK(D54:H54)&gt;0,"Faltan Calificaciones",IF((SUMPRODUCT(($D$2:$H$2="EXAMEN")*((D54:H54-$D$128:$H$128)/$D$130:$H$130))/SUMPRODUCT(--($D$2:$H$2="EXAMEN")))-(SUMPRODUCT(($D$2:$H$2="PRUEBA COMPLEMENTARIA")*((D54:H54-$D$128:$H$128)/$D$130:$H$130))/SUMPRODUCT(--($D$2:$H$2="PRUEBA COMPLEMENTARIA")))&gt;0,"Exámenes","Actividades")))))</f>
        <v>Actividades</v>
      </c>
      <c r="W54" s="35">
        <f t="shared" si="9"/>
        <v>2.4986081947268056E-2</v>
      </c>
      <c r="X54" s="35">
        <f t="shared" si="10"/>
        <v>1.6079800993793449</v>
      </c>
      <c r="Y54" s="71">
        <f t="shared" si="11"/>
        <v>0.51928503364083822</v>
      </c>
      <c r="Z54" s="35" cm="1">
        <f t="array" ref="Z54">IF(COUNTIF(D54:H54,"NP")&gt;0,"NP",IF(COUNTIF(D54:H54,"Reconocimiento Créditos")&gt;0,"Reconocimiento Créditos",IF(COUNTIF(D54:H54,"Aprobado en otro curso")&gt;0,"Aprobado en otro curso",IF(COUNTIF($D$2:$H$2,"Examen")&lt;2,"Faltan Calificaciones",SLOPE(_xlfn._xlws.FILTER(D54:H54,$D$2:$H$2="EXAMEN"),_xlfn.SEQUENCE(1,COUNTIF($D$2:$H$2,"EXAMEN"),1,1))))))</f>
        <v>1.6500000000000001</v>
      </c>
      <c r="AA54" s="35">
        <f t="shared" si="12"/>
        <v>1.6700000000000008</v>
      </c>
      <c r="AB54" s="35" t="str" cm="1">
        <f t="array" ref="AB54">IF(COUNTIF(D54:H54,"NP")&gt;0,"NP",IF(COUNTIF(D54:H54,"Reconocimiento Créditos")&gt;0,"Reconocimiento Créditos",IF(COUNTIF(D54:H54,"Aprobado en otro curso")&gt;0,"Aprobado en otro curso",IF(COUNTBLANK(D54:H54)=0,"No Procede",IF(COUNTBLANK(D54:H54)&gt;3,"No Procede",IF(100*(5-SUMPRODUCT(D54:H54,$D$4:$H$4)/100)/(100-SUMPRODUCT((D54:H54&lt;&gt;"")*($D$4:$H$4)))&gt;10,"Necesita más de 10",IF(100*(5-SUMPRODUCT(D54:H54,$D$4:$H$4)/100)/(100-SUMPRODUCT((D54:H54&lt;&gt;"")*($D$4:$H$4)))&lt;0,"va bien encaminado",100*(5-SUMPRODUCT(D54:H54,$D$4:$H$4)/100)/(100-SUMPRODUCT((D54:H54&lt;&gt;"")*($D$4:$H$4))))))))))</f>
        <v>No Procede</v>
      </c>
    </row>
    <row r="55" spans="2:45" ht="22" customHeight="1">
      <c r="B55" s="19">
        <f t="shared" si="20"/>
        <v>44</v>
      </c>
      <c r="C55" s="4" t="s">
        <v>30</v>
      </c>
      <c r="D55" s="97">
        <v>5.35</v>
      </c>
      <c r="E55" s="70">
        <v>4.5999999999999996</v>
      </c>
      <c r="F55" s="97">
        <v>7.5</v>
      </c>
      <c r="G55" s="97">
        <v>9.0500000000000007</v>
      </c>
      <c r="H55" s="97">
        <v>5.65</v>
      </c>
      <c r="I55" s="81">
        <f t="shared" si="19"/>
        <v>6.2350000000000003</v>
      </c>
      <c r="J55" s="60" t="s">
        <v>29</v>
      </c>
      <c r="K55" s="35" cm="1">
        <f t="array" ref="K55">IF(COUNTIF(D55:H55,"NP")&gt;0,"NP",IF(COUNTIF(D55:H55,"Reconocimiento Créditos")&gt;0,"Reconocimiento Créditos",IF(COUNTIF(D55:H55,"Aprobado en otro curso")&gt;0,"Aprobado en otro curso",IF(COUNTIF(D55:H55,"")&gt;0,"Faltan Calificaciones",AVERAGE((D55:H55-$D$128:$H$128)/$D$130:$H$130)))))</f>
        <v>0.42183319428136101</v>
      </c>
      <c r="L55" s="40">
        <f t="shared" si="1"/>
        <v>0.71699999999999997</v>
      </c>
      <c r="M55" s="43">
        <f t="shared" si="2"/>
        <v>5.2</v>
      </c>
      <c r="N55" s="35" cm="1">
        <f t="array" ref="N55">IF(COUNTIF(D55:H55,"NP")&gt;0,"NP",IF(COUNTIF(D55:H55,"Reconocimiento Créditos")&gt;0,"Reconocimiento Créditos",IF(COUNTIF(D55:H55,"Aprobado en otro curso")&gt;0,"Aprobado en otro curso",IF(COUNTIF(D55:H55,"")&gt;0,"Faltan Calificaciones",AVERAGE((D55:H55-$D$128:$H$128)*($D$2:$H$2="EXAMEN")/($D$130:$H$130)*($D$2:$H$2="EXAMEN"))))))</f>
        <v>2.6545135763912874E-3</v>
      </c>
      <c r="O55" s="40">
        <f t="shared" si="3"/>
        <v>0.47799999999999998</v>
      </c>
      <c r="P55" s="43">
        <f t="shared" si="4"/>
        <v>8.2750000000000004</v>
      </c>
      <c r="Q55" s="35" cm="1">
        <f t="array" ref="Q55">IF(COUNTIF(D55:H55,"NP")&gt;0,"NP",IF(COUNTIF(D55:H55,"Reconocimiento Créditos")&gt;0,"Reconocimiento Créditos",IF(COUNTIF(D55:H55,"Aprobado en otro curso")&gt;0,"Aprobado en otro curso",IF(COUNTIF(D55:H55,"")&gt;0,"Faltan Calificaciones",AVERAGE((D55:H55-$D$128:$H$128)*($D$2:$H$2="Prueba Complementaria")/($D$130:$H$130)*($D$2:$H$2="Prueba Complementaria"))))))</f>
        <v>0.41917868070496977</v>
      </c>
      <c r="R55" s="40">
        <f t="shared" si="5"/>
        <v>0.94499999999999995</v>
      </c>
      <c r="S55" s="42">
        <f t="shared" si="6"/>
        <v>6.43</v>
      </c>
      <c r="T55" s="43">
        <f t="shared" si="7"/>
        <v>3.0750000000000002</v>
      </c>
      <c r="U55" s="40">
        <f t="shared" si="8"/>
        <v>0.59134615384615385</v>
      </c>
      <c r="V55" s="40" t="str" cm="1">
        <f t="array" ref="V55">IF(COUNTIF(D55:H55,"NP")&gt;0,"NP",IF(COUNTIF(D55:H55,"Reconocimiento Créditos")&gt;0,"Reconocimiento Créditos",IF(COUNTIF(D55:H55,"Aprobado en otro curso")&gt;0,"Aprobado en otro curso",IF(COUNTBLANK(D55:H55)&gt;0,"Faltan Calificaciones",IF((SUMPRODUCT(($D$2:$H$2="EXAMEN")*((D55:H55-$D$128:$H$128)/$D$130:$H$130))/SUMPRODUCT(--($D$2:$H$2="EXAMEN")))-(SUMPRODUCT(($D$2:$H$2="PRUEBA COMPLEMENTARIA")*((D55:H55-$D$128:$H$128)/$D$130:$H$130))/SUMPRODUCT(--($D$2:$H$2="PRUEBA COMPLEMENTARIA")))&gt;0,"Exámenes","Actividades")))))</f>
        <v>Actividades</v>
      </c>
      <c r="W55" s="35">
        <f t="shared" si="9"/>
        <v>6.9554442809650126E-4</v>
      </c>
      <c r="X55" s="35">
        <f t="shared" si="10"/>
        <v>1.6206788701035155</v>
      </c>
      <c r="Y55" s="71">
        <f t="shared" si="11"/>
        <v>-0.24063989923870011</v>
      </c>
      <c r="Z55" s="35" cm="1">
        <f t="array" ref="Z55">IF(COUNTIF(D55:H55,"NP")&gt;0,"NP",IF(COUNTIF(D55:H55,"Reconocimiento Créditos")&gt;0,"Reconocimiento Créditos",IF(COUNTIF(D55:H55,"Aprobado en otro curso")&gt;0,"Aprobado en otro curso",IF(COUNTIF($D$2:$H$2,"Examen")&lt;2,"Faltan Calificaciones",SLOPE(_xlfn._xlws.FILTER(D55:H55,$D$2:$H$2="EXAMEN"),_xlfn.SEQUENCE(1,COUNTIF($D$2:$H$2,"EXAMEN"),1,1))))))</f>
        <v>0.15000000000000036</v>
      </c>
      <c r="AA55" s="35">
        <f t="shared" si="12"/>
        <v>-0.77999999999999936</v>
      </c>
      <c r="AB55" s="35" t="str" cm="1">
        <f t="array" ref="AB55">IF(COUNTIF(D55:H55,"NP")&gt;0,"NP",IF(COUNTIF(D55:H55,"Reconocimiento Créditos")&gt;0,"Reconocimiento Créditos",IF(COUNTIF(D55:H55,"Aprobado en otro curso")&gt;0,"Aprobado en otro curso",IF(COUNTBLANK(D55:H55)=0,"No Procede",IF(COUNTBLANK(D55:H55)&gt;3,"No Procede",IF(100*(5-SUMPRODUCT(D55:H55,$D$4:$H$4)/100)/(100-SUMPRODUCT((D55:H55&lt;&gt;"")*($D$4:$H$4)))&gt;10,"Necesita más de 10",IF(100*(5-SUMPRODUCT(D55:H55,$D$4:$H$4)/100)/(100-SUMPRODUCT((D55:H55&lt;&gt;"")*($D$4:$H$4)))&lt;0,"va bien encaminado",100*(5-SUMPRODUCT(D55:H55,$D$4:$H$4)/100)/(100-SUMPRODUCT((D55:H55&lt;&gt;"")*($D$4:$H$4))))))))))</f>
        <v>No Procede</v>
      </c>
    </row>
    <row r="56" spans="2:45" ht="22" customHeight="1">
      <c r="B56" s="19">
        <f t="shared" si="20"/>
        <v>45</v>
      </c>
      <c r="C56" s="4" t="s">
        <v>30</v>
      </c>
      <c r="D56" s="97">
        <v>5.35</v>
      </c>
      <c r="E56" s="70">
        <v>3.4</v>
      </c>
      <c r="F56" s="97">
        <v>5</v>
      </c>
      <c r="G56" s="97">
        <v>8.1999999999999993</v>
      </c>
      <c r="H56" s="97">
        <v>6.95</v>
      </c>
      <c r="I56" s="81">
        <f t="shared" si="19"/>
        <v>6.0724999999999998</v>
      </c>
      <c r="J56" s="60" t="s">
        <v>29</v>
      </c>
      <c r="K56" s="35" cm="1">
        <f t="array" ref="K56">IF(COUNTIF(D56:H56,"NP")&gt;0,"NP",IF(COUNTIF(D56:H56,"Reconocimiento Créditos")&gt;0,"Reconocimiento Créditos",IF(COUNTIF(D56:H56,"Aprobado en otro curso")&gt;0,"Aprobado en otro curso",IF(COUNTIF(D56:H56,"")&gt;0,"Faltan Calificaciones",AVERAGE((D56:H56-$D$128:$H$128)/$D$130:$H$130)))))</f>
        <v>0.15333964026982785</v>
      </c>
      <c r="L56" s="40">
        <f t="shared" si="1"/>
        <v>0.64100000000000001</v>
      </c>
      <c r="M56" s="43">
        <f t="shared" si="2"/>
        <v>5.2333333333333334</v>
      </c>
      <c r="N56" s="35" cm="1">
        <f t="array" ref="N56">IF(COUNTIF(D56:H56,"NP")&gt;0,"NP",IF(COUNTIF(D56:H56,"Reconocimiento Créditos")&gt;0,"Reconocimiento Créditos",IF(COUNTIF(D56:H56,"Aprobado en otro curso")&gt;0,"Aprobado en otro curso",IF(COUNTIF(D56:H56,"")&gt;0,"Faltan Calificaciones",AVERAGE((D56:H56-$D$128:$H$128)*($D$2:$H$2="EXAMEN")/($D$130:$H$130)*($D$2:$H$2="EXAMEN"))))))</f>
        <v>5.9525574645717064E-3</v>
      </c>
      <c r="O56" s="40">
        <f t="shared" si="3"/>
        <v>0.48899999999999999</v>
      </c>
      <c r="P56" s="43">
        <f t="shared" si="4"/>
        <v>6.6</v>
      </c>
      <c r="Q56" s="35" cm="1">
        <f t="array" ref="Q56">IF(COUNTIF(D56:H56,"NP")&gt;0,"NP",IF(COUNTIF(D56:H56,"Reconocimiento Créditos")&gt;0,"Reconocimiento Créditos",IF(COUNTIF(D56:H56,"Aprobado en otro curso")&gt;0,"Aprobado en otro curso",IF(COUNTIF(D56:H56,"")&gt;0,"Faltan Calificaciones",AVERAGE((D56:H56-$D$128:$H$128)*($D$2:$H$2="Prueba Complementaria")/($D$130:$H$130)*($D$2:$H$2="Prueba Complementaria"))))))</f>
        <v>0.14738708280525614</v>
      </c>
      <c r="R56" s="40">
        <f t="shared" si="5"/>
        <v>0.66300000000000003</v>
      </c>
      <c r="S56" s="42">
        <f t="shared" si="6"/>
        <v>5.7799999999999994</v>
      </c>
      <c r="T56" s="43">
        <f t="shared" si="7"/>
        <v>1.3666666666666663</v>
      </c>
      <c r="U56" s="40">
        <f t="shared" si="8"/>
        <v>0.26114649681528657</v>
      </c>
      <c r="V56" s="40" t="str" cm="1">
        <f t="array" ref="V56">IF(COUNTIF(D56:H56,"NP")&gt;0,"NP",IF(COUNTIF(D56:H56,"Reconocimiento Créditos")&gt;0,"Reconocimiento Créditos",IF(COUNTIF(D56:H56,"Aprobado en otro curso")&gt;0,"Aprobado en otro curso",IF(COUNTBLANK(D56:H56)&gt;0,"Faltan Calificaciones",IF((SUMPRODUCT(($D$2:$H$2="EXAMEN")*((D56:H56-$D$128:$H$128)/$D$130:$H$130))/SUMPRODUCT(--($D$2:$H$2="EXAMEN")))-(SUMPRODUCT(($D$2:$H$2="PRUEBA COMPLEMENTARIA")*((D56:H56-$D$128:$H$128)/$D$130:$H$130))/SUMPRODUCT(--($D$2:$H$2="PRUEBA COMPLEMENTARIA")))&gt;0,"Exámenes","Actividades")))))</f>
        <v>Actividades</v>
      </c>
      <c r="W56" s="35">
        <f t="shared" si="9"/>
        <v>3.5355320818210057E-4</v>
      </c>
      <c r="X56" s="35">
        <f t="shared" si="10"/>
        <v>1.6542672093709658</v>
      </c>
      <c r="Y56" s="71">
        <f t="shared" si="11"/>
        <v>0.35363089873639364</v>
      </c>
      <c r="Z56" s="35" cm="1">
        <f t="array" ref="Z56">IF(COUNTIF(D56:H56,"NP")&gt;0,"NP",IF(COUNTIF(D56:H56,"Reconocimiento Créditos")&gt;0,"Reconocimiento Créditos",IF(COUNTIF(D56:H56,"Aprobado en otro curso")&gt;0,"Aprobado en otro curso",IF(COUNTIF($D$2:$H$2,"Examen")&lt;2,"Faltan Calificaciones",SLOPE(_xlfn._xlws.FILTER(D56:H56,$D$2:$H$2="EXAMEN"),_xlfn.SEQUENCE(1,COUNTIF($D$2:$H$2,"EXAMEN"),1,1))))))</f>
        <v>0.80000000000000027</v>
      </c>
      <c r="AA56" s="35">
        <f t="shared" si="12"/>
        <v>1.1700000000000008</v>
      </c>
      <c r="AB56" s="35" t="str" cm="1">
        <f t="array" ref="AB56">IF(COUNTIF(D56:H56,"NP")&gt;0,"NP",IF(COUNTIF(D56:H56,"Reconocimiento Créditos")&gt;0,"Reconocimiento Créditos",IF(COUNTIF(D56:H56,"Aprobado en otro curso")&gt;0,"Aprobado en otro curso",IF(COUNTBLANK(D56:H56)=0,"No Procede",IF(COUNTBLANK(D56:H56)&gt;3,"No Procede",IF(100*(5-SUMPRODUCT(D56:H56,$D$4:$H$4)/100)/(100-SUMPRODUCT((D56:H56&lt;&gt;"")*($D$4:$H$4)))&gt;10,"Necesita más de 10",IF(100*(5-SUMPRODUCT(D56:H56,$D$4:$H$4)/100)/(100-SUMPRODUCT((D56:H56&lt;&gt;"")*($D$4:$H$4)))&lt;0,"va bien encaminado",100*(5-SUMPRODUCT(D56:H56,$D$4:$H$4)/100)/(100-SUMPRODUCT((D56:H56&lt;&gt;"")*($D$4:$H$4))))))))))</f>
        <v>No Procede</v>
      </c>
    </row>
    <row r="57" spans="2:45" ht="22" customHeight="1">
      <c r="B57" s="19">
        <f t="shared" si="20"/>
        <v>46</v>
      </c>
      <c r="C57" s="4" t="s">
        <v>30</v>
      </c>
      <c r="D57" s="97">
        <v>4.3</v>
      </c>
      <c r="E57" s="70">
        <v>3.9</v>
      </c>
      <c r="F57" s="97">
        <v>7.75</v>
      </c>
      <c r="G57" s="97">
        <v>7</v>
      </c>
      <c r="H57" s="97">
        <v>5.75</v>
      </c>
      <c r="I57" s="81">
        <f t="shared" si="19"/>
        <v>5.7424999999999997</v>
      </c>
      <c r="J57" s="60" t="s">
        <v>29</v>
      </c>
      <c r="K57" s="35" cm="1">
        <f t="array" ref="K57">IF(COUNTIF(D57:H57,"NP")&gt;0,"NP",IF(COUNTIF(D57:H57,"Reconocimiento Créditos")&gt;0,"Reconocimiento Créditos",IF(COUNTIF(D57:H57,"Aprobado en otro curso")&gt;0,"Aprobado en otro curso",IF(COUNTIF(D57:H57,"")&gt;0,"Faltan Calificaciones",AVERAGE((D57:H57-$D$128:$H$128)/$D$130:$H$130)))))</f>
        <v>0.13618304261721473</v>
      </c>
      <c r="L57" s="40">
        <f t="shared" si="1"/>
        <v>0.55400000000000005</v>
      </c>
      <c r="M57" s="43">
        <f t="shared" si="2"/>
        <v>4.6499999999999995</v>
      </c>
      <c r="N57" s="35" cm="1">
        <f t="array" ref="N57">IF(COUNTIF(D57:H57,"NP")&gt;0,"NP",IF(COUNTIF(D57:H57,"Reconocimiento Créditos")&gt;0,"Reconocimiento Créditos",IF(COUNTIF(D57:H57,"Aprobado en otro curso")&gt;0,"Aprobado en otro curso",IF(COUNTIF(D57:H57,"")&gt;0,"Faltan Calificaciones",AVERAGE((D57:H57-$D$128:$H$128)*($D$2:$H$2="EXAMEN")/($D$130:$H$130)*($D$2:$H$2="EXAMEN"))))))</f>
        <v>-0.15316238837546589</v>
      </c>
      <c r="O57" s="40">
        <f t="shared" si="3"/>
        <v>0.34699999999999998</v>
      </c>
      <c r="P57" s="43">
        <f t="shared" si="4"/>
        <v>7.375</v>
      </c>
      <c r="Q57" s="35" cm="1">
        <f t="array" ref="Q57">IF(COUNTIF(D57:H57,"NP")&gt;0,"NP",IF(COUNTIF(D57:H57,"Reconocimiento Créditos")&gt;0,"Reconocimiento Créditos",IF(COUNTIF(D57:H57,"Aprobado en otro curso")&gt;0,"Aprobado en otro curso",IF(COUNTIF(D57:H57,"")&gt;0,"Faltan Calificaciones",AVERAGE((D57:H57-$D$128:$H$128)*($D$2:$H$2="Prueba Complementaria")/($D$130:$H$130)*($D$2:$H$2="Prueba Complementaria"))))))</f>
        <v>0.28934543099268062</v>
      </c>
      <c r="R57" s="40">
        <f t="shared" si="5"/>
        <v>0.76</v>
      </c>
      <c r="S57" s="42">
        <f t="shared" si="6"/>
        <v>5.74</v>
      </c>
      <c r="T57" s="43">
        <f t="shared" si="7"/>
        <v>2.7250000000000005</v>
      </c>
      <c r="U57" s="40">
        <f t="shared" si="8"/>
        <v>0.58602150537634423</v>
      </c>
      <c r="V57" s="40" t="str" cm="1">
        <f t="array" ref="V57">IF(COUNTIF(D57:H57,"NP")&gt;0,"NP",IF(COUNTIF(D57:H57,"Reconocimiento Créditos")&gt;0,"Reconocimiento Créditos",IF(COUNTIF(D57:H57,"Aprobado en otro curso")&gt;0,"Aprobado en otro curso",IF(COUNTBLANK(D57:H57)&gt;0,"Faltan Calificaciones",IF((SUMPRODUCT(($D$2:$H$2="EXAMEN")*((D57:H57-$D$128:$H$128)/$D$130:$H$130))/SUMPRODUCT(--($D$2:$H$2="EXAMEN")))-(SUMPRODUCT(($D$2:$H$2="PRUEBA COMPLEMENTARIA")*((D57:H57-$D$128:$H$128)/$D$130:$H$130))/SUMPRODUCT(--($D$2:$H$2="PRUEBA COMPLEMENTARIA")))&gt;0,"Exámenes","Actividades")))))</f>
        <v>Actividades</v>
      </c>
      <c r="W57" s="35">
        <f t="shared" si="9"/>
        <v>1.6853004482758786E-2</v>
      </c>
      <c r="X57" s="35">
        <f t="shared" si="10"/>
        <v>1.4890936840910991</v>
      </c>
      <c r="Y57" s="71">
        <f t="shared" si="11"/>
        <v>3.3577471004128667E-3</v>
      </c>
      <c r="Z57" s="35" cm="1">
        <f t="array" ref="Z57">IF(COUNTIF(D57:H57,"NP")&gt;0,"NP",IF(COUNTIF(D57:H57,"Reconocimiento Créditos")&gt;0,"Reconocimiento Créditos",IF(COUNTIF(D57:H57,"Aprobado en otro curso")&gt;0,"Aprobado en otro curso",IF(COUNTIF($D$2:$H$2,"Examen")&lt;2,"Faltan Calificaciones",SLOPE(_xlfn._xlws.FILTER(D57:H57,$D$2:$H$2="EXAMEN"),_xlfn.SEQUENCE(1,COUNTIF($D$2:$H$2,"EXAMEN"),1,1))))))</f>
        <v>0.72500000000000009</v>
      </c>
      <c r="AA57" s="35">
        <f t="shared" si="12"/>
        <v>9.9999999999997868E-3</v>
      </c>
      <c r="AB57" s="35" t="str" cm="1">
        <f t="array" ref="AB57">IF(COUNTIF(D57:H57,"NP")&gt;0,"NP",IF(COUNTIF(D57:H57,"Reconocimiento Créditos")&gt;0,"Reconocimiento Créditos",IF(COUNTIF(D57:H57,"Aprobado en otro curso")&gt;0,"Aprobado en otro curso",IF(COUNTBLANK(D57:H57)=0,"No Procede",IF(COUNTBLANK(D57:H57)&gt;3,"No Procede",IF(100*(5-SUMPRODUCT(D57:H57,$D$4:$H$4)/100)/(100-SUMPRODUCT((D57:H57&lt;&gt;"")*($D$4:$H$4)))&gt;10,"Necesita más de 10",IF(100*(5-SUMPRODUCT(D57:H57,$D$4:$H$4)/100)/(100-SUMPRODUCT((D57:H57&lt;&gt;"")*($D$4:$H$4)))&lt;0,"va bien encaminado",100*(5-SUMPRODUCT(D57:H57,$D$4:$H$4)/100)/(100-SUMPRODUCT((D57:H57&lt;&gt;"")*($D$4:$H$4))))))))))</f>
        <v>No Procede</v>
      </c>
    </row>
    <row r="58" spans="2:45" ht="22" customHeight="1">
      <c r="B58" s="19">
        <f t="shared" si="20"/>
        <v>47</v>
      </c>
      <c r="C58" s="4" t="s">
        <v>30</v>
      </c>
      <c r="D58" s="97">
        <v>6.9</v>
      </c>
      <c r="E58" s="70">
        <v>3.65</v>
      </c>
      <c r="F58" s="97">
        <v>8</v>
      </c>
      <c r="G58" s="97">
        <v>3.5</v>
      </c>
      <c r="H58" s="97">
        <v>3.85</v>
      </c>
      <c r="I58" s="81">
        <f t="shared" si="19"/>
        <v>4.8475000000000001</v>
      </c>
      <c r="J58" s="60" t="s">
        <v>29</v>
      </c>
      <c r="K58" s="35" cm="1">
        <f t="array" ref="K58">IF(COUNTIF(D58:H58,"NP")&gt;0,"NP",IF(COUNTIF(D58:H58,"Reconocimiento Créditos")&gt;0,"Reconocimiento Créditos",IF(COUNTIF(D58:H58,"Aprobado en otro curso")&gt;0,"Aprobado en otro curso",IF(COUNTIF(D58:H58,"")&gt;0,"Faltan Calificaciones",AVERAGE((D58:H58-$D$128:$H$128)/$D$130:$H$130)))))</f>
        <v>-5.5219991326889262E-2</v>
      </c>
      <c r="L58" s="40">
        <f t="shared" si="1"/>
        <v>0.30399999999999999</v>
      </c>
      <c r="M58" s="43">
        <f t="shared" si="2"/>
        <v>4.8</v>
      </c>
      <c r="N58" s="35" cm="1">
        <f t="array" ref="N58">IF(COUNTIF(D58:H58,"NP")&gt;0,"NP",IF(COUNTIF(D58:H58,"Reconocimiento Créditos")&gt;0,"Reconocimiento Créditos",IF(COUNTIF(D58:H58,"Aprobado en otro curso")&gt;0,"Aprobado en otro curso",IF(COUNTIF(D58:H58,"")&gt;0,"Faltan Calificaciones",AVERAGE((D58:H58-$D$128:$H$128)*($D$2:$H$2="EXAMEN")/($D$130:$H$130)*($D$2:$H$2="EXAMEN"))))))</f>
        <v>-0.10809610994766597</v>
      </c>
      <c r="O58" s="40">
        <f t="shared" si="3"/>
        <v>0.39100000000000001</v>
      </c>
      <c r="P58" s="43">
        <f t="shared" si="4"/>
        <v>5.75</v>
      </c>
      <c r="Q58" s="35" cm="1">
        <f t="array" ref="Q58">IF(COUNTIF(D58:H58,"NP")&gt;0,"NP",IF(COUNTIF(D58:H58,"Reconocimiento Créditos")&gt;0,"Reconocimiento Créditos",IF(COUNTIF(D58:H58,"Aprobado en otro curso")&gt;0,"Aprobado en otro curso",IF(COUNTIF(D58:H58,"")&gt;0,"Faltan Calificaciones",AVERAGE((D58:H58-$D$128:$H$128)*($D$2:$H$2="Prueba Complementaria")/($D$130:$H$130)*($D$2:$H$2="Prueba Complementaria"))))))</f>
        <v>5.2876118620776701E-2</v>
      </c>
      <c r="R58" s="40">
        <f t="shared" si="5"/>
        <v>0.5</v>
      </c>
      <c r="S58" s="42">
        <f t="shared" si="6"/>
        <v>5.1800000000000006</v>
      </c>
      <c r="T58" s="43">
        <f t="shared" si="7"/>
        <v>0.95000000000000018</v>
      </c>
      <c r="U58" s="40">
        <f t="shared" si="8"/>
        <v>0.19791666666666671</v>
      </c>
      <c r="V58" s="40" t="str" cm="1">
        <f t="array" ref="V58">IF(COUNTIF(D58:H58,"NP")&gt;0,"NP",IF(COUNTIF(D58:H58,"Reconocimiento Créditos")&gt;0,"Reconocimiento Créditos",IF(COUNTIF(D58:H58,"Aprobado en otro curso")&gt;0,"Aprobado en otro curso",IF(COUNTBLANK(D58:H58)&gt;0,"Faltan Calificaciones",IF((SUMPRODUCT(($D$2:$H$2="EXAMEN")*((D58:H58-$D$128:$H$128)/$D$130:$H$130))/SUMPRODUCT(--($D$2:$H$2="EXAMEN")))-(SUMPRODUCT(($D$2:$H$2="PRUEBA COMPLEMENTARIA")*((D58:H58-$D$128:$H$128)/$D$130:$H$130))/SUMPRODUCT(--($D$2:$H$2="PRUEBA COMPLEMENTARIA")))&gt;0,"Exámenes","Actividades")))))</f>
        <v>Actividades</v>
      </c>
      <c r="W58" s="35">
        <f t="shared" si="9"/>
        <v>1.217984910366875E-2</v>
      </c>
      <c r="X58" s="35">
        <f t="shared" si="10"/>
        <v>1.8890738471536779</v>
      </c>
      <c r="Y58" s="71">
        <f t="shared" si="11"/>
        <v>-0.35202435362808837</v>
      </c>
      <c r="Z58" s="35" cm="1">
        <f t="array" ref="Z58">IF(COUNTIF(D58:H58,"NP")&gt;0,"NP",IF(COUNTIF(D58:H58,"Reconocimiento Créditos")&gt;0,"Reconocimiento Créditos",IF(COUNTIF(D58:H58,"Aprobado en otro curso")&gt;0,"Aprobado en otro curso",IF(COUNTIF($D$2:$H$2,"Examen")&lt;2,"Faltan Calificaciones",SLOPE(_xlfn._xlws.FILTER(D58:H58,$D$2:$H$2="EXAMEN"),_xlfn.SEQUENCE(1,COUNTIF($D$2:$H$2,"EXAMEN"),1,1))))))</f>
        <v>-1.5250000000000001</v>
      </c>
      <c r="AA58" s="35">
        <f t="shared" si="12"/>
        <v>-1.3300000000000005</v>
      </c>
      <c r="AB58" s="35" t="str" cm="1">
        <f t="array" ref="AB58">IF(COUNTIF(D58:H58,"NP")&gt;0,"NP",IF(COUNTIF(D58:H58,"Reconocimiento Créditos")&gt;0,"Reconocimiento Créditos",IF(COUNTIF(D58:H58,"Aprobado en otro curso")&gt;0,"Aprobado en otro curso",IF(COUNTBLANK(D58:H58)=0,"No Procede",IF(COUNTBLANK(D58:H58)&gt;3,"No Procede",IF(100*(5-SUMPRODUCT(D58:H58,$D$4:$H$4)/100)/(100-SUMPRODUCT((D58:H58&lt;&gt;"")*($D$4:$H$4)))&gt;10,"Necesita más de 10",IF(100*(5-SUMPRODUCT(D58:H58,$D$4:$H$4)/100)/(100-SUMPRODUCT((D58:H58&lt;&gt;"")*($D$4:$H$4)))&lt;0,"va bien encaminado",100*(5-SUMPRODUCT(D58:H58,$D$4:$H$4)/100)/(100-SUMPRODUCT((D58:H58&lt;&gt;"")*($D$4:$H$4))))))))))</f>
        <v>No Procede</v>
      </c>
    </row>
    <row r="59" spans="2:45" ht="22" customHeight="1">
      <c r="B59" s="19">
        <f t="shared" si="20"/>
        <v>48</v>
      </c>
      <c r="C59" s="4" t="s">
        <v>30</v>
      </c>
      <c r="D59" s="97">
        <v>8.4</v>
      </c>
      <c r="E59" s="70">
        <v>8.65</v>
      </c>
      <c r="F59" s="97">
        <v>6.5</v>
      </c>
      <c r="G59" s="97">
        <v>8.25</v>
      </c>
      <c r="H59" s="97">
        <v>7.7</v>
      </c>
      <c r="I59" s="81">
        <f t="shared" si="19"/>
        <v>7.85</v>
      </c>
      <c r="J59" s="60" t="s">
        <v>29</v>
      </c>
      <c r="K59" s="35" cm="1">
        <f t="array" ref="K59">IF(COUNTIF(D59:H59,"NP")&gt;0,"NP",IF(COUNTIF(D59:H59,"Reconocimiento Créditos")&gt;0,"Reconocimiento Créditos",IF(COUNTIF(D59:H59,"Aprobado en otro curso")&gt;0,"Aprobado en otro curso",IF(COUNTIF(D59:H59,"")&gt;0,"Faltan Calificaciones",AVERAGE((D59:H59-$D$128:$H$128)/$D$130:$H$130)))))</f>
        <v>1.1385376476861706</v>
      </c>
      <c r="L59" s="40">
        <f t="shared" si="1"/>
        <v>0.95599999999999996</v>
      </c>
      <c r="M59" s="43">
        <f t="shared" si="2"/>
        <v>8.25</v>
      </c>
      <c r="N59" s="35" cm="1">
        <f t="array" ref="N59">IF(COUNTIF(D59:H59,"NP")&gt;0,"NP",IF(COUNTIF(D59:H59,"Reconocimiento Créditos")&gt;0,"Reconocimiento Créditos",IF(COUNTIF(D59:H59,"Aprobado en otro curso")&gt;0,"Aprobado en otro curso",IF(COUNTIF(D59:H59,"")&gt;0,"Faltan Calificaciones",AVERAGE((D59:H59-$D$128:$H$128)*($D$2:$H$2="EXAMEN")/($D$130:$H$130)*($D$2:$H$2="EXAMEN"))))))</f>
        <v>0.86190497774344688</v>
      </c>
      <c r="O59" s="40">
        <f t="shared" si="3"/>
        <v>0.96699999999999997</v>
      </c>
      <c r="P59" s="43">
        <f t="shared" si="4"/>
        <v>7.375</v>
      </c>
      <c r="Q59" s="35" cm="1">
        <f t="array" ref="Q59">IF(COUNTIF(D59:H59,"NP")&gt;0,"NP",IF(COUNTIF(D59:H59,"Reconocimiento Créditos")&gt;0,"Reconocimiento Créditos",IF(COUNTIF(D59:H59,"Aprobado en otro curso")&gt;0,"Aprobado en otro curso",IF(COUNTIF(D59:H59,"")&gt;0,"Faltan Calificaciones",AVERAGE((D59:H59-$D$128:$H$128)*($D$2:$H$2="Prueba Complementaria")/($D$130:$H$130)*($D$2:$H$2="Prueba Complementaria"))))))</f>
        <v>0.27663266994272373</v>
      </c>
      <c r="R59" s="40">
        <f t="shared" si="5"/>
        <v>0.76</v>
      </c>
      <c r="S59" s="42">
        <f t="shared" si="6"/>
        <v>7.9</v>
      </c>
      <c r="T59" s="43">
        <f t="shared" si="7"/>
        <v>-0.875</v>
      </c>
      <c r="U59" s="40">
        <f t="shared" si="8"/>
        <v>-0.10606060606060606</v>
      </c>
      <c r="V59" s="40" t="str" cm="1">
        <f t="array" ref="V59">IF(COUNTIF(D59:H59,"NP")&gt;0,"NP",IF(COUNTIF(D59:H59,"Reconocimiento Créditos")&gt;0,"Reconocimiento Créditos",IF(COUNTIF(D59:H59,"Aprobado en otro curso")&gt;0,"Aprobado en otro curso",IF(COUNTBLANK(D59:H59)&gt;0,"Faltan Calificaciones",IF((SUMPRODUCT(($D$2:$H$2="EXAMEN")*((D59:H59-$D$128:$H$128)/$D$130:$H$130))/SUMPRODUCT(--($D$2:$H$2="EXAMEN")))-(SUMPRODUCT(($D$2:$H$2="PRUEBA COMPLEMENTARIA")*((D59:H59-$D$128:$H$128)/$D$130:$H$130))/SUMPRODUCT(--($D$2:$H$2="PRUEBA COMPLEMENTARIA")))&gt;0,"Exámenes","Actividades")))))</f>
        <v>Exámenes</v>
      </c>
      <c r="W59" s="35">
        <f t="shared" si="9"/>
        <v>8.840457807349679E-2</v>
      </c>
      <c r="X59" s="35">
        <f t="shared" si="10"/>
        <v>0.76615925237511817</v>
      </c>
      <c r="Y59" s="71">
        <f t="shared" si="11"/>
        <v>-0.13052116735521604</v>
      </c>
      <c r="Z59" s="35" cm="1">
        <f t="array" ref="Z59">IF(COUNTIF(D59:H59,"NP")&gt;0,"NP",IF(COUNTIF(D59:H59,"Reconocimiento Créditos")&gt;0,"Reconocimiento Créditos",IF(COUNTIF(D59:H59,"Aprobado en otro curso")&gt;0,"Aprobado en otro curso",IF(COUNTIF($D$2:$H$2,"Examen")&lt;2,"Faltan Calificaciones",SLOPE(_xlfn._xlws.FILTER(D59:H59,$D$2:$H$2="EXAMEN"),_xlfn.SEQUENCE(1,COUNTIF($D$2:$H$2,"EXAMEN"),1,1))))))</f>
        <v>-0.35000000000000009</v>
      </c>
      <c r="AA59" s="35">
        <f t="shared" si="12"/>
        <v>-0.20000000000000018</v>
      </c>
      <c r="AB59" s="35" t="str" cm="1">
        <f t="array" ref="AB59">IF(COUNTIF(D59:H59,"NP")&gt;0,"NP",IF(COUNTIF(D59:H59,"Reconocimiento Créditos")&gt;0,"Reconocimiento Créditos",IF(COUNTIF(D59:H59,"Aprobado en otro curso")&gt;0,"Aprobado en otro curso",IF(COUNTBLANK(D59:H59)=0,"No Procede",IF(COUNTBLANK(D59:H59)&gt;3,"No Procede",IF(100*(5-SUMPRODUCT(D59:H59,$D$4:$H$4)/100)/(100-SUMPRODUCT((D59:H59&lt;&gt;"")*($D$4:$H$4)))&gt;10,"Necesita más de 10",IF(100*(5-SUMPRODUCT(D59:H59,$D$4:$H$4)/100)/(100-SUMPRODUCT((D59:H59&lt;&gt;"")*($D$4:$H$4)))&lt;0,"va bien encaminado",100*(5-SUMPRODUCT(D59:H59,$D$4:$H$4)/100)/(100-SUMPRODUCT((D59:H59&lt;&gt;"")*($D$4:$H$4))))))))))</f>
        <v>No Procede</v>
      </c>
    </row>
    <row r="60" spans="2:45" ht="22" customHeight="1">
      <c r="B60" s="24"/>
      <c r="C60" s="25"/>
      <c r="D60" s="20"/>
      <c r="E60" s="22"/>
      <c r="F60" s="85"/>
      <c r="G60" s="85"/>
      <c r="H60" s="20"/>
      <c r="I60" s="81"/>
      <c r="K60" s="16"/>
      <c r="L60" s="39"/>
      <c r="M60" s="39"/>
      <c r="N60" s="67"/>
      <c r="O60" s="39"/>
      <c r="P60" s="39"/>
      <c r="Q60" s="67"/>
      <c r="R60" s="39"/>
      <c r="T60" s="16"/>
      <c r="U60" s="16"/>
    </row>
    <row r="61" spans="2:45" s="63" customFormat="1" ht="22" customHeight="1">
      <c r="B61" s="47"/>
      <c r="C61" s="51" t="s">
        <v>21</v>
      </c>
      <c r="D61" s="48"/>
      <c r="E61" s="87"/>
      <c r="F61" s="48"/>
      <c r="G61" s="48"/>
      <c r="H61" s="48"/>
      <c r="I61" s="82"/>
      <c r="K61" s="18" t="s">
        <v>50</v>
      </c>
      <c r="L61" s="34" t="s">
        <v>51</v>
      </c>
      <c r="M61" s="34" t="s">
        <v>53</v>
      </c>
      <c r="N61" s="58" t="s">
        <v>62</v>
      </c>
      <c r="O61" s="34" t="s">
        <v>64</v>
      </c>
      <c r="P61" s="34" t="s">
        <v>66</v>
      </c>
      <c r="Q61" s="58" t="s">
        <v>63</v>
      </c>
      <c r="R61" s="34" t="s">
        <v>65</v>
      </c>
      <c r="S61" s="18" t="s">
        <v>52</v>
      </c>
      <c r="T61" s="18" t="s">
        <v>56</v>
      </c>
      <c r="U61" s="18" t="s">
        <v>57</v>
      </c>
      <c r="V61" s="18" t="s">
        <v>58</v>
      </c>
      <c r="W61" s="18" t="s">
        <v>67</v>
      </c>
      <c r="X61" s="56" t="s">
        <v>68</v>
      </c>
      <c r="Y61" s="56" t="s">
        <v>69</v>
      </c>
      <c r="Z61" s="18" t="s">
        <v>70</v>
      </c>
      <c r="AA61" s="18" t="s">
        <v>71</v>
      </c>
      <c r="AB61" s="18" t="s">
        <v>77</v>
      </c>
      <c r="AI61" s="12"/>
      <c r="AJ61" s="12"/>
      <c r="AK61" s="12"/>
      <c r="AL61" s="12"/>
      <c r="AM61" s="12"/>
      <c r="AN61" s="12"/>
      <c r="AO61" s="12"/>
      <c r="AP61" s="12"/>
      <c r="AQ61" s="12"/>
      <c r="AR61" s="12"/>
      <c r="AS61" s="12"/>
    </row>
    <row r="62" spans="2:45" ht="22" customHeight="1">
      <c r="B62" s="19">
        <f>B59+1</f>
        <v>49</v>
      </c>
      <c r="C62" s="4" t="s">
        <v>30</v>
      </c>
      <c r="D62" s="98">
        <v>6.6</v>
      </c>
      <c r="E62" s="70">
        <v>4</v>
      </c>
      <c r="F62" s="97">
        <v>3.25</v>
      </c>
      <c r="G62" s="97">
        <v>5.75</v>
      </c>
      <c r="H62" s="98">
        <v>6.2</v>
      </c>
      <c r="I62" s="81">
        <f t="shared" ref="I62:I73" si="21">IF(COUNTA(D62:H62)=0, "", IF(COUNT(D62:H62)&lt;&gt;COUNTA(D62:H62), "NP", SUMPRODUCT(D62:H62, D$4:H$4)/100))</f>
        <v>5.42</v>
      </c>
      <c r="J62" s="60" t="s">
        <v>29</v>
      </c>
      <c r="K62" s="35" cm="1">
        <f t="array" ref="K62">IF(COUNTIF(D62:H62,"NP")&gt;0,"NP",IF(COUNTIF(D62:H62,"Reconocimiento Créditos")&gt;0,"Reconocimiento Créditos",IF(COUNTIF(D62:H62,"Aprobado en otro curso")&gt;0,"Aprobado en otro curso",IF(COUNTIF(D62:H62,"")&gt;0,"Faltan Calificaciones",AVERAGE((D62:H62-$D$128:$H$128)/$D$130:$H$130)))))</f>
        <v>-6.7692901759779475E-2</v>
      </c>
      <c r="L62" s="40">
        <f t="shared" si="1"/>
        <v>0.434</v>
      </c>
      <c r="M62" s="43">
        <f t="shared" si="2"/>
        <v>5.6000000000000005</v>
      </c>
      <c r="N62" s="35" cm="1">
        <f t="array" ref="N62">IF(COUNTIF(D62:H62,"NP")&gt;0,"NP",IF(COUNTIF(D62:H62,"Reconocimiento Créditos")&gt;0,"Reconocimiento Créditos",IF(COUNTIF(D62:H62,"Aprobado en otro curso")&gt;0,"Aprobado en otro curso",IF(COUNTIF(D62:H62,"")&gt;0,"Faltan Calificaciones",AVERAGE((D62:H62-$D$128:$H$128)*($D$2:$H$2="EXAMEN")/($D$130:$H$130)*($D$2:$H$2="EXAMEN"))))))</f>
        <v>0.11159475205689171</v>
      </c>
      <c r="O62" s="40">
        <f t="shared" si="3"/>
        <v>0.59699999999999998</v>
      </c>
      <c r="P62" s="43">
        <f t="shared" si="4"/>
        <v>4.5</v>
      </c>
      <c r="Q62" s="35" cm="1">
        <f t="array" ref="Q62">IF(COUNTIF(D62:H62,"NP")&gt;0,"NP",IF(COUNTIF(D62:H62,"Reconocimiento Créditos")&gt;0,"Reconocimiento Créditos",IF(COUNTIF(D62:H62,"Aprobado en otro curso")&gt;0,"Aprobado en otro curso",IF(COUNTIF(D62:H62,"")&gt;0,"Faltan Calificaciones",AVERAGE((D62:H62-$D$128:$H$128)*($D$2:$H$2="Prueba Complementaria")/($D$130:$H$130)*($D$2:$H$2="Prueba Complementaria"))))))</f>
        <v>-0.17928765381667117</v>
      </c>
      <c r="R62" s="40">
        <f t="shared" si="5"/>
        <v>0.23899999999999999</v>
      </c>
      <c r="S62" s="42">
        <f t="shared" si="6"/>
        <v>5.16</v>
      </c>
      <c r="T62" s="43">
        <f t="shared" si="7"/>
        <v>-1.1000000000000005</v>
      </c>
      <c r="U62" s="40">
        <f t="shared" si="8"/>
        <v>-0.19642857142857151</v>
      </c>
      <c r="V62" s="40" t="str" cm="1">
        <f t="array" ref="V62">IF(COUNTIF(D62:H62,"NP")&gt;0,"NP",IF(COUNTIF(D62:H62,"Reconocimiento Créditos")&gt;0,"Reconocimiento Créditos",IF(COUNTIF(D62:H62,"Aprobado en otro curso")&gt;0,"Aprobado en otro curso",IF(COUNTBLANK(D62:H62)&gt;0,"Faltan Calificaciones",IF((SUMPRODUCT(($D$2:$H$2="EXAMEN")*((D62:H62-$D$128:$H$128)/$D$130:$H$130))/SUMPRODUCT(--($D$2:$H$2="EXAMEN")))-(SUMPRODUCT(($D$2:$H$2="PRUEBA COMPLEMENTARIA")*((D62:H62-$D$128:$H$128)/$D$130:$H$130))/SUMPRODUCT(--($D$2:$H$2="PRUEBA COMPLEMENTARIA")))&gt;0,"Exámenes","Actividades")))))</f>
        <v>Exámenes</v>
      </c>
      <c r="W62" s="35">
        <f t="shared" si="9"/>
        <v>1.0601032063572659E-2</v>
      </c>
      <c r="X62" s="35">
        <f t="shared" si="10"/>
        <v>1.3036103712382778</v>
      </c>
      <c r="Y62" s="71">
        <f t="shared" si="11"/>
        <v>0.39889219315282132</v>
      </c>
      <c r="Z62" s="35" cm="1">
        <f t="array" ref="Z62">IF(COUNTIF(D62:H62,"NP")&gt;0,"NP",IF(COUNTIF(D62:H62,"Reconocimiento Créditos")&gt;0,"Reconocimiento Créditos",IF(COUNTIF(D62:H62,"Aprobado en otro curso")&gt;0,"Aprobado en otro curso",IF(COUNTIF($D$2:$H$2,"Examen")&lt;2,"Faltan Calificaciones",SLOPE(_xlfn._xlws.FILTER(D62:H62,$D$2:$H$2="EXAMEN"),_xlfn.SEQUENCE(1,COUNTIF($D$2:$H$2,"EXAMEN"),1,1))))))</f>
        <v>-0.19999999999999973</v>
      </c>
      <c r="AA62" s="35">
        <f t="shared" si="12"/>
        <v>1.04</v>
      </c>
      <c r="AB62" s="35" t="str" cm="1">
        <f t="array" ref="AB62">IF(COUNTIF(D62:H62,"NP")&gt;0,"NP",IF(COUNTIF(D62:H62,"Reconocimiento Créditos")&gt;0,"Reconocimiento Créditos",IF(COUNTIF(D62:H62,"Aprobado en otro curso")&gt;0,"Aprobado en otro curso",IF(COUNTBLANK(D62:H62)=0,"No Procede",IF(COUNTBLANK(D62:H62)&gt;3,"No Procede",IF(100*(5-SUMPRODUCT(D62:H62,$D$4:$H$4)/100)/(100-SUMPRODUCT((D62:H62&lt;&gt;"")*($D$4:$H$4)))&gt;10,"Necesita más de 10",IF(100*(5-SUMPRODUCT(D62:H62,$D$4:$H$4)/100)/(100-SUMPRODUCT((D62:H62&lt;&gt;"")*($D$4:$H$4)))&lt;0,"va bien encaminado",100*(5-SUMPRODUCT(D62:H62,$D$4:$H$4)/100)/(100-SUMPRODUCT((D62:H62&lt;&gt;"")*($D$4:$H$4))))))))))</f>
        <v>No Procede</v>
      </c>
    </row>
    <row r="63" spans="2:45" ht="22" customHeight="1">
      <c r="B63" s="19">
        <f>B62+1</f>
        <v>50</v>
      </c>
      <c r="C63" s="4" t="s">
        <v>30</v>
      </c>
      <c r="D63" s="98">
        <v>1.25</v>
      </c>
      <c r="E63" s="70">
        <v>2.25</v>
      </c>
      <c r="F63" s="97">
        <v>5</v>
      </c>
      <c r="G63" s="97">
        <v>5.15</v>
      </c>
      <c r="H63" s="98">
        <v>1.45</v>
      </c>
      <c r="I63" s="81">
        <f t="shared" si="21"/>
        <v>2.6274999999999999</v>
      </c>
      <c r="J63" s="60" t="s">
        <v>29</v>
      </c>
      <c r="K63" s="35" cm="1">
        <f t="array" ref="K63">IF(COUNTIF(D63:H63,"NP")&gt;0,"NP",IF(COUNTIF(D63:H63,"Reconocimiento Créditos")&gt;0,"Reconocimiento Créditos",IF(COUNTIF(D63:H63,"Aprobado en otro curso")&gt;0,"Aprobado en otro curso",IF(COUNTIF(D63:H63,"")&gt;0,"Faltan Calificaciones",AVERAGE((D63:H63-$D$128:$H$128)/$D$130:$H$130)))))</f>
        <v>-1.064045216163598</v>
      </c>
      <c r="L63" s="40">
        <f t="shared" si="1"/>
        <v>6.5000000000000002E-2</v>
      </c>
      <c r="M63" s="43">
        <f t="shared" si="2"/>
        <v>1.6500000000000001</v>
      </c>
      <c r="N63" s="35" cm="1">
        <f t="array" ref="N63">IF(COUNTIF(D63:H63,"NP")&gt;0,"NP",IF(COUNTIF(D63:H63,"Reconocimiento Créditos")&gt;0,"Reconocimiento Créditos",IF(COUNTIF(D63:H63,"Aprobado en otro curso")&gt;0,"Aprobado en otro curso",IF(COUNTIF(D63:H63,"")&gt;0,"Faltan Calificaciones",AVERAGE((D63:H63-$D$128:$H$128)*($D$2:$H$2="EXAMEN")/($D$130:$H$130)*($D$2:$H$2="EXAMEN"))))))</f>
        <v>-0.98712885682276796</v>
      </c>
      <c r="O63" s="40">
        <f t="shared" si="3"/>
        <v>0.01</v>
      </c>
      <c r="P63" s="43">
        <f t="shared" si="4"/>
        <v>5.0750000000000002</v>
      </c>
      <c r="Q63" s="35" cm="1">
        <f t="array" ref="Q63">IF(COUNTIF(D63:H63,"NP")&gt;0,"NP",IF(COUNTIF(D63:H63,"Reconocimiento Créditos")&gt;0,"Reconocimiento Créditos",IF(COUNTIF(D63:H63,"Aprobado en otro curso")&gt;0,"Aprobado en otro curso",IF(COUNTIF(D63:H63,"")&gt;0,"Faltan Calificaciones",AVERAGE((D63:H63-$D$128:$H$128)*($D$2:$H$2="Prueba Complementaria")/($D$130:$H$130)*($D$2:$H$2="Prueba Complementaria"))))))</f>
        <v>-7.6916359340830132E-2</v>
      </c>
      <c r="R63" s="40">
        <f t="shared" si="5"/>
        <v>0.36899999999999999</v>
      </c>
      <c r="S63" s="42">
        <f t="shared" si="6"/>
        <v>3.02</v>
      </c>
      <c r="T63" s="43">
        <f t="shared" si="7"/>
        <v>3.4249999999999998</v>
      </c>
      <c r="U63" s="40">
        <f t="shared" si="8"/>
        <v>2.0757575757575757</v>
      </c>
      <c r="V63" s="40" t="str" cm="1">
        <f t="array" ref="V63">IF(COUNTIF(D63:H63,"NP")&gt;0,"NP",IF(COUNTIF(D63:H63,"Reconocimiento Créditos")&gt;0,"Reconocimiento Créditos",IF(COUNTIF(D63:H63,"Aprobado en otro curso")&gt;0,"Aprobado en otro curso",IF(COUNTBLANK(D63:H63)&gt;0,"Faltan Calificaciones",IF((SUMPRODUCT(($D$2:$H$2="EXAMEN")*((D63:H63-$D$128:$H$128)/$D$130:$H$130))/SUMPRODUCT(--($D$2:$H$2="EXAMEN")))-(SUMPRODUCT(($D$2:$H$2="PRUEBA COMPLEMENTARIA")*((D63:H63-$D$128:$H$128)/$D$130:$H$130))/SUMPRODUCT(--($D$2:$H$2="PRUEBA COMPLEMENTARIA")))&gt;0,"Exámenes","Actividades")))))</f>
        <v>Actividades</v>
      </c>
      <c r="W63" s="35">
        <f t="shared" si="9"/>
        <v>0.10333129876323655</v>
      </c>
      <c r="X63" s="35">
        <f t="shared" si="10"/>
        <v>1.7116074316267742</v>
      </c>
      <c r="Y63" s="71">
        <f t="shared" si="11"/>
        <v>-0.45863320379130851</v>
      </c>
      <c r="Z63" s="35" cm="1">
        <f t="array" ref="Z63">IF(COUNTIF(D63:H63,"NP")&gt;0,"NP",IF(COUNTIF(D63:H63,"Reconocimiento Créditos")&gt;0,"Reconocimiento Créditos",IF(COUNTIF(D63:H63,"Aprobado en otro curso")&gt;0,"Aprobado en otro curso",IF(COUNTIF($D$2:$H$2,"Examen")&lt;2,"Faltan Calificaciones",SLOPE(_xlfn._xlws.FILTER(D63:H63,$D$2:$H$2="EXAMEN"),_xlfn.SEQUENCE(1,COUNTIF($D$2:$H$2,"EXAMEN"),1,1))))))</f>
        <v>9.9999999999999978E-2</v>
      </c>
      <c r="AA63" s="35">
        <f t="shared" si="12"/>
        <v>-1.57</v>
      </c>
      <c r="AB63" s="35" t="str" cm="1">
        <f t="array" ref="AB63">IF(COUNTIF(D63:H63,"NP")&gt;0,"NP",IF(COUNTIF(D63:H63,"Reconocimiento Créditos")&gt;0,"Reconocimiento Créditos",IF(COUNTIF(D63:H63,"Aprobado en otro curso")&gt;0,"Aprobado en otro curso",IF(COUNTBLANK(D63:H63)=0,"No Procede",IF(COUNTBLANK(D63:H63)&gt;3,"No Procede",IF(100*(5-SUMPRODUCT(D63:H63,$D$4:$H$4)/100)/(100-SUMPRODUCT((D63:H63&lt;&gt;"")*($D$4:$H$4)))&gt;10,"Necesita más de 10",IF(100*(5-SUMPRODUCT(D63:H63,$D$4:$H$4)/100)/(100-SUMPRODUCT((D63:H63&lt;&gt;"")*($D$4:$H$4)))&lt;0,"va bien encaminado",100*(5-SUMPRODUCT(D63:H63,$D$4:$H$4)/100)/(100-SUMPRODUCT((D63:H63&lt;&gt;"")*($D$4:$H$4))))))))))</f>
        <v>No Procede</v>
      </c>
    </row>
    <row r="64" spans="2:45" ht="22" customHeight="1">
      <c r="B64" s="19">
        <f t="shared" ref="B64:B74" si="22">B63+1</f>
        <v>51</v>
      </c>
      <c r="C64" s="4" t="s">
        <v>30</v>
      </c>
      <c r="D64" s="98">
        <v>3.25</v>
      </c>
      <c r="E64" s="70">
        <v>7.35</v>
      </c>
      <c r="F64" s="97">
        <v>5</v>
      </c>
      <c r="G64" s="97">
        <v>7.9</v>
      </c>
      <c r="H64" s="98">
        <v>6.05</v>
      </c>
      <c r="I64" s="81">
        <f t="shared" si="21"/>
        <v>5.9450000000000003</v>
      </c>
      <c r="J64" s="60" t="s">
        <v>29</v>
      </c>
      <c r="K64" s="35" cm="1">
        <f t="array" ref="K64">IF(COUNTIF(D64:H64,"NP")&gt;0,"NP",IF(COUNTIF(D64:H64,"Reconocimiento Créditos")&gt;0,"Reconocimiento Créditos",IF(COUNTIF(D64:H64,"Aprobado en otro curso")&gt;0,"Aprobado en otro curso",IF(COUNTIF(D64:H64,"")&gt;0,"Faltan Calificaciones",AVERAGE((D64:H64-$D$128:$H$128)/$D$130:$H$130)))))</f>
        <v>0.23266387728379714</v>
      </c>
      <c r="L64" s="40">
        <f t="shared" si="1"/>
        <v>0.60799999999999998</v>
      </c>
      <c r="M64" s="43">
        <f t="shared" si="2"/>
        <v>5.55</v>
      </c>
      <c r="N64" s="35" cm="1">
        <f t="array" ref="N64">IF(COUNTIF(D64:H64,"NP")&gt;0,"NP",IF(COUNTIF(D64:H64,"Reconocimiento Créditos")&gt;0,"Reconocimiento Créditos",IF(COUNTIF(D64:H64,"Aprobado en otro curso")&gt;0,"Aprobado en otro curso",IF(COUNTIF(D64:H64,"")&gt;0,"Faltan Calificaciones",AVERAGE((D64:H64-$D$128:$H$128)*($D$2:$H$2="EXAMEN")/($D$130:$H$130)*($D$2:$H$2="EXAMEN"))))))</f>
        <v>0.10733942813225431</v>
      </c>
      <c r="O64" s="40">
        <f t="shared" si="3"/>
        <v>0.57599999999999996</v>
      </c>
      <c r="P64" s="43">
        <f t="shared" si="4"/>
        <v>6.45</v>
      </c>
      <c r="Q64" s="35" cm="1">
        <f t="array" ref="Q64">IF(COUNTIF(D64:H64,"NP")&gt;0,"NP",IF(COUNTIF(D64:H64,"Reconocimiento Créditos")&gt;0,"Reconocimiento Créditos",IF(COUNTIF(D64:H64,"Aprobado en otro curso")&gt;0,"Aprobado en otro curso",IF(COUNTIF(D64:H64,"")&gt;0,"Faltan Calificaciones",AVERAGE((D64:H64-$D$128:$H$128)*($D$2:$H$2="Prueba Complementaria")/($D$130:$H$130)*($D$2:$H$2="Prueba Complementaria"))))))</f>
        <v>0.12532444915154278</v>
      </c>
      <c r="R64" s="40">
        <f t="shared" si="5"/>
        <v>0.63</v>
      </c>
      <c r="S64" s="42">
        <f t="shared" si="6"/>
        <v>5.91</v>
      </c>
      <c r="T64" s="43">
        <f t="shared" si="7"/>
        <v>0.90000000000000036</v>
      </c>
      <c r="U64" s="40">
        <f t="shared" si="8"/>
        <v>0.16216216216216223</v>
      </c>
      <c r="V64" s="40" t="str" cm="1">
        <f t="array" ref="V64">IF(COUNTIF(D64:H64,"NP")&gt;0,"NP",IF(COUNTIF(D64:H64,"Reconocimiento Créditos")&gt;0,"Reconocimiento Créditos",IF(COUNTIF(D64:H64,"Aprobado en otro curso")&gt;0,"Aprobado en otro curso",IF(COUNTBLANK(D64:H64)&gt;0,"Faltan Calificaciones",IF((SUMPRODUCT(($D$2:$H$2="EXAMEN")*((D64:H64-$D$128:$H$128)/$D$130:$H$130))/SUMPRODUCT(--($D$2:$H$2="EXAMEN")))-(SUMPRODUCT(($D$2:$H$2="PRUEBA COMPLEMENTARIA")*((D64:H64-$D$128:$H$128)/$D$130:$H$130))/SUMPRODUCT(--($D$2:$H$2="PRUEBA COMPLEMENTARIA")))&gt;0,"Exámenes","Actividades")))))</f>
        <v>Actividades</v>
      </c>
      <c r="W64" s="35">
        <f t="shared" si="9"/>
        <v>1.0159775528044691E-2</v>
      </c>
      <c r="X64" s="35">
        <f t="shared" si="10"/>
        <v>1.6707483353276156</v>
      </c>
      <c r="Y64" s="71">
        <f t="shared" si="11"/>
        <v>4.1897393233837142E-2</v>
      </c>
      <c r="Z64" s="35" cm="1">
        <f t="array" ref="Z64">IF(COUNTIF(D64:H64,"NP")&gt;0,"NP",IF(COUNTIF(D64:H64,"Reconocimiento Créditos")&gt;0,"Reconocimiento Créditos",IF(COUNTIF(D64:H64,"Aprobado en otro curso")&gt;0,"Aprobado en otro curso",IF(COUNTIF($D$2:$H$2,"Examen")&lt;2,"Faltan Calificaciones",SLOPE(_xlfn._xlws.FILTER(D64:H64,$D$2:$H$2="EXAMEN"),_xlfn.SEQUENCE(1,COUNTIF($D$2:$H$2,"EXAMEN"),1,1))))))</f>
        <v>1.4</v>
      </c>
      <c r="AA64" s="35">
        <f t="shared" si="12"/>
        <v>0.13999999999999968</v>
      </c>
      <c r="AB64" s="35" t="str" cm="1">
        <f t="array" ref="AB64">IF(COUNTIF(D64:H64,"NP")&gt;0,"NP",IF(COUNTIF(D64:H64,"Reconocimiento Créditos")&gt;0,"Reconocimiento Créditos",IF(COUNTIF(D64:H64,"Aprobado en otro curso")&gt;0,"Aprobado en otro curso",IF(COUNTBLANK(D64:H64)=0,"No Procede",IF(COUNTBLANK(D64:H64)&gt;3,"No Procede",IF(100*(5-SUMPRODUCT(D64:H64,$D$4:$H$4)/100)/(100-SUMPRODUCT((D64:H64&lt;&gt;"")*($D$4:$H$4)))&gt;10,"Necesita más de 10",IF(100*(5-SUMPRODUCT(D64:H64,$D$4:$H$4)/100)/(100-SUMPRODUCT((D64:H64&lt;&gt;"")*($D$4:$H$4)))&lt;0,"va bien encaminado",100*(5-SUMPRODUCT(D64:H64,$D$4:$H$4)/100)/(100-SUMPRODUCT((D64:H64&lt;&gt;"")*($D$4:$H$4))))))))))</f>
        <v>No Procede</v>
      </c>
    </row>
    <row r="65" spans="2:45" ht="22" customHeight="1">
      <c r="B65" s="19">
        <f t="shared" si="22"/>
        <v>52</v>
      </c>
      <c r="C65" s="4" t="s">
        <v>30</v>
      </c>
      <c r="D65" s="98">
        <v>3.25</v>
      </c>
      <c r="E65" s="70">
        <v>6.25</v>
      </c>
      <c r="F65" s="97">
        <v>4.75</v>
      </c>
      <c r="G65" s="97">
        <v>8.25</v>
      </c>
      <c r="H65" s="98">
        <v>6.9</v>
      </c>
      <c r="I65" s="81">
        <f t="shared" si="21"/>
        <v>6.1349999999999998</v>
      </c>
      <c r="J65" s="60" t="s">
        <v>29</v>
      </c>
      <c r="K65" s="35" cm="1">
        <f t="array" ref="K65">IF(COUNTIF(D65:H65,"NP")&gt;0,"NP",IF(COUNTIF(D65:H65,"Reconocimiento Créditos")&gt;0,"Reconocimiento Créditos",IF(COUNTIF(D65:H65,"Aprobado en otro curso")&gt;0,"Aprobado en otro curso",IF(COUNTIF(D65:H65,"")&gt;0,"Faltan Calificaciones",AVERAGE((D65:H65-$D$128:$H$128)/$D$130:$H$130)))))</f>
        <v>0.20937770930014493</v>
      </c>
      <c r="L65" s="40">
        <f t="shared" si="1"/>
        <v>0.70599999999999996</v>
      </c>
      <c r="M65" s="43">
        <f t="shared" si="2"/>
        <v>5.4666666666666659</v>
      </c>
      <c r="N65" s="35" cm="1">
        <f t="array" ref="N65">IF(COUNTIF(D65:H65,"NP")&gt;0,"NP",IF(COUNTIF(D65:H65,"Reconocimiento Créditos")&gt;0,"Reconocimiento Créditos",IF(COUNTIF(D65:H65,"Aprobado en otro curso")&gt;0,"Aprobado en otro curso",IF(COUNTIF(D65:H65,"")&gt;0,"Faltan Calificaciones",AVERAGE((D65:H65-$D$128:$H$128)*($D$2:$H$2="EXAMEN")/($D$130:$H$130)*($D$2:$H$2="EXAMEN"))))))</f>
        <v>7.9241601140689052E-2</v>
      </c>
      <c r="O65" s="40">
        <f t="shared" si="3"/>
        <v>0.56499999999999995</v>
      </c>
      <c r="P65" s="43">
        <f t="shared" si="4"/>
        <v>6.5</v>
      </c>
      <c r="Q65" s="35" cm="1">
        <f t="array" ref="Q65">IF(COUNTIF(D65:H65,"NP")&gt;0,"NP",IF(COUNTIF(D65:H65,"Reconocimiento Créditos")&gt;0,"Reconocimiento Créditos",IF(COUNTIF(D65:H65,"Aprobado en otro curso")&gt;0,"Aprobado en otro curso",IF(COUNTIF(D65:H65,"")&gt;0,"Faltan Calificaciones",AVERAGE((D65:H65-$D$128:$H$128)*($D$2:$H$2="Prueba Complementaria")/($D$130:$H$130)*($D$2:$H$2="Prueba Complementaria"))))))</f>
        <v>0.13013610815945592</v>
      </c>
      <c r="R65" s="40">
        <f t="shared" si="5"/>
        <v>0.64100000000000001</v>
      </c>
      <c r="S65" s="42">
        <f t="shared" si="6"/>
        <v>5.88</v>
      </c>
      <c r="T65" s="43">
        <f t="shared" si="7"/>
        <v>1.0333333333333341</v>
      </c>
      <c r="U65" s="40">
        <f t="shared" si="8"/>
        <v>0.18902439024390261</v>
      </c>
      <c r="V65" s="40" t="str" cm="1">
        <f t="array" ref="V65">IF(COUNTIF(D65:H65,"NP")&gt;0,"NP",IF(COUNTIF(D65:H65,"Reconocimiento Créditos")&gt;0,"Reconocimiento Créditos",IF(COUNTIF(D65:H65,"Aprobado en otro curso")&gt;0,"Aprobado en otro curso",IF(COUNTBLANK(D65:H65)&gt;0,"Faltan Calificaciones",IF((SUMPRODUCT(($D$2:$H$2="EXAMEN")*((D65:H65-$D$128:$H$128)/$D$130:$H$130))/SUMPRODUCT(--($D$2:$H$2="EXAMEN")))-(SUMPRODUCT(($D$2:$H$2="PRUEBA COMPLEMENTARIA")*((D65:H65-$D$128:$H$128)/$D$130:$H$130))/SUMPRODUCT(--($D$2:$H$2="PRUEBA COMPLEMENTARIA")))&gt;0,"Exámenes","Actividades")))))</f>
        <v>Actividades</v>
      </c>
      <c r="W65" s="35">
        <f t="shared" si="9"/>
        <v>7.2461665963301043E-3</v>
      </c>
      <c r="X65" s="35">
        <f t="shared" si="10"/>
        <v>1.7313578486263337</v>
      </c>
      <c r="Y65" s="71">
        <f t="shared" si="11"/>
        <v>0.29456648745644159</v>
      </c>
      <c r="Z65" s="35" cm="1">
        <f t="array" ref="Z65">IF(COUNTIF(D65:H65,"NP")&gt;0,"NP",IF(COUNTIF(D65:H65,"Reconocimiento Créditos")&gt;0,"Reconocimiento Créditos",IF(COUNTIF(D65:H65,"Aprobado en otro curso")&gt;0,"Aprobado en otro curso",IF(COUNTIF($D$2:$H$2,"Examen")&lt;2,"Faltan Calificaciones",SLOPE(_xlfn._xlws.FILTER(D65:H65,$D$2:$H$2="EXAMEN"),_xlfn.SEQUENCE(1,COUNTIF($D$2:$H$2,"EXAMEN"),1,1))))))</f>
        <v>1.8250000000000002</v>
      </c>
      <c r="AA65" s="35">
        <f t="shared" si="12"/>
        <v>1.0200000000000005</v>
      </c>
      <c r="AB65" s="35" t="str" cm="1">
        <f t="array" ref="AB65">IF(COUNTIF(D65:H65,"NP")&gt;0,"NP",IF(COUNTIF(D65:H65,"Reconocimiento Créditos")&gt;0,"Reconocimiento Créditos",IF(COUNTIF(D65:H65,"Aprobado en otro curso")&gt;0,"Aprobado en otro curso",IF(COUNTBLANK(D65:H65)=0,"No Procede",IF(COUNTBLANK(D65:H65)&gt;3,"No Procede",IF(100*(5-SUMPRODUCT(D65:H65,$D$4:$H$4)/100)/(100-SUMPRODUCT((D65:H65&lt;&gt;"")*($D$4:$H$4)))&gt;10,"Necesita más de 10",IF(100*(5-SUMPRODUCT(D65:H65,$D$4:$H$4)/100)/(100-SUMPRODUCT((D65:H65&lt;&gt;"")*($D$4:$H$4)))&lt;0,"va bien encaminado",100*(5-SUMPRODUCT(D65:H65,$D$4:$H$4)/100)/(100-SUMPRODUCT((D65:H65&lt;&gt;"")*($D$4:$H$4))))))))))</f>
        <v>No Procede</v>
      </c>
      <c r="AI65" s="63"/>
      <c r="AJ65" s="63"/>
      <c r="AK65" s="63"/>
      <c r="AL65" s="63"/>
      <c r="AM65" s="63"/>
      <c r="AN65" s="63"/>
      <c r="AO65" s="63"/>
      <c r="AP65" s="63"/>
      <c r="AQ65" s="63"/>
      <c r="AR65" s="63"/>
      <c r="AS65" s="63"/>
    </row>
    <row r="66" spans="2:45" ht="22" customHeight="1">
      <c r="B66" s="19">
        <f t="shared" si="22"/>
        <v>53</v>
      </c>
      <c r="C66" s="4" t="s">
        <v>30</v>
      </c>
      <c r="D66" s="98">
        <v>4.55</v>
      </c>
      <c r="E66" s="70">
        <v>5.2</v>
      </c>
      <c r="F66" s="97">
        <v>2.5</v>
      </c>
      <c r="G66" s="97">
        <v>8</v>
      </c>
      <c r="H66" s="97">
        <v>6.5</v>
      </c>
      <c r="I66" s="81">
        <f t="shared" si="21"/>
        <v>5.6375000000000002</v>
      </c>
      <c r="J66" s="60" t="s">
        <v>29</v>
      </c>
      <c r="K66" s="35" cm="1">
        <f t="array" ref="K66">IF(COUNTIF(D66:H66,"NP")&gt;0,"NP",IF(COUNTIF(D66:H66,"Reconocimiento Créditos")&gt;0,"Reconocimiento Créditos",IF(COUNTIF(D66:H66,"Aprobado en otro curso")&gt;0,"Aprobado en otro curso",IF(COUNTIF(D66:H66,"")&gt;0,"Faltan Calificaciones",AVERAGE((D66:H66-$D$128:$H$128)/$D$130:$H$130)))))</f>
        <v>-1.3463600842164669E-2</v>
      </c>
      <c r="L66" s="40">
        <f t="shared" si="1"/>
        <v>0.5</v>
      </c>
      <c r="M66" s="43">
        <f t="shared" si="2"/>
        <v>5.416666666666667</v>
      </c>
      <c r="N66" s="35" cm="1">
        <f t="array" ref="N66">IF(COUNTIF(D66:H66,"NP")&gt;0,"NP",IF(COUNTIF(D66:H66,"Reconocimiento Créditos")&gt;0,"Reconocimiento Créditos",IF(COUNTIF(D66:H66,"Aprobado en otro curso")&gt;0,"Aprobado en otro curso",IF(COUNTIF(D66:H66,"")&gt;0,"Faltan Calificaciones",AVERAGE((D66:H66-$D$128:$H$128)*($D$2:$H$2="EXAMEN")/($D$130:$H$130)*($D$2:$H$2="EXAMEN"))))))</f>
        <v>6.3138541335913581E-2</v>
      </c>
      <c r="O66" s="40">
        <f t="shared" si="3"/>
        <v>0.54300000000000004</v>
      </c>
      <c r="P66" s="43">
        <f t="shared" si="4"/>
        <v>5.25</v>
      </c>
      <c r="Q66" s="35" cm="1">
        <f t="array" ref="Q66">IF(COUNTIF(D66:H66,"NP")&gt;0,"NP",IF(COUNTIF(D66:H66,"Reconocimiento Créditos")&gt;0,"Reconocimiento Créditos",IF(COUNTIF(D66:H66,"Aprobado en otro curso")&gt;0,"Aprobado en otro curso",IF(COUNTIF(D66:H66,"")&gt;0,"Faltan Calificaciones",AVERAGE((D66:H66-$D$128:$H$128)*($D$2:$H$2="Prueba Complementaria")/($D$130:$H$130)*($D$2:$H$2="Prueba Complementaria"))))))</f>
        <v>-7.6602142178078259E-2</v>
      </c>
      <c r="R66" s="40">
        <f t="shared" si="5"/>
        <v>0.39100000000000001</v>
      </c>
      <c r="S66" s="42">
        <f t="shared" si="6"/>
        <v>5.35</v>
      </c>
      <c r="T66" s="43">
        <f t="shared" si="7"/>
        <v>-0.16666666666666696</v>
      </c>
      <c r="U66" s="40">
        <f t="shared" si="8"/>
        <v>-3.0769230769230823E-2</v>
      </c>
      <c r="V66" s="40" t="str" cm="1">
        <f t="array" ref="V66">IF(COUNTIF(D66:H66,"NP")&gt;0,"NP",IF(COUNTIF(D66:H66,"Reconocimiento Créditos")&gt;0,"Reconocimiento Créditos",IF(COUNTIF(D66:H66,"Aprobado en otro curso")&gt;0,"Aprobado en otro curso",IF(COUNTBLANK(D66:H66)&gt;0,"Faltan Calificaciones",IF((SUMPRODUCT(($D$2:$H$2="EXAMEN")*((D66:H66-$D$128:$H$128)/$D$130:$H$130))/SUMPRODUCT(--($D$2:$H$2="EXAMEN")))-(SUMPRODUCT(($D$2:$H$2="PRUEBA COMPLEMENTARIA")*((D66:H66-$D$128:$H$128)/$D$130:$H$130))/SUMPRODUCT(--($D$2:$H$2="PRUEBA COMPLEMENTARIA")))&gt;0,"Exámenes","Actividades")))))</f>
        <v>Exámenes</v>
      </c>
      <c r="W66" s="35">
        <f t="shared" si="9"/>
        <v>5.5763570808393722E-3</v>
      </c>
      <c r="X66" s="35">
        <f t="shared" si="10"/>
        <v>1.8509457042279776</v>
      </c>
      <c r="Y66" s="71">
        <f t="shared" si="11"/>
        <v>0.3106520081526814</v>
      </c>
      <c r="Z66" s="35" cm="1">
        <f t="array" ref="Z66">IF(COUNTIF(D66:H66,"NP")&gt;0,"NP",IF(COUNTIF(D66:H66,"Reconocimiento Créditos")&gt;0,"Reconocimiento Créditos",IF(COUNTIF(D66:H66,"Aprobado en otro curso")&gt;0,"Aprobado en otro curso",IF(COUNTIF($D$2:$H$2,"Examen")&lt;2,"Faltan Calificaciones",SLOPE(_xlfn._xlws.FILTER(D66:H66,$D$2:$H$2="EXAMEN"),_xlfn.SEQUENCE(1,COUNTIF($D$2:$H$2,"EXAMEN"),1,1))))))</f>
        <v>0.97500000000000009</v>
      </c>
      <c r="AA66" s="35">
        <f t="shared" si="12"/>
        <v>1.1500000000000004</v>
      </c>
      <c r="AB66" s="35" t="str" cm="1">
        <f t="array" ref="AB66">IF(COUNTIF(D66:H66,"NP")&gt;0,"NP",IF(COUNTIF(D66:H66,"Reconocimiento Créditos")&gt;0,"Reconocimiento Créditos",IF(COUNTIF(D66:H66,"Aprobado en otro curso")&gt;0,"Aprobado en otro curso",IF(COUNTBLANK(D66:H66)=0,"No Procede",IF(COUNTBLANK(D66:H66)&gt;3,"No Procede",IF(100*(5-SUMPRODUCT(D66:H66,$D$4:$H$4)/100)/(100-SUMPRODUCT((D66:H66&lt;&gt;"")*($D$4:$H$4)))&gt;10,"Necesita más de 10",IF(100*(5-SUMPRODUCT(D66:H66,$D$4:$H$4)/100)/(100-SUMPRODUCT((D66:H66&lt;&gt;"")*($D$4:$H$4)))&lt;0,"va bien encaminado",100*(5-SUMPRODUCT(D66:H66,$D$4:$H$4)/100)/(100-SUMPRODUCT((D66:H66&lt;&gt;"")*($D$4:$H$4))))))))))</f>
        <v>No Procede</v>
      </c>
    </row>
    <row r="67" spans="2:45" ht="22" customHeight="1">
      <c r="B67" s="19">
        <f t="shared" si="22"/>
        <v>54</v>
      </c>
      <c r="C67" s="4" t="s">
        <v>30</v>
      </c>
      <c r="D67" s="98">
        <v>5.05</v>
      </c>
      <c r="E67" s="70">
        <v>5.7</v>
      </c>
      <c r="F67" s="97">
        <v>4.5</v>
      </c>
      <c r="G67" s="97">
        <v>9.6999999999999993</v>
      </c>
      <c r="H67" s="98">
        <v>7.5</v>
      </c>
      <c r="I67" s="81">
        <f t="shared" si="21"/>
        <v>6.7424999999999997</v>
      </c>
      <c r="J67" s="60" t="s">
        <v>29</v>
      </c>
      <c r="K67" s="35" cm="1">
        <f t="array" ref="K67">IF(COUNTIF(D67:H67,"NP")&gt;0,"NP",IF(COUNTIF(D67:H67,"Reconocimiento Créditos")&gt;0,"Reconocimiento Créditos",IF(COUNTIF(D67:H67,"Aprobado en otro curso")&gt;0,"Aprobado en otro curso",IF(COUNTIF(D67:H67,"")&gt;0,"Faltan Calificaciones",AVERAGE((D67:H67-$D$128:$H$128)/$D$130:$H$130)))))</f>
        <v>0.46459254897954227</v>
      </c>
      <c r="L67" s="40">
        <f t="shared" si="1"/>
        <v>0.80400000000000005</v>
      </c>
      <c r="M67" s="43">
        <f t="shared" si="2"/>
        <v>6.083333333333333</v>
      </c>
      <c r="N67" s="35" cm="1">
        <f t="array" ref="N67">IF(COUNTIF(D67:H67,"NP")&gt;0,"NP",IF(COUNTIF(D67:H67,"Reconocimiento Créditos")&gt;0,"Reconocimiento Créditos",IF(COUNTIF(D67:H67,"Aprobado en otro curso")&gt;0,"Aprobado en otro curso",IF(COUNTIF(D67:H67,"")&gt;0,"Faltan Calificaciones",AVERAGE((D67:H67-$D$128:$H$128)*($D$2:$H$2="EXAMEN")/($D$130:$H$130)*($D$2:$H$2="EXAMEN"))))))</f>
        <v>0.24874845841522414</v>
      </c>
      <c r="O67" s="40">
        <f t="shared" si="3"/>
        <v>0.72799999999999998</v>
      </c>
      <c r="P67" s="43">
        <f t="shared" si="4"/>
        <v>7.1</v>
      </c>
      <c r="Q67" s="35" cm="1">
        <f t="array" ref="Q67">IF(COUNTIF(D67:H67,"NP")&gt;0,"NP",IF(COUNTIF(D67:H67,"Reconocimiento Créditos")&gt;0,"Reconocimiento Créditos",IF(COUNTIF(D67:H67,"Aprobado en otro curso")&gt;0,"Aprobado en otro curso",IF(COUNTIF(D67:H67,"")&gt;0,"Faltan Calificaciones",AVERAGE((D67:H67-$D$128:$H$128)*($D$2:$H$2="Prueba Complementaria")/($D$130:$H$130)*($D$2:$H$2="Prueba Complementaria"))))))</f>
        <v>0.21584409056431811</v>
      </c>
      <c r="R67" s="40">
        <f t="shared" si="5"/>
        <v>0.72799999999999998</v>
      </c>
      <c r="S67" s="42">
        <f t="shared" si="6"/>
        <v>6.49</v>
      </c>
      <c r="T67" s="43">
        <f t="shared" si="7"/>
        <v>1.0166666666666666</v>
      </c>
      <c r="U67" s="40">
        <f t="shared" si="8"/>
        <v>0.16712328767123288</v>
      </c>
      <c r="V67" s="40" t="str" cm="1">
        <f t="array" ref="V67">IF(COUNTIF(D67:H67,"NP")&gt;0,"NP",IF(COUNTIF(D67:H67,"Reconocimiento Créditos")&gt;0,"Reconocimiento Créditos",IF(COUNTIF(D67:H67,"Aprobado en otro curso")&gt;0,"Aprobado en otro curso",IF(COUNTBLANK(D67:H67)&gt;0,"Faltan Calificaciones",IF((SUMPRODUCT(($D$2:$H$2="EXAMEN")*((D67:H67-$D$128:$H$128)/$D$130:$H$130))/SUMPRODUCT(--($D$2:$H$2="EXAMEN")))-(SUMPRODUCT(($D$2:$H$2="PRUEBA COMPLEMENTARIA")*((D67:H67-$D$128:$H$128)/$D$130:$H$130))/SUMPRODUCT(--($D$2:$H$2="PRUEBA COMPLEMENTARIA")))&gt;0,"Exámenes","Actividades")))))</f>
        <v>Actividades</v>
      </c>
      <c r="W67" s="35">
        <f t="shared" si="9"/>
        <v>2.482320888825585E-2</v>
      </c>
      <c r="X67" s="35">
        <f t="shared" si="10"/>
        <v>1.8964176755134889</v>
      </c>
      <c r="Y67" s="71">
        <f t="shared" si="11"/>
        <v>0.26629154880834</v>
      </c>
      <c r="Z67" s="35" cm="1">
        <f t="array" ref="Z67">IF(COUNTIF(D67:H67,"NP")&gt;0,"NP",IF(COUNTIF(D67:H67,"Reconocimiento Créditos")&gt;0,"Reconocimiento Créditos",IF(COUNTIF(D67:H67,"Aprobado en otro curso")&gt;0,"Aprobado en otro curso",IF(COUNTIF($D$2:$H$2,"Examen")&lt;2,"Faltan Calificaciones",SLOPE(_xlfn._xlws.FILTER(D67:H67,$D$2:$H$2="EXAMEN"),_xlfn.SEQUENCE(1,COUNTIF($D$2:$H$2,"EXAMEN"),1,1))))))</f>
        <v>1.2250000000000001</v>
      </c>
      <c r="AA67" s="35">
        <f t="shared" si="12"/>
        <v>1.0099999999999998</v>
      </c>
      <c r="AB67" s="35" t="str" cm="1">
        <f t="array" ref="AB67">IF(COUNTIF(D67:H67,"NP")&gt;0,"NP",IF(COUNTIF(D67:H67,"Reconocimiento Créditos")&gt;0,"Reconocimiento Créditos",IF(COUNTIF(D67:H67,"Aprobado en otro curso")&gt;0,"Aprobado en otro curso",IF(COUNTBLANK(D67:H67)=0,"No Procede",IF(COUNTBLANK(D67:H67)&gt;3,"No Procede",IF(100*(5-SUMPRODUCT(D67:H67,$D$4:$H$4)/100)/(100-SUMPRODUCT((D67:H67&lt;&gt;"")*($D$4:$H$4)))&gt;10,"Necesita más de 10",IF(100*(5-SUMPRODUCT(D67:H67,$D$4:$H$4)/100)/(100-SUMPRODUCT((D67:H67&lt;&gt;"")*($D$4:$H$4)))&lt;0,"va bien encaminado",100*(5-SUMPRODUCT(D67:H67,$D$4:$H$4)/100)/(100-SUMPRODUCT((D67:H67&lt;&gt;"")*($D$4:$H$4))))))))))</f>
        <v>No Procede</v>
      </c>
    </row>
    <row r="68" spans="2:45" ht="22" customHeight="1">
      <c r="B68" s="19">
        <f t="shared" si="22"/>
        <v>55</v>
      </c>
      <c r="C68" s="4" t="s">
        <v>30</v>
      </c>
      <c r="D68" s="98">
        <v>3</v>
      </c>
      <c r="E68" s="99" t="s">
        <v>16</v>
      </c>
      <c r="F68" s="99" t="s">
        <v>16</v>
      </c>
      <c r="G68" s="99" t="s">
        <v>16</v>
      </c>
      <c r="H68" s="98">
        <v>0.95</v>
      </c>
      <c r="I68" s="81" t="str">
        <f t="shared" si="21"/>
        <v>NP</v>
      </c>
      <c r="J68" s="60" t="s">
        <v>29</v>
      </c>
      <c r="K68" s="35" t="str" cm="1">
        <f t="array" ref="K68">IF(COUNTIF(D68:H68,"NP")&gt;0,"NP",IF(COUNTIF(D68:H68,"Reconocimiento Créditos")&gt;0,"Reconocimiento Créditos",IF(COUNTIF(D68:H68,"Aprobado en otro curso")&gt;0,"Aprobado en otro curso",IF(COUNTIF(D68:H68,"")&gt;0,"Faltan Calificaciones",AVERAGE((D68:H68-$D$128:$H$128)/$D$130:$H$130)))))</f>
        <v>NP</v>
      </c>
      <c r="L68" s="40" t="str">
        <f t="shared" si="1"/>
        <v>NP</v>
      </c>
      <c r="M68" s="43" t="str">
        <f t="shared" si="2"/>
        <v>NP</v>
      </c>
      <c r="N68" s="35" t="str" cm="1">
        <f t="array" ref="N68">IF(COUNTIF(D68:H68,"NP")&gt;0,"NP",IF(COUNTIF(D68:H68,"Reconocimiento Créditos")&gt;0,"Reconocimiento Créditos",IF(COUNTIF(D68:H68,"Aprobado en otro curso")&gt;0,"Aprobado en otro curso",IF(COUNTIF(D68:H68,"")&gt;0,"Faltan Calificaciones",AVERAGE((D68:H68-$D$128:$H$128)*($D$2:$H$2="EXAMEN")/($D$130:$H$130)*($D$2:$H$2="EXAMEN"))))))</f>
        <v>NP</v>
      </c>
      <c r="O68" s="40" t="str">
        <f t="shared" si="3"/>
        <v>NP</v>
      </c>
      <c r="P68" s="43" t="str">
        <f t="shared" si="4"/>
        <v>NP</v>
      </c>
      <c r="Q68" s="35" t="str" cm="1">
        <f t="array" ref="Q68">IF(COUNTIF(D68:H68,"NP")&gt;0,"NP",IF(COUNTIF(D68:H68,"Reconocimiento Créditos")&gt;0,"Reconocimiento Créditos",IF(COUNTIF(D68:H68,"Aprobado en otro curso")&gt;0,"Aprobado en otro curso",IF(COUNTIF(D68:H68,"")&gt;0,"Faltan Calificaciones",AVERAGE((D68:H68-$D$128:$H$128)*($D$2:$H$2="Prueba Complementaria")/($D$130:$H$130)*($D$2:$H$2="Prueba Complementaria"))))))</f>
        <v>NP</v>
      </c>
      <c r="R68" s="40" t="str">
        <f t="shared" si="5"/>
        <v>NP</v>
      </c>
      <c r="S68" s="42" t="str">
        <f t="shared" si="6"/>
        <v>NP</v>
      </c>
      <c r="T68" s="43" t="str">
        <f t="shared" si="7"/>
        <v>NP</v>
      </c>
      <c r="U68" s="40" t="str">
        <f t="shared" si="8"/>
        <v>NP</v>
      </c>
      <c r="V68" s="40" t="str" cm="1">
        <f t="array" ref="V68">IF(COUNTIF(D68:H68,"NP")&gt;0,"NP",IF(COUNTIF(D68:H68,"Reconocimiento Créditos")&gt;0,"Reconocimiento Créditos",IF(COUNTIF(D68:H68,"Aprobado en otro curso")&gt;0,"Aprobado en otro curso",IF(COUNTBLANK(D68:H68)&gt;0,"Faltan Calificaciones",IF((SUMPRODUCT(($D$2:$H$2="EXAMEN")*((D68:H68-$D$128:$H$128)/$D$130:$H$130))/SUMPRODUCT(--($D$2:$H$2="EXAMEN")))-(SUMPRODUCT(($D$2:$H$2="PRUEBA COMPLEMENTARIA")*((D68:H68-$D$128:$H$128)/$D$130:$H$130))/SUMPRODUCT(--($D$2:$H$2="PRUEBA COMPLEMENTARIA")))&gt;0,"Exámenes","Actividades")))))</f>
        <v>NP</v>
      </c>
      <c r="W68" s="35" t="str">
        <f t="shared" si="9"/>
        <v>NP</v>
      </c>
      <c r="X68" s="35" t="str">
        <f t="shared" si="10"/>
        <v>NP</v>
      </c>
      <c r="Y68" s="71" t="str">
        <f t="shared" si="11"/>
        <v>NP</v>
      </c>
      <c r="Z68" s="35" t="str" cm="1">
        <f t="array" ref="Z68">IF(COUNTIF(D68:H68,"NP")&gt;0,"NP",IF(COUNTIF(D68:H68,"Reconocimiento Créditos")&gt;0,"Reconocimiento Créditos",IF(COUNTIF(D68:H68,"Aprobado en otro curso")&gt;0,"Aprobado en otro curso",IF(COUNTIF($D$2:$H$2,"Examen")&lt;2,"Faltan Calificaciones",SLOPE(_xlfn._xlws.FILTER(D68:H68,$D$2:$H$2="EXAMEN"),_xlfn.SEQUENCE(1,COUNTIF($D$2:$H$2,"EXAMEN"),1,1))))))</f>
        <v>NP</v>
      </c>
      <c r="AA68" s="35" t="str">
        <f t="shared" si="12"/>
        <v>NP</v>
      </c>
      <c r="AB68" s="35" t="str" cm="1">
        <f t="array" ref="AB68">IF(COUNTIF(D68:H68,"NP")&gt;0,"NP",IF(COUNTIF(D68:H68,"Reconocimiento Créditos")&gt;0,"Reconocimiento Créditos",IF(COUNTIF(D68:H68,"Aprobado en otro curso")&gt;0,"Aprobado en otro curso",IF(COUNTBLANK(D68:H68)=0,"No Procede",IF(COUNTBLANK(D68:H68)&gt;3,"No Procede",IF(100*(5-SUMPRODUCT(D68:H68,$D$4:$H$4)/100)/(100-SUMPRODUCT((D68:H68&lt;&gt;"")*($D$4:$H$4)))&gt;10,"Necesita más de 10",IF(100*(5-SUMPRODUCT(D68:H68,$D$4:$H$4)/100)/(100-SUMPRODUCT((D68:H68&lt;&gt;"")*($D$4:$H$4)))&lt;0,"va bien encaminado",100*(5-SUMPRODUCT(D68:H68,$D$4:$H$4)/100)/(100-SUMPRODUCT((D68:H68&lt;&gt;"")*($D$4:$H$4))))))))))</f>
        <v>NP</v>
      </c>
    </row>
    <row r="69" spans="2:45" ht="22" customHeight="1">
      <c r="B69" s="19">
        <f t="shared" si="22"/>
        <v>56</v>
      </c>
      <c r="C69" s="4" t="s">
        <v>30</v>
      </c>
      <c r="D69" s="98">
        <v>4.1500000000000004</v>
      </c>
      <c r="E69" s="70">
        <v>8.65</v>
      </c>
      <c r="F69" s="97">
        <v>3.5</v>
      </c>
      <c r="G69" s="97">
        <v>6.95</v>
      </c>
      <c r="H69" s="97">
        <v>6.55</v>
      </c>
      <c r="I69" s="81">
        <f t="shared" si="21"/>
        <v>6.1074999999999999</v>
      </c>
      <c r="J69" s="60" t="s">
        <v>29</v>
      </c>
      <c r="K69" s="35" cm="1">
        <f t="array" ref="K69">IF(COUNTIF(D69:H69,"NP")&gt;0,"NP",IF(COUNTIF(D69:H69,"Reconocimiento Créditos")&gt;0,"Reconocimiento Créditos",IF(COUNTIF(D69:H69,"Aprobado en otro curso")&gt;0,"Aprobado en otro curso",IF(COUNTIF(D69:H69,"")&gt;0,"Faltan Calificaciones",AVERAGE((D69:H69-$D$128:$H$128)/$D$130:$H$130)))))</f>
        <v>0.29128773283198611</v>
      </c>
      <c r="L69" s="40">
        <f t="shared" si="1"/>
        <v>0.66300000000000003</v>
      </c>
      <c r="M69" s="43">
        <f t="shared" si="2"/>
        <v>6.45</v>
      </c>
      <c r="N69" s="35" cm="1">
        <f t="array" ref="N69">IF(COUNTIF(D69:H69,"NP")&gt;0,"NP",IF(COUNTIF(D69:H69,"Reconocimiento Créditos")&gt;0,"Reconocimiento Créditos",IF(COUNTIF(D69:H69,"Aprobado en otro curso")&gt;0,"Aprobado en otro curso",IF(COUNTIF(D69:H69,"")&gt;0,"Faltan Calificaciones",AVERAGE((D69:H69-$D$128:$H$128)*($D$2:$H$2="EXAMEN")/($D$130:$H$130)*($D$2:$H$2="EXAMEN"))))))</f>
        <v>0.36139677177905105</v>
      </c>
      <c r="O69" s="40">
        <f t="shared" si="3"/>
        <v>0.78200000000000003</v>
      </c>
      <c r="P69" s="43">
        <f t="shared" si="4"/>
        <v>5.2249999999999996</v>
      </c>
      <c r="Q69" s="35" cm="1">
        <f t="array" ref="Q69">IF(COUNTIF(D69:H69,"NP")&gt;0,"NP",IF(COUNTIF(D69:H69,"Reconocimiento Créditos")&gt;0,"Reconocimiento Créditos",IF(COUNTIF(D69:H69,"Aprobado en otro curso")&gt;0,"Aprobado en otro curso",IF(COUNTIF(D69:H69,"")&gt;0,"Faltan Calificaciones",AVERAGE((D69:H69-$D$128:$H$128)*($D$2:$H$2="Prueba Complementaria")/($D$130:$H$130)*($D$2:$H$2="Prueba Complementaria"))))))</f>
        <v>-7.0109038947064981E-2</v>
      </c>
      <c r="R69" s="40">
        <f t="shared" si="5"/>
        <v>0.38</v>
      </c>
      <c r="S69" s="42">
        <f t="shared" si="6"/>
        <v>5.96</v>
      </c>
      <c r="T69" s="43">
        <f t="shared" si="7"/>
        <v>-1.2250000000000005</v>
      </c>
      <c r="U69" s="40">
        <f t="shared" si="8"/>
        <v>-0.18992248062015513</v>
      </c>
      <c r="V69" s="40" t="str" cm="1">
        <f t="array" ref="V69">IF(COUNTIF(D69:H69,"NP")&gt;0,"NP",IF(COUNTIF(D69:H69,"Reconocimiento Créditos")&gt;0,"Reconocimiento Créditos",IF(COUNTIF(D69:H69,"Aprobado en otro curso")&gt;0,"Aprobado en otro curso",IF(COUNTBLANK(D69:H69)&gt;0,"Faltan Calificaciones",IF((SUMPRODUCT(($D$2:$H$2="EXAMEN")*((D69:H69-$D$128:$H$128)/$D$130:$H$130))/SUMPRODUCT(--($D$2:$H$2="EXAMEN")))-(SUMPRODUCT(($D$2:$H$2="PRUEBA COMPLEMENTARIA")*((D69:H69-$D$128:$H$128)/$D$130:$H$130))/SUMPRODUCT(--($D$2:$H$2="PRUEBA COMPLEMENTARIA")))&gt;0,"Exámenes","Actividades")))))</f>
        <v>Exámenes</v>
      </c>
      <c r="W69" s="35">
        <f t="shared" si="9"/>
        <v>3.6504294833370282E-2</v>
      </c>
      <c r="X69" s="35">
        <f t="shared" si="10"/>
        <v>1.8916659324521341</v>
      </c>
      <c r="Y69" s="71">
        <f t="shared" si="11"/>
        <v>0.15594719709182292</v>
      </c>
      <c r="Z69" s="35" cm="1">
        <f t="array" ref="Z69">IF(COUNTIF(D69:H69,"NP")&gt;0,"NP",IF(COUNTIF(D69:H69,"Reconocimiento Créditos")&gt;0,"Reconocimiento Créditos",IF(COUNTIF(D69:H69,"Aprobado en otro curso")&gt;0,"Aprobado en otro curso",IF(COUNTIF($D$2:$H$2,"Examen")&lt;2,"Faltan Calificaciones",SLOPE(_xlfn._xlws.FILTER(D69:H69,$D$2:$H$2="EXAMEN"),_xlfn.SEQUENCE(1,COUNTIF($D$2:$H$2,"EXAMEN"),1,1))))))</f>
        <v>1.1999999999999997</v>
      </c>
      <c r="AA69" s="35">
        <f t="shared" si="12"/>
        <v>0.58999999999999986</v>
      </c>
      <c r="AB69" s="35" t="str" cm="1">
        <f t="array" ref="AB69">IF(COUNTIF(D69:H69,"NP")&gt;0,"NP",IF(COUNTIF(D69:H69,"Reconocimiento Créditos")&gt;0,"Reconocimiento Créditos",IF(COUNTIF(D69:H69,"Aprobado en otro curso")&gt;0,"Aprobado en otro curso",IF(COUNTBLANK(D69:H69)=0,"No Procede",IF(COUNTBLANK(D69:H69)&gt;3,"No Procede",IF(100*(5-SUMPRODUCT(D69:H69,$D$4:$H$4)/100)/(100-SUMPRODUCT((D69:H69&lt;&gt;"")*($D$4:$H$4)))&gt;10,"Necesita más de 10",IF(100*(5-SUMPRODUCT(D69:H69,$D$4:$H$4)/100)/(100-SUMPRODUCT((D69:H69&lt;&gt;"")*($D$4:$H$4)))&lt;0,"va bien encaminado",100*(5-SUMPRODUCT(D69:H69,$D$4:$H$4)/100)/(100-SUMPRODUCT((D69:H69&lt;&gt;"")*($D$4:$H$4))))))))))</f>
        <v>No Procede</v>
      </c>
    </row>
    <row r="70" spans="2:45" ht="22" customHeight="1">
      <c r="B70" s="19">
        <f t="shared" si="22"/>
        <v>57</v>
      </c>
      <c r="C70" s="4" t="s">
        <v>30</v>
      </c>
      <c r="D70" s="98">
        <v>1.6</v>
      </c>
      <c r="E70" s="70">
        <v>3.95</v>
      </c>
      <c r="F70" s="97">
        <v>2.5</v>
      </c>
      <c r="G70" s="97">
        <v>2.5</v>
      </c>
      <c r="H70" s="98">
        <v>0.65</v>
      </c>
      <c r="I70" s="81">
        <f t="shared" si="21"/>
        <v>1.8425</v>
      </c>
      <c r="J70" s="60" t="s">
        <v>29</v>
      </c>
      <c r="K70" s="35" cm="1">
        <f t="array" ref="K70">IF(COUNTIF(D70:H70,"NP")&gt;0,"NP",IF(COUNTIF(D70:H70,"Reconocimiento Créditos")&gt;0,"Reconocimiento Créditos",IF(COUNTIF(D70:H70,"Aprobado en otro curso")&gt;0,"Aprobado en otro curso",IF(COUNTIF(D70:H70,"")&gt;0,"Faltan Calificaciones",AVERAGE((D70:H70-$D$128:$H$128)/$D$130:$H$130)))))</f>
        <v>-1.3454116966360039</v>
      </c>
      <c r="L70" s="40">
        <f t="shared" si="1"/>
        <v>3.2000000000000001E-2</v>
      </c>
      <c r="M70" s="43">
        <f t="shared" si="2"/>
        <v>2.0666666666666669</v>
      </c>
      <c r="N70" s="35" cm="1">
        <f t="array" ref="N70">IF(COUNTIF(D70:H70,"NP")&gt;0,"NP",IF(COUNTIF(D70:H70,"Reconocimiento Créditos")&gt;0,"Reconocimiento Créditos",IF(COUNTIF(D70:H70,"Aprobado en otro curso")&gt;0,"Aprobado en otro curso",IF(COUNTIF(D70:H70,"")&gt;0,"Faltan Calificaciones",AVERAGE((D70:H70-$D$128:$H$128)*($D$2:$H$2="EXAMEN")/($D$130:$H$130)*($D$2:$H$2="EXAMEN"))))))</f>
        <v>-0.86432793747317993</v>
      </c>
      <c r="O70" s="40">
        <f t="shared" si="3"/>
        <v>3.2000000000000001E-2</v>
      </c>
      <c r="P70" s="43">
        <f t="shared" si="4"/>
        <v>2.5</v>
      </c>
      <c r="Q70" s="35" cm="1">
        <f t="array" ref="Q70">IF(COUNTIF(D70:H70,"NP")&gt;0,"NP",IF(COUNTIF(D70:H70,"Reconocimiento Créditos")&gt;0,"Reconocimiento Créditos",IF(COUNTIF(D70:H70,"Aprobado en otro curso")&gt;0,"Aprobado en otro curso",IF(COUNTIF(D70:H70,"")&gt;0,"Faltan Calificaciones",AVERAGE((D70:H70-$D$128:$H$128)*($D$2:$H$2="Prueba Complementaria")/($D$130:$H$130)*($D$2:$H$2="Prueba Complementaria"))))))</f>
        <v>-0.48108375916282409</v>
      </c>
      <c r="R70" s="40">
        <f t="shared" si="5"/>
        <v>7.5999999999999998E-2</v>
      </c>
      <c r="S70" s="42">
        <f t="shared" si="6"/>
        <v>2.2400000000000002</v>
      </c>
      <c r="T70" s="43">
        <f t="shared" si="7"/>
        <v>0.43333333333333313</v>
      </c>
      <c r="U70" s="40">
        <f t="shared" si="8"/>
        <v>0.20967741935483858</v>
      </c>
      <c r="V70" s="40" t="str" cm="1">
        <f t="array" ref="V70">IF(COUNTIF(D70:H70,"NP")&gt;0,"NP",IF(COUNTIF(D70:H70,"Reconocimiento Créditos")&gt;0,"Reconocimiento Créditos",IF(COUNTIF(D70:H70,"Aprobado en otro curso")&gt;0,"Aprobado en otro curso",IF(COUNTBLANK(D70:H70)&gt;0,"Faltan Calificaciones",IF((SUMPRODUCT(($D$2:$H$2="EXAMEN")*((D70:H70-$D$128:$H$128)/$D$130:$H$130))/SUMPRODUCT(--($D$2:$H$2="EXAMEN")))-(SUMPRODUCT(($D$2:$H$2="PRUEBA COMPLEMENTARIA")*((D70:H70-$D$128:$H$128)/$D$130:$H$130))/SUMPRODUCT(--($D$2:$H$2="PRUEBA COMPLEMENTARIA")))&gt;0,"Exámenes","Actividades")))))</f>
        <v>Actividades</v>
      </c>
      <c r="W70" s="35">
        <f t="shared" si="9"/>
        <v>9.0597436619835589E-2</v>
      </c>
      <c r="X70" s="35">
        <f t="shared" si="10"/>
        <v>1.0951712194903587</v>
      </c>
      <c r="Y70" s="71">
        <f t="shared" si="11"/>
        <v>-0.72591388985729144</v>
      </c>
      <c r="Z70" s="35" cm="1">
        <f t="array" ref="Z70">IF(COUNTIF(D70:H70,"NP")&gt;0,"NP",IF(COUNTIF(D70:H70,"Reconocimiento Créditos")&gt;0,"Reconocimiento Créditos",IF(COUNTIF(D70:H70,"Aprobado en otro curso")&gt;0,"Aprobado en otro curso",IF(COUNTIF($D$2:$H$2,"Examen")&lt;2,"Faltan Calificaciones",SLOPE(_xlfn._xlws.FILTER(D70:H70,$D$2:$H$2="EXAMEN"),_xlfn.SEQUENCE(1,COUNTIF($D$2:$H$2,"EXAMEN"),1,1))))))</f>
        <v>-0.47500000000000009</v>
      </c>
      <c r="AA70" s="35">
        <f t="shared" si="12"/>
        <v>-1.5900000000000003</v>
      </c>
      <c r="AB70" s="35" t="str" cm="1">
        <f t="array" ref="AB70">IF(COUNTIF(D70:H70,"NP")&gt;0,"NP",IF(COUNTIF(D70:H70,"Reconocimiento Créditos")&gt;0,"Reconocimiento Créditos",IF(COUNTIF(D70:H70,"Aprobado en otro curso")&gt;0,"Aprobado en otro curso",IF(COUNTBLANK(D70:H70)=0,"No Procede",IF(COUNTBLANK(D70:H70)&gt;3,"No Procede",IF(100*(5-SUMPRODUCT(D70:H70,$D$4:$H$4)/100)/(100-SUMPRODUCT((D70:H70&lt;&gt;"")*($D$4:$H$4)))&gt;10,"Necesita más de 10",IF(100*(5-SUMPRODUCT(D70:H70,$D$4:$H$4)/100)/(100-SUMPRODUCT((D70:H70&lt;&gt;"")*($D$4:$H$4)))&lt;0,"va bien encaminado",100*(5-SUMPRODUCT(D70:H70,$D$4:$H$4)/100)/(100-SUMPRODUCT((D70:H70&lt;&gt;"")*($D$4:$H$4))))))))))</f>
        <v>No Procede</v>
      </c>
    </row>
    <row r="71" spans="2:45" ht="22" customHeight="1">
      <c r="B71" s="19">
        <f t="shared" si="22"/>
        <v>58</v>
      </c>
      <c r="C71" s="4" t="s">
        <v>30</v>
      </c>
      <c r="D71" s="98">
        <v>2.75</v>
      </c>
      <c r="E71" s="70">
        <v>6.25</v>
      </c>
      <c r="F71" s="97">
        <v>1.5</v>
      </c>
      <c r="G71" s="97">
        <v>9.9</v>
      </c>
      <c r="H71" s="98">
        <v>4.9000000000000004</v>
      </c>
      <c r="I71" s="81">
        <f t="shared" si="21"/>
        <v>5.0199999999999996</v>
      </c>
      <c r="J71" s="60" t="s">
        <v>29</v>
      </c>
      <c r="K71" s="35" cm="1">
        <f t="array" ref="K71">IF(COUNTIF(D71:H71,"NP")&gt;0,"NP",IF(COUNTIF(D71:H71,"Reconocimiento Créditos")&gt;0,"Reconocimiento Créditos",IF(COUNTIF(D71:H71,"Aprobado en otro curso")&gt;0,"Aprobado en otro curso",IF(COUNTIF(D71:H71,"")&gt;0,"Faltan Calificaciones",AVERAGE((D71:H71-$D$128:$H$128)/$D$130:$H$130)))))</f>
        <v>-0.17007467933670228</v>
      </c>
      <c r="L71" s="40">
        <f t="shared" ref="L71:L125" si="23">IF(COUNTIF(D71:H71,"NP")&gt;0,"NP",IF(COUNTIF(D71:H71,"Reconocimiento Créditos")&gt;0,"Reconocimiento Créditos",IF(COUNTIF(D71:H71,"Aprobado en otro curso")&gt;0,"Aprobado en otro curso",_xlfn.PERCENTRANK.INC($I$6:$I$125,I71))))</f>
        <v>0.35799999999999998</v>
      </c>
      <c r="M71" s="43">
        <f t="shared" ref="M71:M125" si="24">IF(COUNTIF(D71:H71,"NP")&gt;0,"NP",IF(COUNTIF(D71:H71,"Reconocimiento Créditos")&gt;0,"Reconocimiento Créditos",IF(COUNTIF(D71:H71,"Aprobado en otro curso")&gt;0,"Aprobado en otro curso",AVERAGEIF($D$2:$H$2,"Examen",D71:H71))))</f>
        <v>4.6333333333333337</v>
      </c>
      <c r="N71" s="35" cm="1">
        <f t="array" ref="N71">IF(COUNTIF(D71:H71,"NP")&gt;0,"NP",IF(COUNTIF(D71:H71,"Reconocimiento Créditos")&gt;0,"Reconocimiento Créditos",IF(COUNTIF(D71:H71,"Aprobado en otro curso")&gt;0,"Aprobado en otro curso",IF(COUNTIF(D71:H71,"")&gt;0,"Faltan Calificaciones",AVERAGE((D71:H71-$D$128:$H$128)*($D$2:$H$2="EXAMEN")/($D$130:$H$130)*($D$2:$H$2="EXAMEN"))))))</f>
        <v>-0.14949022927979883</v>
      </c>
      <c r="O71" s="40">
        <f t="shared" ref="O71:O125" si="25">IF(COUNTIF(D71:H71,"NP")&gt;0,"NP",IF(COUNTIF(D71:H71,"Reconocimiento Créditos")&gt;0,"Reconocimiento Créditos",IF(COUNTIF(D71:H71,"Aprobado en otro curso")&gt;0,"Aprobado en otro curso",IF(COUNTIF($D$2:$H$2,"Examen")&lt;1,"Faltan Calificaciones",_xlfn.PERCENTRANK.INC($M$6:$M$125,M71)))))</f>
        <v>0.33600000000000002</v>
      </c>
      <c r="P71" s="43">
        <f t="shared" ref="P71:P125" si="26">IF(COUNTIF(D71:H71,"NP")&gt;0,"NP",IF(COUNTIF(D71:H71,"Reconocimiento Créditos")&gt;0,"Reconocimiento Créditos",IF(COUNTIF(D71:H71,"Aprobado en otro curso")&gt;0,"Aprobado en otro curso",IF(COUNTIF($D$2:$H$2,"Prueba Complementaria")=0,"Faltan Calificaciones",AVERAGEIF($D$2:$H$2,"Prueba Complementaria",D71:H71)))))</f>
        <v>5.7</v>
      </c>
      <c r="Q71" s="35" cm="1">
        <f t="array" ref="Q71">IF(COUNTIF(D71:H71,"NP")&gt;0,"NP",IF(COUNTIF(D71:H71,"Reconocimiento Créditos")&gt;0,"Reconocimiento Créditos",IF(COUNTIF(D71:H71,"Aprobado en otro curso")&gt;0,"Aprobado en otro curso",IF(COUNTIF(D71:H71,"")&gt;0,"Faltan Calificaciones",AVERAGE((D71:H71-$D$128:$H$128)*($D$2:$H$2="Prueba Complementaria")/($D$130:$H$130)*($D$2:$H$2="Prueba Complementaria"))))))</f>
        <v>-2.0584450056903458E-2</v>
      </c>
      <c r="R71" s="40">
        <f t="shared" ref="R71:R125" si="27">IF(COUNTIF(D71:H71,"NP")&gt;0,"NP",IF(COUNTIF(D71:H71,"Reconocimiento Créditos")&gt;0,"Reconocimiento Créditos",IF(COUNTIF(D71:H71,"Aprobado en otro curso")&gt;0,"Aprobado en otro curso",IF(COUNTIF($D$2:$H$2,"Prueba Complementaria")&lt;1,"Faltan Calificaciones",_xlfn.PERCENTRANK.INC($P$6:$P$125,P71)))))</f>
        <v>0.48899999999999999</v>
      </c>
      <c r="S71" s="42">
        <f t="shared" ref="S71:S125" si="28">IF(COUNTIF(D71:H71,"NP")&gt;0,"NP",IF(COUNTIF(D71:H71,"Reconocimiento Créditos")&gt;0,"Reconocimiento Créditos",IF(COUNTIF(D71:H71,"Aprobado en otro curso")&gt;0,"Aprobado en otro curso",AVERAGE(D71:H71))))</f>
        <v>5.0599999999999996</v>
      </c>
      <c r="T71" s="43">
        <f t="shared" ref="T71:T125" si="29">IF(COUNTIF(D71:H71,"NP")&gt;0,"NP",IF(COUNTIF(D71:H71,"Reconocimiento Créditos")&gt;0,"Reconocimiento Créditos",IF(COUNTIF(D71:H71,"Aprobado en otro curso")&gt;0,"Aprobado en otro curso",(P71-M71))))</f>
        <v>1.0666666666666664</v>
      </c>
      <c r="U71" s="40">
        <f t="shared" ref="U71:U125" si="30">IF(COUNTIF(D71:H71,"NP")&gt;0,"NP",IF(COUNTIF(D71:H71,"Reconocimiento Créditos")&gt;0,"Reconocimiento Créditos",IF(COUNTIF(D71:H71,"Aprobado en otro curso")&gt;0,"Aprobado en otro curso",(P71-M71)/M71)))</f>
        <v>0.23021582733812943</v>
      </c>
      <c r="V71" s="40" t="str" cm="1">
        <f t="array" ref="V71">IF(COUNTIF(D71:H71,"NP")&gt;0,"NP",IF(COUNTIF(D71:H71,"Reconocimiento Créditos")&gt;0,"Reconocimiento Créditos",IF(COUNTIF(D71:H71,"Aprobado en otro curso")&gt;0,"Aprobado en otro curso",IF(COUNTBLANK(D71:H71)&gt;0,"Faltan Calificaciones",IF((SUMPRODUCT(($D$2:$H$2="EXAMEN")*((D71:H71-$D$128:$H$128)/$D$130:$H$130))/SUMPRODUCT(--($D$2:$H$2="EXAMEN")))-(SUMPRODUCT(($D$2:$H$2="PRUEBA COMPLEMENTARIA")*((D71:H71-$D$128:$H$128)/$D$130:$H$130))/SUMPRODUCT(--($D$2:$H$2="PRUEBA COMPLEMENTARIA")))&gt;0,"Exámenes","Actividades")))))</f>
        <v>Actividades</v>
      </c>
      <c r="W71" s="35">
        <f t="shared" ref="W71:W125" si="31">IF(COUNTIF(D71:H71,"NP")&gt;0,"NP",IF(COUNTIF(D71:H71,"Reconocimiento Créditos")&gt;0,"Reconocimiento Créditos",IF(COUNTIF(D71:H71,"Aprobado en otro curso")&gt;0,"Aprobado en otro curso",IF(COUNTBLANK(D71:H71)&gt;0,"Faltan Calificaciones",IF(COUNTBLANK(D71:H71)&gt;0,"",SQRT((1/COUNT($N$6:$N$125))*(N71-AVERAGE($N$6:$N$125))^2))))))</f>
        <v>1.6472219323001615E-2</v>
      </c>
      <c r="X71" s="35">
        <f t="shared" ref="X71:X125" si="32">IF(COUNTIF(D71:H71,"NP")&gt;0,"NP",IF(COUNTIF(D71:H71,"Reconocimiento Créditos")&gt;0,"Reconocimiento Créditos",IF(COUNTIF(D71:H71,"Aprobado en otro curso")&gt;0,"Aprobado en otro curso",IF(COUNTBLANK(D71:H71)&gt;3,"Faltan Calificaciones",_xlfn.STDEV.P(D71:H71)))))</f>
        <v>2.9283783908504728</v>
      </c>
      <c r="Y71" s="71">
        <f t="shared" ref="Y71:Y125" si="33">IF(COUNTIF(D71:H71,"NP")&gt;0,"NP",IF(COUNTIF(D71:H71,"Reconocimiento Créditos")&gt;0,"Reconocimiento Créditos",IF(COUNTIF(D71:H71,"Aprobado en otro curso")&gt;0,"Aprobado en otro curso",IF(COUNTBLANK(D71:H71)&gt;0,"Faltan Calificaciones",CORREL(D71:H71,$D$4:$H$4)))))</f>
        <v>-2.7318873903029312E-2</v>
      </c>
      <c r="Z71" s="35" cm="1">
        <f t="array" ref="Z71">IF(COUNTIF(D71:H71,"NP")&gt;0,"NP",IF(COUNTIF(D71:H71,"Reconocimiento Créditos")&gt;0,"Reconocimiento Créditos",IF(COUNTIF(D71:H71,"Aprobado en otro curso")&gt;0,"Aprobado en otro curso",IF(COUNTIF($D$2:$H$2,"Examen")&lt;2,"Faltan Calificaciones",SLOPE(_xlfn._xlws.FILTER(D71:H71,$D$2:$H$2="EXAMEN"),_xlfn.SEQUENCE(1,COUNTIF($D$2:$H$2,"EXAMEN"),1,1))))))</f>
        <v>1.0750000000000002</v>
      </c>
      <c r="AA71" s="35">
        <f t="shared" ref="AA71:AA125" si="34">IF(COUNTIF(D71:H71,"NP")&gt;0,"NP",IF(COUNTIF(D71:H71,"Reconocimiento Créditos")&gt;0,"Reconocimiento Créditos",IF(COUNTIF(D71:H71,"Aprobado en otro curso")&gt;0,"Aprobado en otro curso",IF(COUNTBLANK(D71:H71)&gt;0,"Faltan Calificaciones",IF(COUNTBLANK(D71:H71)&gt;0,"",H71-AVERAGE(D71:H71))))))</f>
        <v>-0.15999999999999925</v>
      </c>
      <c r="AB71" s="35" t="str" cm="1">
        <f t="array" ref="AB71">IF(COUNTIF(D71:H71,"NP")&gt;0,"NP",IF(COUNTIF(D71:H71,"Reconocimiento Créditos")&gt;0,"Reconocimiento Créditos",IF(COUNTIF(D71:H71,"Aprobado en otro curso")&gt;0,"Aprobado en otro curso",IF(COUNTBLANK(D71:H71)=0,"No Procede",IF(COUNTBLANK(D71:H71)&gt;3,"No Procede",IF(100*(5-SUMPRODUCT(D71:H71,$D$4:$H$4)/100)/(100-SUMPRODUCT((D71:H71&lt;&gt;"")*($D$4:$H$4)))&gt;10,"Necesita más de 10",IF(100*(5-SUMPRODUCT(D71:H71,$D$4:$H$4)/100)/(100-SUMPRODUCT((D71:H71&lt;&gt;"")*($D$4:$H$4)))&lt;0,"va bien encaminado",100*(5-SUMPRODUCT(D71:H71,$D$4:$H$4)/100)/(100-SUMPRODUCT((D71:H71&lt;&gt;"")*($D$4:$H$4))))))))))</f>
        <v>No Procede</v>
      </c>
    </row>
    <row r="72" spans="2:45" ht="22" customHeight="1">
      <c r="B72" s="19">
        <f t="shared" si="22"/>
        <v>59</v>
      </c>
      <c r="C72" s="4" t="s">
        <v>30</v>
      </c>
      <c r="D72" s="98">
        <v>6</v>
      </c>
      <c r="E72" s="70">
        <v>1.95</v>
      </c>
      <c r="F72" s="97">
        <v>3</v>
      </c>
      <c r="G72" s="97">
        <v>1.5</v>
      </c>
      <c r="H72" s="97">
        <v>5.35</v>
      </c>
      <c r="I72" s="81">
        <f t="shared" si="21"/>
        <v>4.0075000000000003</v>
      </c>
      <c r="J72" s="60" t="s">
        <v>29</v>
      </c>
      <c r="K72" s="35" cm="1">
        <f t="array" ref="K72">IF(COUNTIF(D72:H72,"NP")&gt;0,"NP",IF(COUNTIF(D72:H72,"Reconocimiento Créditos")&gt;0,"Reconocimiento Créditos",IF(COUNTIF(D72:H72,"Aprobado en otro curso")&gt;0,"Aprobado en otro curso",IF(COUNTIF(D72:H72,"")&gt;0,"Faltan Calificaciones",AVERAGE((D72:H72-$D$128:$H$128)/$D$130:$H$130)))))</f>
        <v>-0.73112249033863519</v>
      </c>
      <c r="L72" s="40">
        <f t="shared" si="23"/>
        <v>0.184</v>
      </c>
      <c r="M72" s="43">
        <f t="shared" si="24"/>
        <v>4.4333333333333336</v>
      </c>
      <c r="N72" s="35" cm="1">
        <f t="array" ref="N72">IF(COUNTIF(D72:H72,"NP")&gt;0,"NP",IF(COUNTIF(D72:H72,"Reconocimiento Créditos")&gt;0,"Reconocimiento Créditos",IF(COUNTIF(D72:H72,"Aprobado en otro curso")&gt;0,"Aprobado en otro curso",IF(COUNTIF(D72:H72,"")&gt;0,"Faltan Calificaciones",AVERAGE((D72:H72-$D$128:$H$128)*($D$2:$H$2="EXAMEN")/($D$130:$H$130)*($D$2:$H$2="EXAMEN"))))))</f>
        <v>-0.21835277950627149</v>
      </c>
      <c r="O72" s="40">
        <f t="shared" si="25"/>
        <v>0.29299999999999998</v>
      </c>
      <c r="P72" s="43">
        <f t="shared" si="26"/>
        <v>2.25</v>
      </c>
      <c r="Q72" s="35" cm="1">
        <f t="array" ref="Q72">IF(COUNTIF(D72:H72,"NP")&gt;0,"NP",IF(COUNTIF(D72:H72,"Reconocimiento Créditos")&gt;0,"Reconocimiento Créditos",IF(COUNTIF(D72:H72,"Aprobado en otro curso")&gt;0,"Aprobado en otro curso",IF(COUNTIF(D72:H72,"")&gt;0,"Faltan Calificaciones",AVERAGE((D72:H72-$D$128:$H$128)*($D$2:$H$2="Prueba Complementaria")/($D$130:$H$130)*($D$2:$H$2="Prueba Complementaria"))))))</f>
        <v>-0.51276971083236378</v>
      </c>
      <c r="R72" s="40">
        <f t="shared" si="27"/>
        <v>5.3999999999999999E-2</v>
      </c>
      <c r="S72" s="42">
        <f t="shared" si="28"/>
        <v>3.5599999999999996</v>
      </c>
      <c r="T72" s="43">
        <f t="shared" si="29"/>
        <v>-2.1833333333333336</v>
      </c>
      <c r="U72" s="40">
        <f t="shared" si="30"/>
        <v>-0.4924812030075188</v>
      </c>
      <c r="V72" s="40" t="str" cm="1">
        <f t="array" ref="V72">IF(COUNTIF(D72:H72,"NP")&gt;0,"NP",IF(COUNTIF(D72:H72,"Reconocimiento Créditos")&gt;0,"Reconocimiento Créditos",IF(COUNTIF(D72:H72,"Aprobado en otro curso")&gt;0,"Aprobado en otro curso",IF(COUNTBLANK(D72:H72)&gt;0,"Faltan Calificaciones",IF((SUMPRODUCT(($D$2:$H$2="EXAMEN")*((D72:H72-$D$128:$H$128)/$D$130:$H$130))/SUMPRODUCT(--($D$2:$H$2="EXAMEN")))-(SUMPRODUCT(($D$2:$H$2="PRUEBA COMPLEMENTARIA")*((D72:H72-$D$128:$H$128)/$D$130:$H$130))/SUMPRODUCT(--($D$2:$H$2="PRUEBA COMPLEMENTARIA")))&gt;0,"Exámenes","Actividades")))))</f>
        <v>Exámenes</v>
      </c>
      <c r="W72" s="35">
        <f t="shared" si="31"/>
        <v>2.36129331390816E-2</v>
      </c>
      <c r="X72" s="35">
        <f t="shared" si="32"/>
        <v>1.8059346610550457</v>
      </c>
      <c r="Y72" s="71">
        <f t="shared" si="33"/>
        <v>0.49558825094875353</v>
      </c>
      <c r="Z72" s="35" cm="1">
        <f t="array" ref="Z72">IF(COUNTIF(D72:H72,"NP")&gt;0,"NP",IF(COUNTIF(D72:H72,"Reconocimiento Créditos")&gt;0,"Reconocimiento Créditos",IF(COUNTIF(D72:H72,"Aprobado en otro curso")&gt;0,"Aprobado en otro curso",IF(COUNTIF($D$2:$H$2,"Examen")&lt;2,"Faltan Calificaciones",SLOPE(_xlfn._xlws.FILTER(D72:H72,$D$2:$H$2="EXAMEN"),_xlfn.SEQUENCE(1,COUNTIF($D$2:$H$2,"EXAMEN"),1,1))))))</f>
        <v>-0.32500000000000018</v>
      </c>
      <c r="AA72" s="35">
        <f t="shared" si="34"/>
        <v>1.79</v>
      </c>
      <c r="AB72" s="35" t="str" cm="1">
        <f t="array" ref="AB72">IF(COUNTIF(D72:H72,"NP")&gt;0,"NP",IF(COUNTIF(D72:H72,"Reconocimiento Créditos")&gt;0,"Reconocimiento Créditos",IF(COUNTIF(D72:H72,"Aprobado en otro curso")&gt;0,"Aprobado en otro curso",IF(COUNTBLANK(D72:H72)=0,"No Procede",IF(COUNTBLANK(D72:H72)&gt;3,"No Procede",IF(100*(5-SUMPRODUCT(D72:H72,$D$4:$H$4)/100)/(100-SUMPRODUCT((D72:H72&lt;&gt;"")*($D$4:$H$4)))&gt;10,"Necesita más de 10",IF(100*(5-SUMPRODUCT(D72:H72,$D$4:$H$4)/100)/(100-SUMPRODUCT((D72:H72&lt;&gt;"")*($D$4:$H$4)))&lt;0,"va bien encaminado",100*(5-SUMPRODUCT(D72:H72,$D$4:$H$4)/100)/(100-SUMPRODUCT((D72:H72&lt;&gt;"")*($D$4:$H$4))))))))))</f>
        <v>No Procede</v>
      </c>
    </row>
    <row r="73" spans="2:45" ht="22" customHeight="1">
      <c r="B73" s="19">
        <f t="shared" si="22"/>
        <v>60</v>
      </c>
      <c r="C73" s="4" t="s">
        <v>30</v>
      </c>
      <c r="D73" s="98">
        <v>6.15</v>
      </c>
      <c r="E73" s="70">
        <v>0.45</v>
      </c>
      <c r="F73" s="97">
        <v>3.5</v>
      </c>
      <c r="G73" s="97">
        <v>5.6</v>
      </c>
      <c r="H73" s="97">
        <v>6.5</v>
      </c>
      <c r="I73" s="81">
        <f t="shared" si="21"/>
        <v>4.9550000000000001</v>
      </c>
      <c r="J73" s="60" t="s">
        <v>29</v>
      </c>
      <c r="K73" s="35" cm="1">
        <f t="array" ref="K73">IF(COUNTIF(D73:H73,"NP")&gt;0,"NP",IF(COUNTIF(D73:H73,"Reconocimiento Créditos")&gt;0,"Reconocimiento Créditos",IF(COUNTIF(D73:H73,"Aprobado en otro curso")&gt;0,"Aprobado en otro curso",IF(COUNTIF(D73:H73,"")&gt;0,"Faltan Calificaciones",AVERAGE((D73:H73-$D$128:$H$128)/$D$130:$H$130)))))</f>
        <v>-0.41291896521816901</v>
      </c>
      <c r="L73" s="40">
        <f t="shared" si="23"/>
        <v>0.315</v>
      </c>
      <c r="M73" s="43">
        <f t="shared" si="24"/>
        <v>4.3666666666666671</v>
      </c>
      <c r="N73" s="35" cm="1">
        <f t="array" ref="N73">IF(COUNTIF(D73:H73,"NP")&gt;0,"NP",IF(COUNTIF(D73:H73,"Reconocimiento Créditos")&gt;0,"Reconocimiento Créditos",IF(COUNTIF(D73:H73,"Aprobado en otro curso")&gt;0,"Aprobado en otro curso",IF(COUNTIF(D73:H73,"")&gt;0,"Faltan Calificaciones",AVERAGE((D73:H73-$D$128:$H$128)*($D$2:$H$2="EXAMEN")/($D$130:$H$130)*($D$2:$H$2="EXAMEN"))))))</f>
        <v>-0.24352807482939368</v>
      </c>
      <c r="O73" s="40">
        <f t="shared" si="25"/>
        <v>0.23899999999999999</v>
      </c>
      <c r="P73" s="43">
        <f t="shared" si="26"/>
        <v>4.55</v>
      </c>
      <c r="Q73" s="35" cm="1">
        <f t="array" ref="Q73">IF(COUNTIF(D73:H73,"NP")&gt;0,"NP",IF(COUNTIF(D73:H73,"Reconocimiento Créditos")&gt;0,"Reconocimiento Créditos",IF(COUNTIF(D73:H73,"Aprobado en otro curso")&gt;0,"Aprobado en otro curso",IF(COUNTIF(D73:H73,"")&gt;0,"Faltan Calificaciones",AVERAGE((D73:H73-$D$128:$H$128)*($D$2:$H$2="Prueba Complementaria")/($D$130:$H$130)*($D$2:$H$2="Prueba Complementaria"))))))</f>
        <v>-0.16939089038877536</v>
      </c>
      <c r="R73" s="40">
        <f t="shared" si="27"/>
        <v>0.27100000000000002</v>
      </c>
      <c r="S73" s="42">
        <f t="shared" si="28"/>
        <v>4.4400000000000004</v>
      </c>
      <c r="T73" s="43">
        <f t="shared" si="29"/>
        <v>0.18333333333333268</v>
      </c>
      <c r="U73" s="40">
        <f t="shared" si="30"/>
        <v>4.1984732824427329E-2</v>
      </c>
      <c r="V73" s="40" t="str" cm="1">
        <f t="array" ref="V73">IF(COUNTIF(D73:H73,"NP")&gt;0,"NP",IF(COUNTIF(D73:H73,"Reconocimiento Créditos")&gt;0,"Reconocimiento Créditos",IF(COUNTIF(D73:H73,"Aprobado en otro curso")&gt;0,"Aprobado en otro curso",IF(COUNTBLANK(D73:H73)&gt;0,"Faltan Calificaciones",IF((SUMPRODUCT(($D$2:$H$2="EXAMEN")*((D73:H73-$D$128:$H$128)/$D$130:$H$130))/SUMPRODUCT(--($D$2:$H$2="EXAMEN")))-(SUMPRODUCT(($D$2:$H$2="PRUEBA COMPLEMENTARIA")*((D73:H73-$D$128:$H$128)/$D$130:$H$130))/SUMPRODUCT(--($D$2:$H$2="PRUEBA COMPLEMENTARIA")))&gt;0,"Exámenes","Actividades")))))</f>
        <v>Exámenes</v>
      </c>
      <c r="W73" s="35">
        <f t="shared" si="31"/>
        <v>2.6223489654146649E-2</v>
      </c>
      <c r="X73" s="35">
        <f t="shared" si="32"/>
        <v>2.2501999911119004</v>
      </c>
      <c r="Y73" s="71">
        <f t="shared" si="33"/>
        <v>0.45773709184446382</v>
      </c>
      <c r="Z73" s="35" cm="1">
        <f t="array" ref="Z73">IF(COUNTIF(D73:H73,"NP")&gt;0,"NP",IF(COUNTIF(D73:H73,"Reconocimiento Créditos")&gt;0,"Reconocimiento Créditos",IF(COUNTIF(D73:H73,"Aprobado en otro curso")&gt;0,"Aprobado en otro curso",IF(COUNTIF($D$2:$H$2,"Examen")&lt;2,"Faltan Calificaciones",SLOPE(_xlfn._xlws.FILTER(D73:H73,$D$2:$H$2="EXAMEN"),_xlfn.SEQUENCE(1,COUNTIF($D$2:$H$2,"EXAMEN"),1,1))))))</f>
        <v>0.17499999999999982</v>
      </c>
      <c r="AA73" s="35">
        <f t="shared" si="34"/>
        <v>2.0599999999999996</v>
      </c>
      <c r="AB73" s="35" t="str" cm="1">
        <f t="array" ref="AB73">IF(COUNTIF(D73:H73,"NP")&gt;0,"NP",IF(COUNTIF(D73:H73,"Reconocimiento Créditos")&gt;0,"Reconocimiento Créditos",IF(COUNTIF(D73:H73,"Aprobado en otro curso")&gt;0,"Aprobado en otro curso",IF(COUNTBLANK(D73:H73)=0,"No Procede",IF(COUNTBLANK(D73:H73)&gt;3,"No Procede",IF(100*(5-SUMPRODUCT(D73:H73,$D$4:$H$4)/100)/(100-SUMPRODUCT((D73:H73&lt;&gt;"")*($D$4:$H$4)))&gt;10,"Necesita más de 10",IF(100*(5-SUMPRODUCT(D73:H73,$D$4:$H$4)/100)/(100-SUMPRODUCT((D73:H73&lt;&gt;"")*($D$4:$H$4)))&lt;0,"va bien encaminado",100*(5-SUMPRODUCT(D73:H73,$D$4:$H$4)/100)/(100-SUMPRODUCT((D73:H73&lt;&gt;"")*($D$4:$H$4))))))))))</f>
        <v>No Procede</v>
      </c>
    </row>
    <row r="74" spans="2:45" ht="22" customHeight="1">
      <c r="B74" s="19">
        <f t="shared" si="22"/>
        <v>61</v>
      </c>
      <c r="C74" s="4" t="s">
        <v>30</v>
      </c>
      <c r="D74" s="70" t="s">
        <v>18</v>
      </c>
      <c r="E74" s="70" t="s">
        <v>18</v>
      </c>
      <c r="F74" s="70" t="s">
        <v>18</v>
      </c>
      <c r="G74" s="70" t="s">
        <v>18</v>
      </c>
      <c r="H74" s="70" t="s">
        <v>18</v>
      </c>
      <c r="I74" s="70" t="s">
        <v>18</v>
      </c>
      <c r="J74" s="60" t="s">
        <v>29</v>
      </c>
      <c r="K74" s="35" t="str" cm="1">
        <f t="array" ref="K74">IF(COUNTIF(D74:H74,"NP")&gt;0,"NP",IF(COUNTIF(D74:H74,"Reconocimiento Créditos")&gt;0,"Reconocimiento Créditos",IF(COUNTIF(D74:H74,"Aprobado en otro curso")&gt;0,"Aprobado en otro curso",IF(COUNTIF(D74:H74,"")&gt;0,"Faltan Calificaciones",AVERAGE((D74:H74-$D$128:$H$128)/$D$130:$H$130)))))</f>
        <v>Reconocimiento Créditos</v>
      </c>
      <c r="L74" s="40" t="str">
        <f t="shared" si="23"/>
        <v>Reconocimiento Créditos</v>
      </c>
      <c r="M74" s="43" t="str">
        <f t="shared" si="24"/>
        <v>Reconocimiento Créditos</v>
      </c>
      <c r="N74" s="35" t="str" cm="1">
        <f t="array" ref="N74">IF(COUNTIF(D74:H74,"NP")&gt;0,"NP",IF(COUNTIF(D74:H74,"Reconocimiento Créditos")&gt;0,"Reconocimiento Créditos",IF(COUNTIF(D74:H74,"Aprobado en otro curso")&gt;0,"Aprobado en otro curso",IF(COUNTIF(D74:H74,"")&gt;0,"Faltan Calificaciones",AVERAGE((D74:H74-$D$128:$H$128)*($D$2:$H$2="EXAMEN")/($D$130:$H$130)*($D$2:$H$2="EXAMEN"))))))</f>
        <v>Reconocimiento Créditos</v>
      </c>
      <c r="O74" s="40" t="str">
        <f t="shared" si="25"/>
        <v>Reconocimiento Créditos</v>
      </c>
      <c r="P74" s="43" t="str">
        <f t="shared" si="26"/>
        <v>Reconocimiento Créditos</v>
      </c>
      <c r="Q74" s="35" t="str" cm="1">
        <f t="array" ref="Q74">IF(COUNTIF(D74:H74,"NP")&gt;0,"NP",IF(COUNTIF(D74:H74,"Reconocimiento Créditos")&gt;0,"Reconocimiento Créditos",IF(COUNTIF(D74:H74,"Aprobado en otro curso")&gt;0,"Aprobado en otro curso",IF(COUNTIF(D74:H74,"")&gt;0,"Faltan Calificaciones",AVERAGE((D74:H74-$D$128:$H$128)*($D$2:$H$2="Prueba Complementaria")/($D$130:$H$130)*($D$2:$H$2="Prueba Complementaria"))))))</f>
        <v>Reconocimiento Créditos</v>
      </c>
      <c r="R74" s="40" t="str">
        <f t="shared" si="27"/>
        <v>Reconocimiento Créditos</v>
      </c>
      <c r="S74" s="42" t="str">
        <f t="shared" si="28"/>
        <v>Reconocimiento Créditos</v>
      </c>
      <c r="T74" s="43" t="str">
        <f t="shared" si="29"/>
        <v>Reconocimiento Créditos</v>
      </c>
      <c r="U74" s="40" t="str">
        <f t="shared" si="30"/>
        <v>Reconocimiento Créditos</v>
      </c>
      <c r="V74" s="40" t="str" cm="1">
        <f t="array" ref="V74">IF(COUNTIF(D74:H74,"NP")&gt;0,"NP",IF(COUNTIF(D74:H74,"Reconocimiento Créditos")&gt;0,"Reconocimiento Créditos",IF(COUNTIF(D74:H74,"Aprobado en otro curso")&gt;0,"Aprobado en otro curso",IF(COUNTBLANK(D74:H74)&gt;0,"Faltan Calificaciones",IF((SUMPRODUCT(($D$2:$H$2="EXAMEN")*((D74:H74-$D$128:$H$128)/$D$130:$H$130))/SUMPRODUCT(--($D$2:$H$2="EXAMEN")))-(SUMPRODUCT(($D$2:$H$2="PRUEBA COMPLEMENTARIA")*((D74:H74-$D$128:$H$128)/$D$130:$H$130))/SUMPRODUCT(--($D$2:$H$2="PRUEBA COMPLEMENTARIA")))&gt;0,"Exámenes","Actividades")))))</f>
        <v>Reconocimiento Créditos</v>
      </c>
      <c r="W74" s="35" t="str">
        <f t="shared" si="31"/>
        <v>Reconocimiento Créditos</v>
      </c>
      <c r="X74" s="35" t="str">
        <f t="shared" si="32"/>
        <v>Reconocimiento Créditos</v>
      </c>
      <c r="Y74" s="71" t="str">
        <f t="shared" si="33"/>
        <v>Reconocimiento Créditos</v>
      </c>
      <c r="Z74" s="35" t="str" cm="1">
        <f t="array" ref="Z74">IF(COUNTIF(D74:H74,"NP")&gt;0,"NP",IF(COUNTIF(D74:H74,"Reconocimiento Créditos")&gt;0,"Reconocimiento Créditos",IF(COUNTIF(D74:H74,"Aprobado en otro curso")&gt;0,"Aprobado en otro curso",IF(COUNTIF($D$2:$H$2,"Examen")&lt;2,"Faltan Calificaciones",SLOPE(_xlfn._xlws.FILTER(D74:H74,$D$2:$H$2="EXAMEN"),_xlfn.SEQUENCE(1,COUNTIF($D$2:$H$2,"EXAMEN"),1,1))))))</f>
        <v>Reconocimiento Créditos</v>
      </c>
      <c r="AA74" s="35" t="str">
        <f t="shared" si="34"/>
        <v>Reconocimiento Créditos</v>
      </c>
      <c r="AB74" s="35" t="str" cm="1">
        <f t="array" ref="AB74">IF(COUNTIF(D74:H74,"NP")&gt;0,"NP",IF(COUNTIF(D74:H74,"Reconocimiento Créditos")&gt;0,"Reconocimiento Créditos",IF(COUNTIF(D74:H74,"Aprobado en otro curso")&gt;0,"Aprobado en otro curso",IF(COUNTBLANK(D74:H74)=0,"No Procede",IF(COUNTBLANK(D74:H74)&gt;3,"No Procede",IF(100*(5-SUMPRODUCT(D74:H74,$D$4:$H$4)/100)/(100-SUMPRODUCT((D74:H74&lt;&gt;"")*($D$4:$H$4)))&gt;10,"Necesita más de 10",IF(100*(5-SUMPRODUCT(D74:H74,$D$4:$H$4)/100)/(100-SUMPRODUCT((D74:H74&lt;&gt;"")*($D$4:$H$4)))&lt;0,"va bien encaminado",100*(5-SUMPRODUCT(D74:H74,$D$4:$H$4)/100)/(100-SUMPRODUCT((D74:H74&lt;&gt;"")*($D$4:$H$4))))))))))</f>
        <v>Reconocimiento Créditos</v>
      </c>
    </row>
    <row r="75" spans="2:45" ht="22" customHeight="1">
      <c r="B75" s="17"/>
      <c r="C75" s="21"/>
      <c r="D75" s="20"/>
      <c r="E75" s="22"/>
      <c r="F75" s="85"/>
      <c r="G75" s="85"/>
      <c r="H75" s="20"/>
      <c r="I75" s="81"/>
      <c r="K75" s="16"/>
      <c r="L75" s="39"/>
      <c r="M75" s="39"/>
      <c r="N75" s="67"/>
      <c r="O75" s="39"/>
      <c r="P75" s="39"/>
      <c r="Q75" s="67"/>
      <c r="R75" s="39"/>
      <c r="T75" s="16"/>
      <c r="U75" s="16"/>
    </row>
    <row r="76" spans="2:45" s="63" customFormat="1" ht="22" customHeight="1">
      <c r="B76" s="47"/>
      <c r="C76" s="51" t="s">
        <v>22</v>
      </c>
      <c r="D76" s="46"/>
      <c r="E76" s="86"/>
      <c r="F76" s="46"/>
      <c r="G76" s="46"/>
      <c r="H76" s="46"/>
      <c r="I76" s="82"/>
      <c r="K76" s="18" t="s">
        <v>50</v>
      </c>
      <c r="L76" s="34" t="s">
        <v>51</v>
      </c>
      <c r="M76" s="34" t="s">
        <v>53</v>
      </c>
      <c r="N76" s="58" t="s">
        <v>62</v>
      </c>
      <c r="O76" s="34" t="s">
        <v>64</v>
      </c>
      <c r="P76" s="34" t="s">
        <v>66</v>
      </c>
      <c r="Q76" s="58" t="s">
        <v>63</v>
      </c>
      <c r="R76" s="34" t="s">
        <v>65</v>
      </c>
      <c r="S76" s="18" t="s">
        <v>52</v>
      </c>
      <c r="T76" s="18" t="s">
        <v>56</v>
      </c>
      <c r="U76" s="18" t="s">
        <v>57</v>
      </c>
      <c r="V76" s="18" t="s">
        <v>58</v>
      </c>
      <c r="W76" s="18" t="s">
        <v>67</v>
      </c>
      <c r="X76" s="56" t="s">
        <v>68</v>
      </c>
      <c r="Y76" s="56" t="s">
        <v>69</v>
      </c>
      <c r="Z76" s="18" t="s">
        <v>70</v>
      </c>
      <c r="AA76" s="18" t="s">
        <v>71</v>
      </c>
      <c r="AB76" s="18" t="s">
        <v>77</v>
      </c>
      <c r="AI76" s="12"/>
      <c r="AJ76" s="12"/>
      <c r="AK76" s="12"/>
      <c r="AL76" s="12"/>
      <c r="AM76" s="12"/>
      <c r="AN76" s="12"/>
      <c r="AO76" s="12"/>
      <c r="AP76" s="12"/>
      <c r="AQ76" s="12"/>
      <c r="AR76" s="12"/>
      <c r="AS76" s="12"/>
    </row>
    <row r="77" spans="2:45" ht="22" customHeight="1">
      <c r="B77" s="19">
        <f>B74+1</f>
        <v>62</v>
      </c>
      <c r="C77" s="4" t="s">
        <v>30</v>
      </c>
      <c r="D77" s="98">
        <v>6</v>
      </c>
      <c r="E77" s="70">
        <v>5.65</v>
      </c>
      <c r="F77" s="97">
        <v>2.75</v>
      </c>
      <c r="G77" s="97">
        <v>2</v>
      </c>
      <c r="H77" s="97">
        <v>3.55</v>
      </c>
      <c r="I77" s="81">
        <f t="shared" ref="I77:I88" si="35">IF(COUNTA(D77:H77)=0, "", IF(COUNT(D77:H77)&lt;&gt;COUNTA(D77:H77), "NP", SUMPRODUCT(D77:H77, D$4:H$4)/100))</f>
        <v>3.88</v>
      </c>
      <c r="J77" s="60" t="s">
        <v>29</v>
      </c>
      <c r="K77" s="35" cm="1">
        <f t="array" ref="K77">IF(COUNTIF(D77:H77,"NP")&gt;0,"NP",IF(COUNTIF(D77:H77,"Reconocimiento Créditos")&gt;0,"Reconocimiento Créditos",IF(COUNTIF(D77:H77,"Aprobado en otro curso")&gt;0,"Aprobado en otro curso",IF(COUNTIF(D77:H77,"")&gt;0,"Faltan Calificaciones",AVERAGE((D77:H77-$D$128:$H$128)/$D$130:$H$130)))))</f>
        <v>-0.52430033729074754</v>
      </c>
      <c r="L77" s="40">
        <f t="shared" si="23"/>
        <v>0.16300000000000001</v>
      </c>
      <c r="M77" s="43">
        <f t="shared" si="24"/>
        <v>5.0666666666666664</v>
      </c>
      <c r="N77" s="35" cm="1">
        <f t="array" ref="N77">IF(COUNTIF(D77:H77,"NP")&gt;0,"NP",IF(COUNTIF(D77:H77,"Reconocimiento Créditos")&gt;0,"Reconocimiento Créditos",IF(COUNTIF(D77:H77,"Aprobado en otro curso")&gt;0,"Aprobado en otro curso",IF(COUNTIF(D77:H77,"")&gt;0,"Faltan Calificaciones",AVERAGE((D77:H77-$D$128:$H$128)*($D$2:$H$2="EXAMEN")/($D$130:$H$130)*($D$2:$H$2="EXAMEN"))))))</f>
        <v>-2.7373602293153599E-2</v>
      </c>
      <c r="O77" s="40">
        <f t="shared" si="25"/>
        <v>0.434</v>
      </c>
      <c r="P77" s="43">
        <f t="shared" si="26"/>
        <v>2.375</v>
      </c>
      <c r="Q77" s="35" cm="1">
        <f t="array" ref="Q77">IF(COUNTIF(D77:H77,"NP")&gt;0,"NP",IF(COUNTIF(D77:H77,"Reconocimiento Créditos")&gt;0,"Reconocimiento Créditos",IF(COUNTIF(D77:H77,"Aprobado en otro curso")&gt;0,"Aprobado en otro curso",IF(COUNTIF(D77:H77,"")&gt;0,"Faltan Calificaciones",AVERAGE((D77:H77-$D$128:$H$128)*($D$2:$H$2="Prueba Complementaria")/($D$130:$H$130)*($D$2:$H$2="Prueba Complementaria"))))))</f>
        <v>-0.49692673499759399</v>
      </c>
      <c r="R77" s="40">
        <f t="shared" si="27"/>
        <v>6.5000000000000002E-2</v>
      </c>
      <c r="S77" s="42">
        <f t="shared" si="28"/>
        <v>3.9899999999999998</v>
      </c>
      <c r="T77" s="43">
        <f t="shared" si="29"/>
        <v>-2.6916666666666664</v>
      </c>
      <c r="U77" s="40">
        <f t="shared" si="30"/>
        <v>-0.53125</v>
      </c>
      <c r="V77" s="40" t="str" cm="1">
        <f t="array" ref="V77">IF(COUNTIF(D77:H77,"NP")&gt;0,"NP",IF(COUNTIF(D77:H77,"Reconocimiento Créditos")&gt;0,"Reconocimiento Créditos",IF(COUNTIF(D77:H77,"Aprobado en otro curso")&gt;0,"Aprobado en otro curso",IF(COUNTBLANK(D77:H77)&gt;0,"Faltan Calificaciones",IF((SUMPRODUCT(($D$2:$H$2="EXAMEN")*((D77:H77-$D$128:$H$128)/$D$130:$H$130))/SUMPRODUCT(--($D$2:$H$2="EXAMEN")))-(SUMPRODUCT(($D$2:$H$2="PRUEBA COMPLEMENTARIA")*((D77:H77-$D$128:$H$128)/$D$130:$H$130))/SUMPRODUCT(--($D$2:$H$2="PRUEBA COMPLEMENTARIA")))&gt;0,"Exámenes","Actividades")))))</f>
        <v>Exámenes</v>
      </c>
      <c r="W77" s="35">
        <f t="shared" si="31"/>
        <v>3.8093149921451163E-3</v>
      </c>
      <c r="X77" s="35">
        <f t="shared" si="32"/>
        <v>1.5803164240113434</v>
      </c>
      <c r="Y77" s="71">
        <f t="shared" si="33"/>
        <v>-0.1392126264445005</v>
      </c>
      <c r="Z77" s="35" cm="1">
        <f t="array" ref="Z77">IF(COUNTIF(D77:H77,"NP")&gt;0,"NP",IF(COUNTIF(D77:H77,"Reconocimiento Créditos")&gt;0,"Reconocimiento Créditos",IF(COUNTIF(D77:H77,"Aprobado en otro curso")&gt;0,"Aprobado en otro curso",IF(COUNTIF($D$2:$H$2,"Examen")&lt;2,"Faltan Calificaciones",SLOPE(_xlfn._xlws.FILTER(D77:H77,$D$2:$H$2="EXAMEN"),_xlfn.SEQUENCE(1,COUNTIF($D$2:$H$2,"EXAMEN"),1,1))))))</f>
        <v>-1.2250000000000001</v>
      </c>
      <c r="AA77" s="35">
        <f t="shared" si="34"/>
        <v>-0.43999999999999995</v>
      </c>
      <c r="AB77" s="35" t="str" cm="1">
        <f t="array" ref="AB77">IF(COUNTIF(D77:H77,"NP")&gt;0,"NP",IF(COUNTIF(D77:H77,"Reconocimiento Créditos")&gt;0,"Reconocimiento Créditos",IF(COUNTIF(D77:H77,"Aprobado en otro curso")&gt;0,"Aprobado en otro curso",IF(COUNTBLANK(D77:H77)=0,"No Procede",IF(COUNTBLANK(D77:H77)&gt;3,"No Procede",IF(100*(5-SUMPRODUCT(D77:H77,$D$4:$H$4)/100)/(100-SUMPRODUCT((D77:H77&lt;&gt;"")*($D$4:$H$4)))&gt;10,"Necesita más de 10",IF(100*(5-SUMPRODUCT(D77:H77,$D$4:$H$4)/100)/(100-SUMPRODUCT((D77:H77&lt;&gt;"")*($D$4:$H$4)))&lt;0,"va bien encaminado",100*(5-SUMPRODUCT(D77:H77,$D$4:$H$4)/100)/(100-SUMPRODUCT((D77:H77&lt;&gt;"")*($D$4:$H$4))))))))))</f>
        <v>No Procede</v>
      </c>
    </row>
    <row r="78" spans="2:45" ht="22" customHeight="1">
      <c r="B78" s="19">
        <f>B77+1</f>
        <v>63</v>
      </c>
      <c r="C78" s="4" t="s">
        <v>30</v>
      </c>
      <c r="D78" s="98">
        <v>4</v>
      </c>
      <c r="E78" s="70">
        <v>3.5</v>
      </c>
      <c r="F78" s="97">
        <v>3.75</v>
      </c>
      <c r="G78" s="97">
        <v>7.6</v>
      </c>
      <c r="H78" s="98">
        <v>4.75</v>
      </c>
      <c r="I78" s="81">
        <f t="shared" si="35"/>
        <v>4.7275</v>
      </c>
      <c r="J78" s="60" t="s">
        <v>29</v>
      </c>
      <c r="K78" s="35" cm="1">
        <f t="array" ref="K78">IF(COUNTIF(D78:H78,"NP")&gt;0,"NP",IF(COUNTIF(D78:H78,"Reconocimiento Créditos")&gt;0,"Reconocimiento Créditos",IF(COUNTIF(D78:H78,"Aprobado en otro curso")&gt;0,"Aprobado en otro curso",IF(COUNTIF(D78:H78,"")&gt;0,"Faltan Calificaciones",AVERAGE((D78:H78-$D$128:$H$128)/$D$130:$H$130)))))</f>
        <v>-0.31193411343837479</v>
      </c>
      <c r="L78" s="40">
        <f t="shared" si="23"/>
        <v>0.26</v>
      </c>
      <c r="M78" s="43">
        <f t="shared" si="24"/>
        <v>4.083333333333333</v>
      </c>
      <c r="N78" s="35" cm="1">
        <f t="array" ref="N78">IF(COUNTIF(D78:H78,"NP")&gt;0,"NP",IF(COUNTIF(D78:H78,"Reconocimiento Créditos")&gt;0,"Reconocimiento Créditos",IF(COUNTIF(D78:H78,"Aprobado en otro curso")&gt;0,"Aprobado en otro curso",IF(COUNTIF(D78:H78,"")&gt;0,"Faltan Calificaciones",AVERAGE((D78:H78-$D$128:$H$128)*($D$2:$H$2="EXAMEN")/($D$130:$H$130)*($D$2:$H$2="EXAMEN"))))))</f>
        <v>-0.31055552766244138</v>
      </c>
      <c r="O78" s="40">
        <f t="shared" si="25"/>
        <v>0.20599999999999999</v>
      </c>
      <c r="P78" s="43">
        <f t="shared" si="26"/>
        <v>5.6749999999999998</v>
      </c>
      <c r="Q78" s="35" cm="1">
        <f t="array" ref="Q78">IF(COUNTIF(D78:H78,"NP")&gt;0,"NP",IF(COUNTIF(D78:H78,"Reconocimiento Créditos")&gt;0,"Reconocimiento Créditos",IF(COUNTIF(D78:H78,"Aprobado en otro curso")&gt;0,"Aprobado en otro curso",IF(COUNTIF(D78:H78,"")&gt;0,"Faltan Calificaciones",AVERAGE((D78:H78-$D$128:$H$128)*($D$2:$H$2="Prueba Complementaria")/($D$130:$H$130)*($D$2:$H$2="Prueba Complementaria"))))))</f>
        <v>-1.3785857759334164E-3</v>
      </c>
      <c r="R78" s="40">
        <f t="shared" si="27"/>
        <v>0.46700000000000003</v>
      </c>
      <c r="S78" s="42">
        <f t="shared" si="28"/>
        <v>4.7200000000000006</v>
      </c>
      <c r="T78" s="43">
        <f t="shared" si="29"/>
        <v>1.5916666666666668</v>
      </c>
      <c r="U78" s="40">
        <f t="shared" si="30"/>
        <v>0.38979591836734701</v>
      </c>
      <c r="V78" s="40" t="str" cm="1">
        <f t="array" ref="V78">IF(COUNTIF(D78:H78,"NP")&gt;0,"NP",IF(COUNTIF(D78:H78,"Reconocimiento Créditos")&gt;0,"Reconocimiento Créditos",IF(COUNTIF(D78:H78,"Aprobado en otro curso")&gt;0,"Aprobado en otro curso",IF(COUNTBLANK(D78:H78)&gt;0,"Faltan Calificaciones",IF((SUMPRODUCT(($D$2:$H$2="EXAMEN")*((D78:H78-$D$128:$H$128)/$D$130:$H$130))/SUMPRODUCT(--($D$2:$H$2="EXAMEN")))-(SUMPRODUCT(($D$2:$H$2="PRUEBA COMPLEMENTARIA")*((D78:H78-$D$128:$H$128)/$D$130:$H$130))/SUMPRODUCT(--($D$2:$H$2="PRUEBA COMPLEMENTARIA")))&gt;0,"Exámenes","Actividades")))))</f>
        <v>Actividades</v>
      </c>
      <c r="W78" s="35">
        <f t="shared" si="31"/>
        <v>3.3173912735015895E-2</v>
      </c>
      <c r="X78" s="35">
        <f t="shared" si="32"/>
        <v>1.4995332607181464</v>
      </c>
      <c r="Y78" s="71">
        <f t="shared" si="33"/>
        <v>1.0003112563716211E-2</v>
      </c>
      <c r="Z78" s="35" cm="1">
        <f t="array" ref="Z78">IF(COUNTIF(D78:H78,"NP")&gt;0,"NP",IF(COUNTIF(D78:H78,"Reconocimiento Créditos")&gt;0,"Reconocimiento Créditos",IF(COUNTIF(D78:H78,"Aprobado en otro curso")&gt;0,"Aprobado en otro curso",IF(COUNTIF($D$2:$H$2,"Examen")&lt;2,"Faltan Calificaciones",SLOPE(_xlfn._xlws.FILTER(D78:H78,$D$2:$H$2="EXAMEN"),_xlfn.SEQUENCE(1,COUNTIF($D$2:$H$2,"EXAMEN"),1,1))))))</f>
        <v>0.375</v>
      </c>
      <c r="AA78" s="35">
        <f t="shared" si="34"/>
        <v>2.9999999999999361E-2</v>
      </c>
      <c r="AB78" s="35" t="str" cm="1">
        <f t="array" ref="AB78">IF(COUNTIF(D78:H78,"NP")&gt;0,"NP",IF(COUNTIF(D78:H78,"Reconocimiento Créditos")&gt;0,"Reconocimiento Créditos",IF(COUNTIF(D78:H78,"Aprobado en otro curso")&gt;0,"Aprobado en otro curso",IF(COUNTBLANK(D78:H78)=0,"No Procede",IF(COUNTBLANK(D78:H78)&gt;3,"No Procede",IF(100*(5-SUMPRODUCT(D78:H78,$D$4:$H$4)/100)/(100-SUMPRODUCT((D78:H78&lt;&gt;"")*($D$4:$H$4)))&gt;10,"Necesita más de 10",IF(100*(5-SUMPRODUCT(D78:H78,$D$4:$H$4)/100)/(100-SUMPRODUCT((D78:H78&lt;&gt;"")*($D$4:$H$4)))&lt;0,"va bien encaminado",100*(5-SUMPRODUCT(D78:H78,$D$4:$H$4)/100)/(100-SUMPRODUCT((D78:H78&lt;&gt;"")*($D$4:$H$4))))))))))</f>
        <v>No Procede</v>
      </c>
      <c r="AI78" s="63"/>
      <c r="AJ78" s="63"/>
      <c r="AK78" s="63"/>
      <c r="AL78" s="63"/>
      <c r="AM78" s="63"/>
      <c r="AN78" s="63"/>
      <c r="AO78" s="63"/>
      <c r="AP78" s="63"/>
      <c r="AQ78" s="63"/>
      <c r="AR78" s="63"/>
      <c r="AS78" s="63"/>
    </row>
    <row r="79" spans="2:45" ht="22" customHeight="1">
      <c r="B79" s="19">
        <f t="shared" ref="B79:B88" si="36">B78+1</f>
        <v>64</v>
      </c>
      <c r="C79" s="4" t="s">
        <v>30</v>
      </c>
      <c r="D79" s="98">
        <v>1.5</v>
      </c>
      <c r="E79" s="70">
        <v>3.05</v>
      </c>
      <c r="F79" s="97">
        <v>3.5</v>
      </c>
      <c r="G79" s="97">
        <v>0.9</v>
      </c>
      <c r="H79" s="99" t="s">
        <v>16</v>
      </c>
      <c r="I79" s="81" t="str">
        <f t="shared" si="35"/>
        <v>NP</v>
      </c>
      <c r="J79" s="60" t="s">
        <v>29</v>
      </c>
      <c r="K79" s="35" t="str" cm="1">
        <f t="array" ref="K79">IF(COUNTIF(D79:H79,"NP")&gt;0,"NP",IF(COUNTIF(D79:H79,"Reconocimiento Créditos")&gt;0,"Reconocimiento Créditos",IF(COUNTIF(D79:H79,"Aprobado en otro curso")&gt;0,"Aprobado en otro curso",IF(COUNTIF(D79:H79,"")&gt;0,"Faltan Calificaciones",AVERAGE((D79:H79-$D$128:$H$128)/$D$130:$H$130)))))</f>
        <v>NP</v>
      </c>
      <c r="L79" s="40" t="str">
        <f t="shared" si="23"/>
        <v>NP</v>
      </c>
      <c r="M79" s="43" t="str">
        <f t="shared" si="24"/>
        <v>NP</v>
      </c>
      <c r="N79" s="35" t="str" cm="1">
        <f t="array" ref="N79">IF(COUNTIF(D79:H79,"NP")&gt;0,"NP",IF(COUNTIF(D79:H79,"Reconocimiento Créditos")&gt;0,"Reconocimiento Créditos",IF(COUNTIF(D79:H79,"Aprobado en otro curso")&gt;0,"Aprobado en otro curso",IF(COUNTIF(D79:H79,"")&gt;0,"Faltan Calificaciones",AVERAGE((D79:H79-$D$128:$H$128)*($D$2:$H$2="EXAMEN")/($D$130:$H$130)*($D$2:$H$2="EXAMEN"))))))</f>
        <v>NP</v>
      </c>
      <c r="O79" s="40" t="str">
        <f t="shared" si="25"/>
        <v>NP</v>
      </c>
      <c r="P79" s="43" t="str">
        <f t="shared" si="26"/>
        <v>NP</v>
      </c>
      <c r="Q79" s="35" t="str" cm="1">
        <f t="array" ref="Q79">IF(COUNTIF(D79:H79,"NP")&gt;0,"NP",IF(COUNTIF(D79:H79,"Reconocimiento Créditos")&gt;0,"Reconocimiento Créditos",IF(COUNTIF(D79:H79,"Aprobado en otro curso")&gt;0,"Aprobado en otro curso",IF(COUNTIF(D79:H79,"")&gt;0,"Faltan Calificaciones",AVERAGE((D79:H79-$D$128:$H$128)*($D$2:$H$2="Prueba Complementaria")/($D$130:$H$130)*($D$2:$H$2="Prueba Complementaria"))))))</f>
        <v>NP</v>
      </c>
      <c r="R79" s="40" t="str">
        <f t="shared" si="27"/>
        <v>NP</v>
      </c>
      <c r="S79" s="42" t="str">
        <f t="shared" si="28"/>
        <v>NP</v>
      </c>
      <c r="T79" s="43" t="str">
        <f t="shared" si="29"/>
        <v>NP</v>
      </c>
      <c r="U79" s="40" t="str">
        <f t="shared" si="30"/>
        <v>NP</v>
      </c>
      <c r="V79" s="40" t="str" cm="1">
        <f t="array" ref="V79">IF(COUNTIF(D79:H79,"NP")&gt;0,"NP",IF(COUNTIF(D79:H79,"Reconocimiento Créditos")&gt;0,"Reconocimiento Créditos",IF(COUNTIF(D79:H79,"Aprobado en otro curso")&gt;0,"Aprobado en otro curso",IF(COUNTBLANK(D79:H79)&gt;0,"Faltan Calificaciones",IF((SUMPRODUCT(($D$2:$H$2="EXAMEN")*((D79:H79-$D$128:$H$128)/$D$130:$H$130))/SUMPRODUCT(--($D$2:$H$2="EXAMEN")))-(SUMPRODUCT(($D$2:$H$2="PRUEBA COMPLEMENTARIA")*((D79:H79-$D$128:$H$128)/$D$130:$H$130))/SUMPRODUCT(--($D$2:$H$2="PRUEBA COMPLEMENTARIA")))&gt;0,"Exámenes","Actividades")))))</f>
        <v>NP</v>
      </c>
      <c r="W79" s="35" t="str">
        <f t="shared" si="31"/>
        <v>NP</v>
      </c>
      <c r="X79" s="35" t="str">
        <f t="shared" si="32"/>
        <v>NP</v>
      </c>
      <c r="Y79" s="71" t="str">
        <f t="shared" si="33"/>
        <v>NP</v>
      </c>
      <c r="Z79" s="35" t="str" cm="1">
        <f t="array" ref="Z79">IF(COUNTIF(D79:H79,"NP")&gt;0,"NP",IF(COUNTIF(D79:H79,"Reconocimiento Créditos")&gt;0,"Reconocimiento Créditos",IF(COUNTIF(D79:H79,"Aprobado en otro curso")&gt;0,"Aprobado en otro curso",IF(COUNTIF($D$2:$H$2,"Examen")&lt;2,"Faltan Calificaciones",SLOPE(_xlfn._xlws.FILTER(D79:H79,$D$2:$H$2="EXAMEN"),_xlfn.SEQUENCE(1,COUNTIF($D$2:$H$2,"EXAMEN"),1,1))))))</f>
        <v>NP</v>
      </c>
      <c r="AA79" s="35" t="str">
        <f t="shared" si="34"/>
        <v>NP</v>
      </c>
      <c r="AB79" s="35" t="str" cm="1">
        <f t="array" ref="AB79">IF(COUNTIF(D79:H79,"NP")&gt;0,"NP",IF(COUNTIF(D79:H79,"Reconocimiento Créditos")&gt;0,"Reconocimiento Créditos",IF(COUNTIF(D79:H79,"Aprobado en otro curso")&gt;0,"Aprobado en otro curso",IF(COUNTBLANK(D79:H79)=0,"No Procede",IF(COUNTBLANK(D79:H79)&gt;3,"No Procede",IF(100*(5-SUMPRODUCT(D79:H79,$D$4:$H$4)/100)/(100-SUMPRODUCT((D79:H79&lt;&gt;"")*($D$4:$H$4)))&gt;10,"Necesita más de 10",IF(100*(5-SUMPRODUCT(D79:H79,$D$4:$H$4)/100)/(100-SUMPRODUCT((D79:H79&lt;&gt;"")*($D$4:$H$4)))&lt;0,"va bien encaminado",100*(5-SUMPRODUCT(D79:H79,$D$4:$H$4)/100)/(100-SUMPRODUCT((D79:H79&lt;&gt;"")*($D$4:$H$4))))))))))</f>
        <v>NP</v>
      </c>
    </row>
    <row r="80" spans="2:45" ht="22" customHeight="1">
      <c r="B80" s="19">
        <f t="shared" si="36"/>
        <v>65</v>
      </c>
      <c r="C80" s="4" t="s">
        <v>30</v>
      </c>
      <c r="D80" s="98">
        <v>6</v>
      </c>
      <c r="E80" s="70">
        <v>5.55</v>
      </c>
      <c r="F80" s="97">
        <v>3.5</v>
      </c>
      <c r="G80" s="97">
        <v>4.5</v>
      </c>
      <c r="H80" s="98">
        <v>6.45</v>
      </c>
      <c r="I80" s="81">
        <f t="shared" si="35"/>
        <v>5.5125000000000002</v>
      </c>
      <c r="J80" s="60" t="s">
        <v>29</v>
      </c>
      <c r="K80" s="35" cm="1">
        <f t="array" ref="K80">IF(COUNTIF(D80:H80,"NP")&gt;0,"NP",IF(COUNTIF(D80:H80,"Reconocimiento Créditos")&gt;0,"Reconocimiento Créditos",IF(COUNTIF(D80:H80,"Aprobado en otro curso")&gt;0,"Aprobado en otro curso",IF(COUNTIF(D80:H80,"")&gt;0,"Faltan Calificaciones",AVERAGE((D80:H80-$D$128:$H$128)/$D$130:$H$130)))))</f>
        <v>-2.3104360726331763E-2</v>
      </c>
      <c r="L80" s="40">
        <f t="shared" si="23"/>
        <v>0.45600000000000002</v>
      </c>
      <c r="M80" s="43">
        <f t="shared" si="24"/>
        <v>6</v>
      </c>
      <c r="N80" s="35" cm="1">
        <f t="array" ref="N80">IF(COUNTIF(D80:H80,"NP")&gt;0,"NP",IF(COUNTIF(D80:H80,"Reconocimiento Créditos")&gt;0,"Reconocimiento Créditos",IF(COUNTIF(D80:H80,"Aprobado en otro curso")&gt;0,"Aprobado en otro curso",IF(COUNTIF(D80:H80,"")&gt;0,"Faltan Calificaciones",AVERAGE((D80:H80-$D$128:$H$128)*($D$2:$H$2="EXAMEN")/($D$130:$H$130)*($D$2:$H$2="EXAMEN"))))))</f>
        <v>0.22718285305939276</v>
      </c>
      <c r="O80" s="40">
        <f t="shared" si="25"/>
        <v>0.70599999999999996</v>
      </c>
      <c r="P80" s="43">
        <f t="shared" si="26"/>
        <v>4</v>
      </c>
      <c r="Q80" s="35" cm="1">
        <f t="array" ref="Q80">IF(COUNTIF(D80:H80,"NP")&gt;0,"NP",IF(COUNTIF(D80:H80,"Reconocimiento Créditos")&gt;0,"Reconocimiento Créditos",IF(COUNTIF(D80:H80,"Aprobado en otro curso")&gt;0,"Aprobado en otro curso",IF(COUNTIF(D80:H80,"")&gt;0,"Faltan Calificaciones",AVERAGE((D80:H80-$D$128:$H$128)*($D$2:$H$2="Prueba Complementaria")/($D$130:$H$130)*($D$2:$H$2="Prueba Complementaria"))))))</f>
        <v>-0.25028721378572449</v>
      </c>
      <c r="R80" s="40">
        <f t="shared" si="27"/>
        <v>0.152</v>
      </c>
      <c r="S80" s="42">
        <f t="shared" si="28"/>
        <v>5.2</v>
      </c>
      <c r="T80" s="43">
        <f t="shared" si="29"/>
        <v>-2</v>
      </c>
      <c r="U80" s="40">
        <f t="shared" si="30"/>
        <v>-0.33333333333333331</v>
      </c>
      <c r="V80" s="40" t="str" cm="1">
        <f t="array" ref="V80">IF(COUNTIF(D80:H80,"NP")&gt;0,"NP",IF(COUNTIF(D80:H80,"Reconocimiento Créditos")&gt;0,"Reconocimiento Créditos",IF(COUNTIF(D80:H80,"Aprobado en otro curso")&gt;0,"Aprobado en otro curso",IF(COUNTBLANK(D80:H80)&gt;0,"Faltan Calificaciones",IF((SUMPRODUCT(($D$2:$H$2="EXAMEN")*((D80:H80-$D$128:$H$128)/$D$130:$H$130))/SUMPRODUCT(--($D$2:$H$2="EXAMEN")))-(SUMPRODUCT(($D$2:$H$2="PRUEBA COMPLEMENTARIA")*((D80:H80-$D$128:$H$128)/$D$130:$H$130))/SUMPRODUCT(--($D$2:$H$2="PRUEBA COMPLEMENTARIA")))&gt;0,"Exámenes","Actividades")))))</f>
        <v>Exámenes</v>
      </c>
      <c r="W80" s="35">
        <f t="shared" si="31"/>
        <v>2.2586959786094162E-2</v>
      </c>
      <c r="X80" s="35">
        <f t="shared" si="32"/>
        <v>1.0681760154581261</v>
      </c>
      <c r="Y80" s="71">
        <f t="shared" si="33"/>
        <v>0.58510956149108617</v>
      </c>
      <c r="Z80" s="35" cm="1">
        <f t="array" ref="Z80">IF(COUNTIF(D80:H80,"NP")&gt;0,"NP",IF(COUNTIF(D80:H80,"Reconocimiento Créditos")&gt;0,"Reconocimiento Créditos",IF(COUNTIF(D80:H80,"Aprobado en otro curso")&gt;0,"Aprobado en otro curso",IF(COUNTIF($D$2:$H$2,"Examen")&lt;2,"Faltan Calificaciones",SLOPE(_xlfn._xlws.FILTER(D80:H80,$D$2:$H$2="EXAMEN"),_xlfn.SEQUENCE(1,COUNTIF($D$2:$H$2,"EXAMEN"),1,1))))))</f>
        <v>0.22500000000000009</v>
      </c>
      <c r="AA80" s="35">
        <f t="shared" si="34"/>
        <v>1.25</v>
      </c>
      <c r="AB80" s="35" t="str" cm="1">
        <f t="array" ref="AB80">IF(COUNTIF(D80:H80,"NP")&gt;0,"NP",IF(COUNTIF(D80:H80,"Reconocimiento Créditos")&gt;0,"Reconocimiento Créditos",IF(COUNTIF(D80:H80,"Aprobado en otro curso")&gt;0,"Aprobado en otro curso",IF(COUNTBLANK(D80:H80)=0,"No Procede",IF(COUNTBLANK(D80:H80)&gt;3,"No Procede",IF(100*(5-SUMPRODUCT(D80:H80,$D$4:$H$4)/100)/(100-SUMPRODUCT((D80:H80&lt;&gt;"")*($D$4:$H$4)))&gt;10,"Necesita más de 10",IF(100*(5-SUMPRODUCT(D80:H80,$D$4:$H$4)/100)/(100-SUMPRODUCT((D80:H80&lt;&gt;"")*($D$4:$H$4)))&lt;0,"va bien encaminado",100*(5-SUMPRODUCT(D80:H80,$D$4:$H$4)/100)/(100-SUMPRODUCT((D80:H80&lt;&gt;"")*($D$4:$H$4))))))))))</f>
        <v>No Procede</v>
      </c>
    </row>
    <row r="81" spans="2:45" ht="22" customHeight="1">
      <c r="B81" s="19">
        <f t="shared" si="36"/>
        <v>66</v>
      </c>
      <c r="C81" s="4" t="s">
        <v>30</v>
      </c>
      <c r="D81" s="98">
        <v>5.25</v>
      </c>
      <c r="E81" s="70">
        <v>0.9</v>
      </c>
      <c r="F81" s="97">
        <v>2.5</v>
      </c>
      <c r="G81" s="97">
        <v>7.25</v>
      </c>
      <c r="H81" s="98">
        <v>6.9</v>
      </c>
      <c r="I81" s="81">
        <f t="shared" si="35"/>
        <v>5.1449999999999996</v>
      </c>
      <c r="J81" s="60" t="s">
        <v>29</v>
      </c>
      <c r="K81" s="35" cm="1">
        <f t="array" ref="K81">IF(COUNTIF(D81:H81,"NP")&gt;0,"NP",IF(COUNTIF(D81:H81,"Reconocimiento Créditos")&gt;0,"Reconocimiento Créditos",IF(COUNTIF(D81:H81,"Aprobado en otro curso")&gt;0,"Aprobado en otro curso",IF(COUNTIF(D81:H81,"")&gt;0,"Faltan Calificaciones",AVERAGE((D81:H81-$D$128:$H$128)/$D$130:$H$130)))))</f>
        <v>-0.37949264896009205</v>
      </c>
      <c r="L81" s="40">
        <f t="shared" si="23"/>
        <v>0.39100000000000001</v>
      </c>
      <c r="M81" s="43">
        <f t="shared" si="24"/>
        <v>4.3500000000000005</v>
      </c>
      <c r="N81" s="35" cm="1">
        <f t="array" ref="N81">IF(COUNTIF(D81:H81,"NP")&gt;0,"NP",IF(COUNTIF(D81:H81,"Reconocimiento Créditos")&gt;0,"Reconocimiento Créditos",IF(COUNTIF(D81:H81,"Aprobado en otro curso")&gt;0,"Aprobado en otro curso",IF(COUNTIF(D81:H81,"")&gt;0,"Faltan Calificaciones",AVERAGE((D81:H81-$D$128:$H$128)*($D$2:$H$2="EXAMEN")/($D$130:$H$130)*($D$2:$H$2="EXAMEN"))))))</f>
        <v>-0.24773392264773025</v>
      </c>
      <c r="O81" s="40">
        <f t="shared" si="25"/>
        <v>0.22800000000000001</v>
      </c>
      <c r="P81" s="43">
        <f t="shared" si="26"/>
        <v>4.875</v>
      </c>
      <c r="Q81" s="35" cm="1">
        <f t="array" ref="Q81">IF(COUNTIF(D81:H81,"NP")&gt;0,"NP",IF(COUNTIF(D81:H81,"Reconocimiento Créditos")&gt;0,"Reconocimiento Créditos",IF(COUNTIF(D81:H81,"Aprobado en otro curso")&gt;0,"Aprobado en otro curso",IF(COUNTIF(D81:H81,"")&gt;0,"Faltan Calificaciones",AVERAGE((D81:H81-$D$128:$H$128)*($D$2:$H$2="Prueba Complementaria")/($D$130:$H$130)*($D$2:$H$2="Prueba Complementaria"))))))</f>
        <v>-0.1317587263123618</v>
      </c>
      <c r="R81" s="40">
        <f t="shared" si="27"/>
        <v>0.33600000000000002</v>
      </c>
      <c r="S81" s="42">
        <f t="shared" si="28"/>
        <v>4.5600000000000005</v>
      </c>
      <c r="T81" s="43">
        <f t="shared" si="29"/>
        <v>0.52499999999999947</v>
      </c>
      <c r="U81" s="40">
        <f t="shared" si="30"/>
        <v>0.12068965517241366</v>
      </c>
      <c r="V81" s="40" t="str" cm="1">
        <f t="array" ref="V81">IF(COUNTIF(D81:H81,"NP")&gt;0,"NP",IF(COUNTIF(D81:H81,"Reconocimiento Créditos")&gt;0,"Reconocimiento Créditos",IF(COUNTIF(D81:H81,"Aprobado en otro curso")&gt;0,"Aprobado en otro curso",IF(COUNTBLANK(D81:H81)&gt;0,"Faltan Calificaciones",IF((SUMPRODUCT(($D$2:$H$2="EXAMEN")*((D81:H81-$D$128:$H$128)/$D$130:$H$130))/SUMPRODUCT(--($D$2:$H$2="EXAMEN")))-(SUMPRODUCT(($D$2:$H$2="PRUEBA COMPLEMENTARIA")*((D81:H81-$D$128:$H$128)/$D$130:$H$130))/SUMPRODUCT(--($D$2:$H$2="PRUEBA COMPLEMENTARIA")))&gt;0,"Exámenes","Actividades")))))</f>
        <v>Actividades</v>
      </c>
      <c r="W81" s="35">
        <f t="shared" si="31"/>
        <v>2.6659615756446889E-2</v>
      </c>
      <c r="X81" s="35">
        <f t="shared" si="32"/>
        <v>2.4830223518929517</v>
      </c>
      <c r="Y81" s="71">
        <f t="shared" si="33"/>
        <v>0.47119994675361737</v>
      </c>
      <c r="Z81" s="35" cm="1">
        <f t="array" ref="Z81">IF(COUNTIF(D81:H81,"NP")&gt;0,"NP",IF(COUNTIF(D81:H81,"Reconocimiento Créditos")&gt;0,"Reconocimiento Créditos",IF(COUNTIF(D81:H81,"Aprobado en otro curso")&gt;0,"Aprobado en otro curso",IF(COUNTIF($D$2:$H$2,"Examen")&lt;2,"Faltan Calificaciones",SLOPE(_xlfn._xlws.FILTER(D81:H81,$D$2:$H$2="EXAMEN"),_xlfn.SEQUENCE(1,COUNTIF($D$2:$H$2,"EXAMEN"),1,1))))))</f>
        <v>0.82500000000000018</v>
      </c>
      <c r="AA81" s="35">
        <f t="shared" si="34"/>
        <v>2.34</v>
      </c>
      <c r="AB81" s="35" t="str" cm="1">
        <f t="array" ref="AB81">IF(COUNTIF(D81:H81,"NP")&gt;0,"NP",IF(COUNTIF(D81:H81,"Reconocimiento Créditos")&gt;0,"Reconocimiento Créditos",IF(COUNTIF(D81:H81,"Aprobado en otro curso")&gt;0,"Aprobado en otro curso",IF(COUNTBLANK(D81:H81)=0,"No Procede",IF(COUNTBLANK(D81:H81)&gt;3,"No Procede",IF(100*(5-SUMPRODUCT(D81:H81,$D$4:$H$4)/100)/(100-SUMPRODUCT((D81:H81&lt;&gt;"")*($D$4:$H$4)))&gt;10,"Necesita más de 10",IF(100*(5-SUMPRODUCT(D81:H81,$D$4:$H$4)/100)/(100-SUMPRODUCT((D81:H81&lt;&gt;"")*($D$4:$H$4)))&lt;0,"va bien encaminado",100*(5-SUMPRODUCT(D81:H81,$D$4:$H$4)/100)/(100-SUMPRODUCT((D81:H81&lt;&gt;"")*($D$4:$H$4))))))))))</f>
        <v>No Procede</v>
      </c>
    </row>
    <row r="82" spans="2:45" ht="22" customHeight="1">
      <c r="B82" s="19">
        <f t="shared" si="36"/>
        <v>67</v>
      </c>
      <c r="C82" s="4" t="s">
        <v>30</v>
      </c>
      <c r="D82" s="98">
        <v>2.2000000000000002</v>
      </c>
      <c r="E82" s="70">
        <v>1.9</v>
      </c>
      <c r="F82" s="97">
        <v>2.75</v>
      </c>
      <c r="G82" s="97">
        <v>5</v>
      </c>
      <c r="H82" s="98">
        <v>4.55</v>
      </c>
      <c r="I82" s="81">
        <f t="shared" si="35"/>
        <v>3.5975000000000001</v>
      </c>
      <c r="J82" s="60" t="s">
        <v>29</v>
      </c>
      <c r="K82" s="35" cm="1">
        <f t="array" ref="K82">IF(COUNTIF(D82:H82,"NP")&gt;0,"NP",IF(COUNTIF(D82:H82,"Reconocimiento Créditos")&gt;0,"Reconocimiento Créditos",IF(COUNTIF(D82:H82,"Aprobado en otro curso")&gt;0,"Aprobado en otro curso",IF(COUNTIF(D82:H82,"")&gt;0,"Faltan Calificaciones",AVERAGE((D82:H82-$D$128:$H$128)/$D$130:$H$130)))))</f>
        <v>-0.92617377212993401</v>
      </c>
      <c r="L82" s="40">
        <f t="shared" si="23"/>
        <v>0.13</v>
      </c>
      <c r="M82" s="43">
        <f t="shared" si="24"/>
        <v>2.8833333333333329</v>
      </c>
      <c r="N82" s="35" cm="1">
        <f t="array" ref="N82">IF(COUNTIF(D82:H82,"NP")&gt;0,"NP",IF(COUNTIF(D82:H82,"Reconocimiento Créditos")&gt;0,"Reconocimiento Créditos",IF(COUNTIF(D82:H82,"Aprobado en otro curso")&gt;0,"Aprobado en otro curso",IF(COUNTIF(D82:H82,"")&gt;0,"Faltan Calificaciones",AVERAGE((D82:H82-$D$128:$H$128)*($D$2:$H$2="EXAMEN")/($D$130:$H$130)*($D$2:$H$2="EXAMEN"))))))</f>
        <v>-0.64987337366947429</v>
      </c>
      <c r="O82" s="40">
        <f t="shared" si="25"/>
        <v>0.108</v>
      </c>
      <c r="P82" s="43">
        <f t="shared" si="26"/>
        <v>3.875</v>
      </c>
      <c r="Q82" s="35" cm="1">
        <f t="array" ref="Q82">IF(COUNTIF(D82:H82,"NP")&gt;0,"NP",IF(COUNTIF(D82:H82,"Reconocimiento Créditos")&gt;0,"Reconocimiento Créditos",IF(COUNTIF(D82:H82,"Aprobado en otro curso")&gt;0,"Aprobado en otro curso",IF(COUNTIF(D82:H82,"")&gt;0,"Faltan Calificaciones",AVERAGE((D82:H82-$D$128:$H$128)*($D$2:$H$2="Prueba Complementaria")/($D$130:$H$130)*($D$2:$H$2="Prueba Complementaria"))))))</f>
        <v>-0.27630039846045984</v>
      </c>
      <c r="R82" s="40">
        <f t="shared" si="27"/>
        <v>0.14099999999999999</v>
      </c>
      <c r="S82" s="42">
        <f t="shared" si="28"/>
        <v>3.28</v>
      </c>
      <c r="T82" s="43">
        <f t="shared" si="29"/>
        <v>0.99166666666666714</v>
      </c>
      <c r="U82" s="40">
        <f t="shared" si="30"/>
        <v>0.34393063583815053</v>
      </c>
      <c r="V82" s="40" t="str" cm="1">
        <f t="array" ref="V82">IF(COUNTIF(D82:H82,"NP")&gt;0,"NP",IF(COUNTIF(D82:H82,"Reconocimiento Créditos")&gt;0,"Reconocimiento Créditos",IF(COUNTIF(D82:H82,"Aprobado en otro curso")&gt;0,"Aprobado en otro curso",IF(COUNTBLANK(D82:H82)&gt;0,"Faltan Calificaciones",IF((SUMPRODUCT(($D$2:$H$2="EXAMEN")*((D82:H82-$D$128:$H$128)/$D$130:$H$130))/SUMPRODUCT(--($D$2:$H$2="EXAMEN")))-(SUMPRODUCT(($D$2:$H$2="PRUEBA COMPLEMENTARIA")*((D82:H82-$D$128:$H$128)/$D$130:$H$130))/SUMPRODUCT(--($D$2:$H$2="PRUEBA COMPLEMENTARIA")))&gt;0,"Exámenes","Actividades")))))</f>
        <v>Actividades</v>
      </c>
      <c r="W82" s="35">
        <f t="shared" si="31"/>
        <v>6.8359534281942913E-2</v>
      </c>
      <c r="X82" s="35">
        <f t="shared" si="32"/>
        <v>1.258808960883264</v>
      </c>
      <c r="Y82" s="71">
        <f t="shared" si="33"/>
        <v>0.50444509034511653</v>
      </c>
      <c r="Z82" s="35" cm="1">
        <f t="array" ref="Z82">IF(COUNTIF(D82:H82,"NP")&gt;0,"NP",IF(COUNTIF(D82:H82,"Reconocimiento Créditos")&gt;0,"Reconocimiento Créditos",IF(COUNTIF(D82:H82,"Aprobado en otro curso")&gt;0,"Aprobado en otro curso",IF(COUNTIF($D$2:$H$2,"Examen")&lt;2,"Faltan Calificaciones",SLOPE(_xlfn._xlws.FILTER(D82:H82,$D$2:$H$2="EXAMEN"),_xlfn.SEQUENCE(1,COUNTIF($D$2:$H$2,"EXAMEN"),1,1))))))</f>
        <v>1.1749999999999998</v>
      </c>
      <c r="AA82" s="35">
        <f t="shared" si="34"/>
        <v>1.27</v>
      </c>
      <c r="AB82" s="35" t="str" cm="1">
        <f t="array" ref="AB82">IF(COUNTIF(D82:H82,"NP")&gt;0,"NP",IF(COUNTIF(D82:H82,"Reconocimiento Créditos")&gt;0,"Reconocimiento Créditos",IF(COUNTIF(D82:H82,"Aprobado en otro curso")&gt;0,"Aprobado en otro curso",IF(COUNTBLANK(D82:H82)=0,"No Procede",IF(COUNTBLANK(D82:H82)&gt;3,"No Procede",IF(100*(5-SUMPRODUCT(D82:H82,$D$4:$H$4)/100)/(100-SUMPRODUCT((D82:H82&lt;&gt;"")*($D$4:$H$4)))&gt;10,"Necesita más de 10",IF(100*(5-SUMPRODUCT(D82:H82,$D$4:$H$4)/100)/(100-SUMPRODUCT((D82:H82&lt;&gt;"")*($D$4:$H$4)))&lt;0,"va bien encaminado",100*(5-SUMPRODUCT(D82:H82,$D$4:$H$4)/100)/(100-SUMPRODUCT((D82:H82&lt;&gt;"")*($D$4:$H$4))))))))))</f>
        <v>No Procede</v>
      </c>
    </row>
    <row r="83" spans="2:45" ht="22" customHeight="1">
      <c r="B83" s="19">
        <f t="shared" si="36"/>
        <v>68</v>
      </c>
      <c r="C83" s="4" t="s">
        <v>30</v>
      </c>
      <c r="D83" s="98">
        <v>5.25</v>
      </c>
      <c r="E83" s="70">
        <v>6.25</v>
      </c>
      <c r="F83" s="97">
        <v>4</v>
      </c>
      <c r="G83" s="97">
        <v>6.7</v>
      </c>
      <c r="H83" s="98">
        <v>6.45</v>
      </c>
      <c r="I83" s="81">
        <f t="shared" si="35"/>
        <v>5.91</v>
      </c>
      <c r="J83" s="60" t="s">
        <v>29</v>
      </c>
      <c r="K83" s="35" cm="1">
        <f t="array" ref="K83">IF(COUNTIF(D83:H83,"NP")&gt;0,"NP",IF(COUNTIF(D83:H83,"Reconocimiento Créditos")&gt;0,"Reconocimiento Créditos",IF(COUNTIF(D83:H83,"Aprobado en otro curso")&gt;0,"Aprobado en otro curso",IF(COUNTIF(D83:H83,"")&gt;0,"Faltan Calificaciones",AVERAGE((D83:H83-$D$128:$H$128)/$D$130:$H$130)))))</f>
        <v>0.17785421479127242</v>
      </c>
      <c r="L83" s="40">
        <f t="shared" si="23"/>
        <v>0.57599999999999996</v>
      </c>
      <c r="M83" s="43">
        <f t="shared" si="24"/>
        <v>5.9833333333333334</v>
      </c>
      <c r="N83" s="35" cm="1">
        <f t="array" ref="N83">IF(COUNTIF(D83:H83,"NP")&gt;0,"NP",IF(COUNTIF(D83:H83,"Reconocimiento Créditos")&gt;0,"Reconocimiento Créditos",IF(COUNTIF(D83:H83,"Aprobado en otro curso")&gt;0,"Aprobado en otro curso",IF(COUNTIF(D83:H83,"")&gt;0,"Faltan Calificaciones",AVERAGE((D83:H83-$D$128:$H$128)*($D$2:$H$2="EXAMEN")/($D$130:$H$130)*($D$2:$H$2="EXAMEN"))))))</f>
        <v>0.22449262127359346</v>
      </c>
      <c r="O83" s="40">
        <f t="shared" si="25"/>
        <v>0.67300000000000004</v>
      </c>
      <c r="P83" s="43">
        <f t="shared" si="26"/>
        <v>5.35</v>
      </c>
      <c r="Q83" s="35" cm="1">
        <f t="array" ref="Q83">IF(COUNTIF(D83:H83,"NP")&gt;0,"NP",IF(COUNTIF(D83:H83,"Reconocimiento Créditos")&gt;0,"Reconocimiento Créditos",IF(COUNTIF(D83:H83,"Aprobado en otro curso")&gt;0,"Aprobado en otro curso",IF(COUNTIF(D83:H83,"")&gt;0,"Faltan Calificaciones",AVERAGE((D83:H83-$D$128:$H$128)*($D$2:$H$2="Prueba Complementaria")/($D$130:$H$130)*($D$2:$H$2="Prueba Complementaria"))))))</f>
        <v>-4.6638406482321038E-2</v>
      </c>
      <c r="R83" s="40">
        <f t="shared" si="27"/>
        <v>0.42299999999999999</v>
      </c>
      <c r="S83" s="42">
        <f t="shared" si="28"/>
        <v>5.7299999999999995</v>
      </c>
      <c r="T83" s="43">
        <f t="shared" si="29"/>
        <v>-0.63333333333333375</v>
      </c>
      <c r="U83" s="40">
        <f t="shared" si="30"/>
        <v>-0.10584958217270202</v>
      </c>
      <c r="V83" s="40" t="str" cm="1">
        <f t="array" ref="V83">IF(COUNTIF(D83:H83,"NP")&gt;0,"NP",IF(COUNTIF(D83:H83,"Reconocimiento Créditos")&gt;0,"Reconocimiento Créditos",IF(COUNTIF(D83:H83,"Aprobado en otro curso")&gt;0,"Aprobado en otro curso",IF(COUNTBLANK(D83:H83)&gt;0,"Faltan Calificaciones",IF((SUMPRODUCT(($D$2:$H$2="EXAMEN")*((D83:H83-$D$128:$H$128)/$D$130:$H$130))/SUMPRODUCT(--($D$2:$H$2="EXAMEN")))-(SUMPRODUCT(($D$2:$H$2="PRUEBA COMPLEMENTARIA")*((D83:H83-$D$128:$H$128)/$D$130:$H$130))/SUMPRODUCT(--($D$2:$H$2="PRUEBA COMPLEMENTARIA")))&gt;0,"Exámenes","Actividades")))))</f>
        <v>Exámenes</v>
      </c>
      <c r="W83" s="35">
        <f t="shared" si="31"/>
        <v>2.230799574514394E-2</v>
      </c>
      <c r="X83" s="35">
        <f t="shared" si="32"/>
        <v>0.99528890278150328</v>
      </c>
      <c r="Y83" s="71">
        <f t="shared" si="33"/>
        <v>0.36170402281580821</v>
      </c>
      <c r="Z83" s="35" cm="1">
        <f t="array" ref="Z83">IF(COUNTIF(D83:H83,"NP")&gt;0,"NP",IF(COUNTIF(D83:H83,"Reconocimiento Créditos")&gt;0,"Reconocimiento Créditos",IF(COUNTIF(D83:H83,"Aprobado en otro curso")&gt;0,"Aprobado en otro curso",IF(COUNTIF($D$2:$H$2,"Examen")&lt;2,"Faltan Calificaciones",SLOPE(_xlfn._xlws.FILTER(D83:H83,$D$2:$H$2="EXAMEN"),_xlfn.SEQUENCE(1,COUNTIF($D$2:$H$2,"EXAMEN"),1,1))))))</f>
        <v>0.60000000000000009</v>
      </c>
      <c r="AA83" s="35">
        <f t="shared" si="34"/>
        <v>0.72000000000000064</v>
      </c>
      <c r="AB83" s="35" t="str" cm="1">
        <f t="array" ref="AB83">IF(COUNTIF(D83:H83,"NP")&gt;0,"NP",IF(COUNTIF(D83:H83,"Reconocimiento Créditos")&gt;0,"Reconocimiento Créditos",IF(COUNTIF(D83:H83,"Aprobado en otro curso")&gt;0,"Aprobado en otro curso",IF(COUNTBLANK(D83:H83)=0,"No Procede",IF(COUNTBLANK(D83:H83)&gt;3,"No Procede",IF(100*(5-SUMPRODUCT(D83:H83,$D$4:$H$4)/100)/(100-SUMPRODUCT((D83:H83&lt;&gt;"")*($D$4:$H$4)))&gt;10,"Necesita más de 10",IF(100*(5-SUMPRODUCT(D83:H83,$D$4:$H$4)/100)/(100-SUMPRODUCT((D83:H83&lt;&gt;"")*($D$4:$H$4)))&lt;0,"va bien encaminado",100*(5-SUMPRODUCT(D83:H83,$D$4:$H$4)/100)/(100-SUMPRODUCT((D83:H83&lt;&gt;"")*($D$4:$H$4))))))))))</f>
        <v>No Procede</v>
      </c>
    </row>
    <row r="84" spans="2:45" ht="22" customHeight="1">
      <c r="B84" s="19">
        <f t="shared" si="36"/>
        <v>69</v>
      </c>
      <c r="C84" s="4" t="s">
        <v>30</v>
      </c>
      <c r="D84" s="98">
        <v>4.3</v>
      </c>
      <c r="E84" s="70">
        <v>6.9</v>
      </c>
      <c r="F84" s="97">
        <v>3.5</v>
      </c>
      <c r="G84" s="97">
        <v>6</v>
      </c>
      <c r="H84" s="98">
        <v>5.05</v>
      </c>
      <c r="I84" s="81">
        <f t="shared" si="35"/>
        <v>5.125</v>
      </c>
      <c r="J84" s="60" t="s">
        <v>29</v>
      </c>
      <c r="K84" s="35" cm="1">
        <f t="array" ref="K84">IF(COUNTIF(D84:H84,"NP")&gt;0,"NP",IF(COUNTIF(D84:H84,"Reconocimiento Créditos")&gt;0,"Reconocimiento Créditos",IF(COUNTIF(D84:H84,"Aprobado en otro curso")&gt;0,"Aprobado en otro curso",IF(COUNTIF(D84:H84,"")&gt;0,"Faltan Calificaciones",AVERAGE((D84:H84-$D$128:$H$128)/$D$130:$H$130)))))</f>
        <v>-6.9112363855669545E-2</v>
      </c>
      <c r="L84" s="40">
        <f t="shared" si="23"/>
        <v>0.38</v>
      </c>
      <c r="M84" s="43">
        <f t="shared" si="24"/>
        <v>5.416666666666667</v>
      </c>
      <c r="N84" s="35" cm="1">
        <f t="array" ref="N84">IF(COUNTIF(D84:H84,"NP")&gt;0,"NP",IF(COUNTIF(D84:H84,"Reconocimiento Créditos")&gt;0,"Reconocimiento Créditos",IF(COUNTIF(D84:H84,"Aprobado en otro curso")&gt;0,"Aprobado en otro curso",IF(COUNTIF(D84:H84,"")&gt;0,"Faltan Calificaciones",AVERAGE((D84:H84-$D$128:$H$128)*($D$2:$H$2="EXAMEN")/($D$130:$H$130)*($D$2:$H$2="EXAMEN"))))))</f>
        <v>7.0861681661487916E-2</v>
      </c>
      <c r="O84" s="40">
        <f t="shared" si="25"/>
        <v>0.54300000000000004</v>
      </c>
      <c r="P84" s="43">
        <f t="shared" si="26"/>
        <v>4.75</v>
      </c>
      <c r="Q84" s="35" cm="1">
        <f t="array" ref="Q84">IF(COUNTIF(D84:H84,"NP")&gt;0,"NP",IF(COUNTIF(D84:H84,"Reconocimiento Créditos")&gt;0,"Reconocimiento Créditos",IF(COUNTIF(D84:H84,"Aprobado en otro curso")&gt;0,"Aprobado en otro curso",IF(COUNTIF(D84:H84,"")&gt;0,"Faltan Calificaciones",AVERAGE((D84:H84-$D$128:$H$128)*($D$2:$H$2="Prueba Complementaria")/($D$130:$H$130)*($D$2:$H$2="Prueba Complementaria"))))))</f>
        <v>-0.13997404551715747</v>
      </c>
      <c r="R84" s="40">
        <f t="shared" si="27"/>
        <v>0.315</v>
      </c>
      <c r="S84" s="42">
        <f t="shared" si="28"/>
        <v>5.15</v>
      </c>
      <c r="T84" s="43">
        <f t="shared" si="29"/>
        <v>-0.66666666666666696</v>
      </c>
      <c r="U84" s="40">
        <f t="shared" si="30"/>
        <v>-0.12307692307692313</v>
      </c>
      <c r="V84" s="40" t="str" cm="1">
        <f t="array" ref="V84">IF(COUNTIF(D84:H84,"NP")&gt;0,"NP",IF(COUNTIF(D84:H84,"Reconocimiento Créditos")&gt;0,"Reconocimiento Créditos",IF(COUNTIF(D84:H84,"Aprobado en otro curso")&gt;0,"Aprobado en otro curso",IF(COUNTBLANK(D84:H84)&gt;0,"Faltan Calificaciones",IF((SUMPRODUCT(($D$2:$H$2="EXAMEN")*((D84:H84-$D$128:$H$128)/$D$130:$H$130))/SUMPRODUCT(--($D$2:$H$2="EXAMEN")))-(SUMPRODUCT(($D$2:$H$2="PRUEBA COMPLEMENTARIA")*((D84:H84-$D$128:$H$128)/$D$130:$H$130))/SUMPRODUCT(--($D$2:$H$2="PRUEBA COMPLEMENTARIA")))&gt;0,"Exámenes","Actividades")))))</f>
        <v>Exámenes</v>
      </c>
      <c r="W84" s="35">
        <f t="shared" si="31"/>
        <v>6.3772094257638912E-3</v>
      </c>
      <c r="X84" s="35">
        <f t="shared" si="32"/>
        <v>1.2033287165193065</v>
      </c>
      <c r="Y84" s="71">
        <f t="shared" si="33"/>
        <v>-4.1551405957158428E-2</v>
      </c>
      <c r="Z84" s="35" cm="1">
        <f t="array" ref="Z84">IF(COUNTIF(D84:H84,"NP")&gt;0,"NP",IF(COUNTIF(D84:H84,"Reconocimiento Créditos")&gt;0,"Reconocimiento Créditos",IF(COUNTIF(D84:H84,"Aprobado en otro curso")&gt;0,"Aprobado en otro curso",IF(COUNTIF($D$2:$H$2,"Examen")&lt;2,"Faltan Calificaciones",SLOPE(_xlfn._xlws.FILTER(D84:H84,$D$2:$H$2="EXAMEN"),_xlfn.SEQUENCE(1,COUNTIF($D$2:$H$2,"EXAMEN"),1,1))))))</f>
        <v>0.375</v>
      </c>
      <c r="AA84" s="35">
        <f t="shared" si="34"/>
        <v>-0.10000000000000053</v>
      </c>
      <c r="AB84" s="35" t="str" cm="1">
        <f t="array" ref="AB84">IF(COUNTIF(D84:H84,"NP")&gt;0,"NP",IF(COUNTIF(D84:H84,"Reconocimiento Créditos")&gt;0,"Reconocimiento Créditos",IF(COUNTIF(D84:H84,"Aprobado en otro curso")&gt;0,"Aprobado en otro curso",IF(COUNTBLANK(D84:H84)=0,"No Procede",IF(COUNTBLANK(D84:H84)&gt;3,"No Procede",IF(100*(5-SUMPRODUCT(D84:H84,$D$4:$H$4)/100)/(100-SUMPRODUCT((D84:H84&lt;&gt;"")*($D$4:$H$4)))&gt;10,"Necesita más de 10",IF(100*(5-SUMPRODUCT(D84:H84,$D$4:$H$4)/100)/(100-SUMPRODUCT((D84:H84&lt;&gt;"")*($D$4:$H$4)))&lt;0,"va bien encaminado",100*(5-SUMPRODUCT(D84:H84,$D$4:$H$4)/100)/(100-SUMPRODUCT((D84:H84&lt;&gt;"")*($D$4:$H$4))))))))))</f>
        <v>No Procede</v>
      </c>
    </row>
    <row r="85" spans="2:45" ht="22" customHeight="1">
      <c r="B85" s="19">
        <f t="shared" si="36"/>
        <v>70</v>
      </c>
      <c r="C85" s="4" t="s">
        <v>30</v>
      </c>
      <c r="D85" s="98">
        <v>6.95</v>
      </c>
      <c r="E85" s="70">
        <v>9.75</v>
      </c>
      <c r="F85" s="97">
        <v>4</v>
      </c>
      <c r="G85" s="97">
        <v>5.5</v>
      </c>
      <c r="H85" s="97">
        <v>7.85</v>
      </c>
      <c r="I85" s="81">
        <f t="shared" si="35"/>
        <v>7.07</v>
      </c>
      <c r="J85" s="60" t="s">
        <v>29</v>
      </c>
      <c r="K85" s="35" cm="1">
        <f t="array" ref="K85">IF(COUNTIF(D85:H85,"NP")&gt;0,"NP",IF(COUNTIF(D85:H85,"Reconocimiento Créditos")&gt;0,"Reconocimiento Créditos",IF(COUNTIF(D85:H85,"Aprobado en otro curso")&gt;0,"Aprobado en otro curso",IF(COUNTIF(D85:H85,"")&gt;0,"Faltan Calificaciones",AVERAGE((D85:H85-$D$128:$H$128)/$D$130:$H$130)))))</f>
        <v>0.71117603477150204</v>
      </c>
      <c r="L85" s="40">
        <f t="shared" si="23"/>
        <v>0.90200000000000002</v>
      </c>
      <c r="M85" s="43">
        <f t="shared" si="24"/>
        <v>8.1833333333333318</v>
      </c>
      <c r="N85" s="35" cm="1">
        <f t="array" ref="N85">IF(COUNTIF(D85:H85,"NP")&gt;0,"NP",IF(COUNTIF(D85:H85,"Reconocimiento Créditos")&gt;0,"Reconocimiento Créditos",IF(COUNTIF(D85:H85,"Aprobado en otro curso")&gt;0,"Aprobado en otro curso",IF(COUNTIF(D85:H85,"")&gt;0,"Faltan Calificaciones",AVERAGE((D85:H85-$D$128:$H$128)*($D$2:$H$2="EXAMEN")/($D$130:$H$130)*($D$2:$H$2="EXAMEN"))))))</f>
        <v>0.84606497586867668</v>
      </c>
      <c r="O85" s="40">
        <f t="shared" si="25"/>
        <v>0.95599999999999996</v>
      </c>
      <c r="P85" s="43">
        <f t="shared" si="26"/>
        <v>4.75</v>
      </c>
      <c r="Q85" s="35" cm="1">
        <f t="array" ref="Q85">IF(COUNTIF(D85:H85,"NP")&gt;0,"NP",IF(COUNTIF(D85:H85,"Reconocimiento Créditos")&gt;0,"Reconocimiento Créditos",IF(COUNTIF(D85:H85,"Aprobado en otro curso")&gt;0,"Aprobado en otro curso",IF(COUNTIF(D85:H85,"")&gt;0,"Faltan Calificaciones",AVERAGE((D85:H85-$D$128:$H$128)*($D$2:$H$2="Prueba Complementaria")/($D$130:$H$130)*($D$2:$H$2="Prueba Complementaria"))))))</f>
        <v>-0.1348889410971747</v>
      </c>
      <c r="R85" s="40">
        <f t="shared" si="27"/>
        <v>0.315</v>
      </c>
      <c r="S85" s="42">
        <f t="shared" si="28"/>
        <v>6.81</v>
      </c>
      <c r="T85" s="43">
        <f t="shared" si="29"/>
        <v>-3.4333333333333318</v>
      </c>
      <c r="U85" s="40">
        <f t="shared" si="30"/>
        <v>-0.4195519348268838</v>
      </c>
      <c r="V85" s="40" t="str" cm="1">
        <f t="array" ref="V85">IF(COUNTIF(D85:H85,"NP")&gt;0,"NP",IF(COUNTIF(D85:H85,"Reconocimiento Créditos")&gt;0,"Reconocimiento Créditos",IF(COUNTIF(D85:H85,"Aprobado en otro curso")&gt;0,"Aprobado en otro curso",IF(COUNTBLANK(D85:H85)&gt;0,"Faltan Calificaciones",IF((SUMPRODUCT(($D$2:$H$2="EXAMEN")*((D85:H85-$D$128:$H$128)/$D$130:$H$130))/SUMPRODUCT(--($D$2:$H$2="EXAMEN")))-(SUMPRODUCT(($D$2:$H$2="PRUEBA COMPLEMENTARIA")*((D85:H85-$D$128:$H$128)/$D$130:$H$130))/SUMPRODUCT(--($D$2:$H$2="PRUEBA COMPLEMENTARIA")))&gt;0,"Exámenes","Actividades")))))</f>
        <v>Exámenes</v>
      </c>
      <c r="W85" s="35">
        <f t="shared" si="31"/>
        <v>8.6762046394639178E-2</v>
      </c>
      <c r="X85" s="35">
        <f t="shared" si="32"/>
        <v>1.9675873551128558</v>
      </c>
      <c r="Y85" s="71">
        <f t="shared" si="33"/>
        <v>0.26428305642885885</v>
      </c>
      <c r="Z85" s="35" cm="1">
        <f t="array" ref="Z85">IF(COUNTIF(D85:H85,"NP")&gt;0,"NP",IF(COUNTIF(D85:H85,"Reconocimiento Créditos")&gt;0,"Reconocimiento Créditos",IF(COUNTIF(D85:H85,"Aprobado en otro curso")&gt;0,"Aprobado en otro curso",IF(COUNTIF($D$2:$H$2,"Examen")&lt;2,"Faltan Calificaciones",SLOPE(_xlfn._xlws.FILTER(D85:H85,$D$2:$H$2="EXAMEN"),_xlfn.SEQUENCE(1,COUNTIF($D$2:$H$2,"EXAMEN"),1,1))))))</f>
        <v>0.44999999999999973</v>
      </c>
      <c r="AA85" s="35">
        <f t="shared" si="34"/>
        <v>1.04</v>
      </c>
      <c r="AB85" s="35" t="str" cm="1">
        <f t="array" ref="AB85">IF(COUNTIF(D85:H85,"NP")&gt;0,"NP",IF(COUNTIF(D85:H85,"Reconocimiento Créditos")&gt;0,"Reconocimiento Créditos",IF(COUNTIF(D85:H85,"Aprobado en otro curso")&gt;0,"Aprobado en otro curso",IF(COUNTBLANK(D85:H85)=0,"No Procede",IF(COUNTBLANK(D85:H85)&gt;3,"No Procede",IF(100*(5-SUMPRODUCT(D85:H85,$D$4:$H$4)/100)/(100-SUMPRODUCT((D85:H85&lt;&gt;"")*($D$4:$H$4)))&gt;10,"Necesita más de 10",IF(100*(5-SUMPRODUCT(D85:H85,$D$4:$H$4)/100)/(100-SUMPRODUCT((D85:H85&lt;&gt;"")*($D$4:$H$4)))&lt;0,"va bien encaminado",100*(5-SUMPRODUCT(D85:H85,$D$4:$H$4)/100)/(100-SUMPRODUCT((D85:H85&lt;&gt;"")*($D$4:$H$4))))))))))</f>
        <v>No Procede</v>
      </c>
    </row>
    <row r="86" spans="2:45" ht="22" customHeight="1">
      <c r="B86" s="19">
        <f t="shared" si="36"/>
        <v>71</v>
      </c>
      <c r="C86" s="4" t="s">
        <v>30</v>
      </c>
      <c r="D86" s="98">
        <v>4.4000000000000004</v>
      </c>
      <c r="E86" s="70">
        <v>6.55</v>
      </c>
      <c r="F86" s="97">
        <v>3</v>
      </c>
      <c r="G86" s="97">
        <v>7.75</v>
      </c>
      <c r="H86" s="98">
        <v>6.15</v>
      </c>
      <c r="I86" s="81">
        <f t="shared" si="35"/>
        <v>5.7149999999999999</v>
      </c>
      <c r="J86" s="60" t="s">
        <v>29</v>
      </c>
      <c r="K86" s="35" cm="1">
        <f t="array" ref="K86">IF(COUNTIF(D86:H86,"NP")&gt;0,"NP",IF(COUNTIF(D86:H86,"Reconocimiento Créditos")&gt;0,"Reconocimiento Créditos",IF(COUNTIF(D86:H86,"Aprobado en otro curso")&gt;0,"Aprobado en otro curso",IF(COUNTIF(D86:H86,"")&gt;0,"Faltan Calificaciones",AVERAGE((D86:H86-$D$128:$H$128)/$D$130:$H$130)))))</f>
        <v>9.3661877371075355E-2</v>
      </c>
      <c r="L86" s="40">
        <f t="shared" si="23"/>
        <v>0.54300000000000004</v>
      </c>
      <c r="M86" s="43">
        <f t="shared" si="24"/>
        <v>5.7</v>
      </c>
      <c r="N86" s="35" cm="1">
        <f t="array" ref="N86">IF(COUNTIF(D86:H86,"NP")&gt;0,"NP",IF(COUNTIF(D86:H86,"Reconocimiento Créditos")&gt;0,"Reconocimiento Créditos",IF(COUNTIF(D86:H86,"Aprobado en otro curso")&gt;0,"Aprobado en otro curso",IF(COUNTIF(D86:H86,"")&gt;0,"Faltan Calificaciones",AVERAGE((D86:H86-$D$128:$H$128)*($D$2:$H$2="EXAMEN")/($D$130:$H$130)*($D$2:$H$2="EXAMEN"))))))</f>
        <v>0.1467933870844097</v>
      </c>
      <c r="O86" s="40">
        <f t="shared" si="25"/>
        <v>0.60799999999999998</v>
      </c>
      <c r="P86" s="43">
        <f t="shared" si="26"/>
        <v>5.375</v>
      </c>
      <c r="Q86" s="35" cm="1">
        <f t="array" ref="Q86">IF(COUNTIF(D86:H86,"NP")&gt;0,"NP",IF(COUNTIF(D86:H86,"Reconocimiento Créditos")&gt;0,"Reconocimiento Créditos",IF(COUNTIF(D86:H86,"Aprobado en otro curso")&gt;0,"Aprobado en otro curso",IF(COUNTIF(D86:H86,"")&gt;0,"Faltan Calificaciones",AVERAGE((D86:H86-$D$128:$H$128)*($D$2:$H$2="Prueba Complementaria")/($D$130:$H$130)*($D$2:$H$2="Prueba Complementaria"))))))</f>
        <v>-5.3131509713334336E-2</v>
      </c>
      <c r="R86" s="40">
        <f t="shared" si="27"/>
        <v>0.434</v>
      </c>
      <c r="S86" s="42">
        <f t="shared" si="28"/>
        <v>5.57</v>
      </c>
      <c r="T86" s="43">
        <f t="shared" si="29"/>
        <v>-0.32500000000000018</v>
      </c>
      <c r="U86" s="40">
        <f t="shared" si="30"/>
        <v>-5.7017543859649154E-2</v>
      </c>
      <c r="V86" s="40" t="str" cm="1">
        <f t="array" ref="V86">IF(COUNTIF(D86:H86,"NP")&gt;0,"NP",IF(COUNTIF(D86:H86,"Reconocimiento Créditos")&gt;0,"Reconocimiento Créditos",IF(COUNTIF(D86:H86,"Aprobado en otro curso")&gt;0,"Aprobado en otro curso",IF(COUNTBLANK(D86:H86)&gt;0,"Faltan Calificaciones",IF((SUMPRODUCT(($D$2:$H$2="EXAMEN")*((D86:H86-$D$128:$H$128)/$D$130:$H$130))/SUMPRODUCT(--($D$2:$H$2="EXAMEN")))-(SUMPRODUCT(($D$2:$H$2="PRUEBA COMPLEMENTARIA")*((D86:H86-$D$128:$H$128)/$D$130:$H$130))/SUMPRODUCT(--($D$2:$H$2="PRUEBA COMPLEMENTARIA")))&gt;0,"Exámenes","Actividades")))))</f>
        <v>Exámenes</v>
      </c>
      <c r="W86" s="35">
        <f t="shared" si="31"/>
        <v>1.4250960487970907E-2</v>
      </c>
      <c r="X86" s="35">
        <f t="shared" si="32"/>
        <v>1.6746940019000474</v>
      </c>
      <c r="Y86" s="71">
        <f t="shared" si="33"/>
        <v>0.17316596325715411</v>
      </c>
      <c r="Z86" s="35" cm="1">
        <f t="array" ref="Z86">IF(COUNTIF(D86:H86,"NP")&gt;0,"NP",IF(COUNTIF(D86:H86,"Reconocimiento Créditos")&gt;0,"Reconocimiento Créditos",IF(COUNTIF(D86:H86,"Aprobado en otro curso")&gt;0,"Aprobado en otro curso",IF(COUNTIF($D$2:$H$2,"Examen")&lt;2,"Faltan Calificaciones",SLOPE(_xlfn._xlws.FILTER(D86:H86,$D$2:$H$2="EXAMEN"),_xlfn.SEQUENCE(1,COUNTIF($D$2:$H$2,"EXAMEN"),1,1))))))</f>
        <v>0.875</v>
      </c>
      <c r="AA86" s="35">
        <f t="shared" si="34"/>
        <v>0.58000000000000007</v>
      </c>
      <c r="AB86" s="35" t="str" cm="1">
        <f t="array" ref="AB86">IF(COUNTIF(D86:H86,"NP")&gt;0,"NP",IF(COUNTIF(D86:H86,"Reconocimiento Créditos")&gt;0,"Reconocimiento Créditos",IF(COUNTIF(D86:H86,"Aprobado en otro curso")&gt;0,"Aprobado en otro curso",IF(COUNTBLANK(D86:H86)=0,"No Procede",IF(COUNTBLANK(D86:H86)&gt;3,"No Procede",IF(100*(5-SUMPRODUCT(D86:H86,$D$4:$H$4)/100)/(100-SUMPRODUCT((D86:H86&lt;&gt;"")*($D$4:$H$4)))&gt;10,"Necesita más de 10",IF(100*(5-SUMPRODUCT(D86:H86,$D$4:$H$4)/100)/(100-SUMPRODUCT((D86:H86&lt;&gt;"")*($D$4:$H$4)))&lt;0,"va bien encaminado",100*(5-SUMPRODUCT(D86:H86,$D$4:$H$4)/100)/(100-SUMPRODUCT((D86:H86&lt;&gt;"")*($D$4:$H$4))))))))))</f>
        <v>No Procede</v>
      </c>
    </row>
    <row r="87" spans="2:45" ht="22" customHeight="1">
      <c r="B87" s="19">
        <f t="shared" si="36"/>
        <v>72</v>
      </c>
      <c r="C87" s="4" t="s">
        <v>30</v>
      </c>
      <c r="D87" s="98">
        <v>1.5</v>
      </c>
      <c r="E87" s="70">
        <v>4.9000000000000004</v>
      </c>
      <c r="F87" s="97">
        <v>1.75</v>
      </c>
      <c r="G87" s="97">
        <v>4.75</v>
      </c>
      <c r="H87" s="98">
        <v>1.1000000000000001</v>
      </c>
      <c r="I87" s="81">
        <f t="shared" si="35"/>
        <v>2.375</v>
      </c>
      <c r="J87" s="60" t="s">
        <v>29</v>
      </c>
      <c r="K87" s="35" cm="1">
        <f t="array" ref="K87">IF(COUNTIF(D87:H87,"NP")&gt;0,"NP",IF(COUNTIF(D87:H87,"Reconocimiento Créditos")&gt;0,"Reconocimiento Créditos",IF(COUNTIF(D87:H87,"Aprobado en otro curso")&gt;0,"Aprobado en otro curso",IF(COUNTIF(D87:H87,"")&gt;0,"Faltan Calificaciones",AVERAGE((D87:H87-$D$128:$H$128)/$D$130:$H$130)))))</f>
        <v>-1.1199178161031327</v>
      </c>
      <c r="L87" s="40">
        <f t="shared" si="23"/>
        <v>4.2999999999999997E-2</v>
      </c>
      <c r="M87" s="43">
        <f t="shared" si="24"/>
        <v>2.5</v>
      </c>
      <c r="N87" s="35" cm="1">
        <f t="array" ref="N87">IF(COUNTIF(D87:H87,"NP")&gt;0,"NP",IF(COUNTIF(D87:H87,"Reconocimiento Créditos")&gt;0,"Reconocimiento Créditos",IF(COUNTIF(D87:H87,"Aprobado en otro curso")&gt;0,"Aprobado en otro curso",IF(COUNTIF(D87:H87,"")&gt;0,"Faltan Calificaciones",AVERAGE((D87:H87-$D$128:$H$128)*($D$2:$H$2="EXAMEN")/($D$130:$H$130)*($D$2:$H$2="EXAMEN"))))))</f>
        <v>-0.74151956857890133</v>
      </c>
      <c r="O87" s="40">
        <f t="shared" si="25"/>
        <v>7.5999999999999998E-2</v>
      </c>
      <c r="P87" s="43">
        <f t="shared" si="26"/>
        <v>3.25</v>
      </c>
      <c r="Q87" s="35" cm="1">
        <f t="array" ref="Q87">IF(COUNTIF(D87:H87,"NP")&gt;0,"NP",IF(COUNTIF(D87:H87,"Reconocimiento Créditos")&gt;0,"Reconocimiento Créditos",IF(COUNTIF(D87:H87,"Aprobado en otro curso")&gt;0,"Aprobado en otro curso",IF(COUNTIF(D87:H87,"")&gt;0,"Faltan Calificaciones",AVERAGE((D87:H87-$D$128:$H$128)*($D$2:$H$2="Prueba Complementaria")/($D$130:$H$130)*($D$2:$H$2="Prueba Complementaria"))))))</f>
        <v>-0.37839824752423123</v>
      </c>
      <c r="R87" s="40">
        <f t="shared" si="27"/>
        <v>0.11899999999999999</v>
      </c>
      <c r="S87" s="42">
        <f t="shared" si="28"/>
        <v>2.8</v>
      </c>
      <c r="T87" s="43">
        <f t="shared" si="29"/>
        <v>0.75</v>
      </c>
      <c r="U87" s="40">
        <f t="shared" si="30"/>
        <v>0.3</v>
      </c>
      <c r="V87" s="40" t="str" cm="1">
        <f t="array" ref="V87">IF(COUNTIF(D87:H87,"NP")&gt;0,"NP",IF(COUNTIF(D87:H87,"Reconocimiento Créditos")&gt;0,"Reconocimiento Créditos",IF(COUNTIF(D87:H87,"Aprobado en otro curso")&gt;0,"Aprobado en otro curso",IF(COUNTBLANK(D87:H87)&gt;0,"Faltan Calificaciones",IF((SUMPRODUCT(($D$2:$H$2="EXAMEN")*((D87:H87-$D$128:$H$128)/$D$130:$H$130))/SUMPRODUCT(--($D$2:$H$2="EXAMEN")))-(SUMPRODUCT(($D$2:$H$2="PRUEBA COMPLEMENTARIA")*((D87:H87-$D$128:$H$128)/$D$130:$H$130))/SUMPRODUCT(--($D$2:$H$2="PRUEBA COMPLEMENTARIA")))&gt;0,"Exámenes","Actividades")))))</f>
        <v>Actividades</v>
      </c>
      <c r="W87" s="35">
        <f t="shared" si="31"/>
        <v>7.7862801994635439E-2</v>
      </c>
      <c r="X87" s="35">
        <f t="shared" si="32"/>
        <v>1.6670332930088712</v>
      </c>
      <c r="Y87" s="71">
        <f t="shared" si="33"/>
        <v>-0.50988783701242901</v>
      </c>
      <c r="Z87" s="35" cm="1">
        <f t="array" ref="Z87">IF(COUNTIF(D87:H87,"NP")&gt;0,"NP",IF(COUNTIF(D87:H87,"Reconocimiento Créditos")&gt;0,"Reconocimiento Créditos",IF(COUNTIF(D87:H87,"Aprobado en otro curso")&gt;0,"Aprobado en otro curso",IF(COUNTIF($D$2:$H$2,"Examen")&lt;2,"Faltan Calificaciones",SLOPE(_xlfn._xlws.FILTER(D87:H87,$D$2:$H$2="EXAMEN"),_xlfn.SEQUENCE(1,COUNTIF($D$2:$H$2,"EXAMEN"),1,1))))))</f>
        <v>-0.19999999999999996</v>
      </c>
      <c r="AA87" s="35">
        <f t="shared" si="34"/>
        <v>-1.6999999999999997</v>
      </c>
      <c r="AB87" s="35" t="str" cm="1">
        <f t="array" ref="AB87">IF(COUNTIF(D87:H87,"NP")&gt;0,"NP",IF(COUNTIF(D87:H87,"Reconocimiento Créditos")&gt;0,"Reconocimiento Créditos",IF(COUNTIF(D87:H87,"Aprobado en otro curso")&gt;0,"Aprobado en otro curso",IF(COUNTBLANK(D87:H87)=0,"No Procede",IF(COUNTBLANK(D87:H87)&gt;3,"No Procede",IF(100*(5-SUMPRODUCT(D87:H87,$D$4:$H$4)/100)/(100-SUMPRODUCT((D87:H87&lt;&gt;"")*($D$4:$H$4)))&gt;10,"Necesita más de 10",IF(100*(5-SUMPRODUCT(D87:H87,$D$4:$H$4)/100)/(100-SUMPRODUCT((D87:H87&lt;&gt;"")*($D$4:$H$4)))&lt;0,"va bien encaminado",100*(5-SUMPRODUCT(D87:H87,$D$4:$H$4)/100)/(100-SUMPRODUCT((D87:H87&lt;&gt;"")*($D$4:$H$4))))))))))</f>
        <v>No Procede</v>
      </c>
    </row>
    <row r="88" spans="2:45" ht="22" customHeight="1">
      <c r="B88" s="19">
        <f t="shared" si="36"/>
        <v>73</v>
      </c>
      <c r="C88" s="4" t="s">
        <v>30</v>
      </c>
      <c r="D88" s="98">
        <v>4.5</v>
      </c>
      <c r="E88" s="70">
        <v>4.8</v>
      </c>
      <c r="F88" s="97">
        <v>3</v>
      </c>
      <c r="G88" s="97">
        <v>5.75</v>
      </c>
      <c r="H88" s="98">
        <v>5.65</v>
      </c>
      <c r="I88" s="81">
        <f t="shared" si="35"/>
        <v>4.9675000000000002</v>
      </c>
      <c r="J88" s="60" t="s">
        <v>29</v>
      </c>
      <c r="K88" s="35" cm="1">
        <f t="array" ref="K88">IF(COUNTIF(D88:H88,"NP")&gt;0,"NP",IF(COUNTIF(D88:H88,"Reconocimiento Créditos")&gt;0,"Reconocimiento Créditos",IF(COUNTIF(D88:H88,"Aprobado en otro curso")&gt;0,"Aprobado en otro curso",IF(COUNTIF(D88:H88,"")&gt;0,"Faltan Calificaciones",AVERAGE((D88:H88-$D$128:$H$128)/$D$130:$H$130)))))</f>
        <v>-0.25752747673137671</v>
      </c>
      <c r="L88" s="40">
        <f t="shared" si="23"/>
        <v>0.32600000000000001</v>
      </c>
      <c r="M88" s="43">
        <f t="shared" si="24"/>
        <v>4.9833333333333334</v>
      </c>
      <c r="N88" s="35" cm="1">
        <f t="array" ref="N88">IF(COUNTIF(D88:H88,"NP")&gt;0,"NP",IF(COUNTIF(D88:H88,"Reconocimiento Créditos")&gt;0,"Reconocimiento Créditos",IF(COUNTIF(D88:H88,"Aprobado en otro curso")&gt;0,"Aprobado en otro curso",IF(COUNTIF(D88:H88,"")&gt;0,"Faltan Calificaciones",AVERAGE((D88:H88-$D$128:$H$128)*($D$2:$H$2="EXAMEN")/($D$130:$H$130)*($D$2:$H$2="EXAMEN"))))))</f>
        <v>-5.7311742659952904E-2</v>
      </c>
      <c r="O88" s="40">
        <f t="shared" si="25"/>
        <v>0.40200000000000002</v>
      </c>
      <c r="P88" s="43">
        <f t="shared" si="26"/>
        <v>4.375</v>
      </c>
      <c r="Q88" s="35" cm="1">
        <f t="array" ref="Q88">IF(COUNTIF(D88:H88,"NP")&gt;0,"NP",IF(COUNTIF(D88:H88,"Reconocimiento Créditos")&gt;0,"Reconocimiento Créditos",IF(COUNTIF(D88:H88,"Aprobado en otro curso")&gt;0,"Aprobado en otro curso",IF(COUNTIF(D88:H88,"")&gt;0,"Faltan Calificaciones",AVERAGE((D88:H88-$D$128:$H$128)*($D$2:$H$2="Prueba Complementaria")/($D$130:$H$130)*($D$2:$H$2="Prueba Complementaria"))))))</f>
        <v>-0.20021573407142376</v>
      </c>
      <c r="R88" s="40">
        <f t="shared" si="27"/>
        <v>0.22800000000000001</v>
      </c>
      <c r="S88" s="42">
        <f t="shared" si="28"/>
        <v>4.74</v>
      </c>
      <c r="T88" s="43">
        <f t="shared" si="29"/>
        <v>-0.60833333333333339</v>
      </c>
      <c r="U88" s="40">
        <f t="shared" si="30"/>
        <v>-0.12207357859531774</v>
      </c>
      <c r="V88" s="40" t="str" cm="1">
        <f t="array" ref="V88">IF(COUNTIF(D88:H88,"NP")&gt;0,"NP",IF(COUNTIF(D88:H88,"Reconocimiento Créditos")&gt;0,"Reconocimiento Créditos",IF(COUNTIF(D88:H88,"Aprobado en otro curso")&gt;0,"Aprobado en otro curso",IF(COUNTBLANK(D88:H88)&gt;0,"Faltan Calificaciones",IF((SUMPRODUCT(($D$2:$H$2="EXAMEN")*((D88:H88-$D$128:$H$128)/$D$130:$H$130))/SUMPRODUCT(--($D$2:$H$2="EXAMEN")))-(SUMPRODUCT(($D$2:$H$2="PRUEBA COMPLEMENTARIA")*((D88:H88-$D$128:$H$128)/$D$130:$H$130))/SUMPRODUCT(--($D$2:$H$2="PRUEBA COMPLEMENTARIA")))&gt;0,"Exámenes","Actividades")))))</f>
        <v>Exámenes</v>
      </c>
      <c r="W88" s="35">
        <f t="shared" si="31"/>
        <v>6.9137555311881062E-3</v>
      </c>
      <c r="X88" s="35">
        <f t="shared" si="32"/>
        <v>0.99368002898316987</v>
      </c>
      <c r="Y88" s="71">
        <f t="shared" si="33"/>
        <v>0.45789387602526221</v>
      </c>
      <c r="Z88" s="35" cm="1">
        <f t="array" ref="Z88">IF(COUNTIF(D88:H88,"NP")&gt;0,"NP",IF(COUNTIF(D88:H88,"Reconocimiento Créditos")&gt;0,"Reconocimiento Créditos",IF(COUNTIF(D88:H88,"Aprobado en otro curso")&gt;0,"Aprobado en otro curso",IF(COUNTIF($D$2:$H$2,"Examen")&lt;2,"Faltan Calificaciones",SLOPE(_xlfn._xlws.FILTER(D88:H88,$D$2:$H$2="EXAMEN"),_xlfn.SEQUENCE(1,COUNTIF($D$2:$H$2,"EXAMEN"),1,1))))))</f>
        <v>0.57500000000000018</v>
      </c>
      <c r="AA88" s="35">
        <f t="shared" si="34"/>
        <v>0.91000000000000014</v>
      </c>
      <c r="AB88" s="35" t="str" cm="1">
        <f t="array" ref="AB88">IF(COUNTIF(D88:H88,"NP")&gt;0,"NP",IF(COUNTIF(D88:H88,"Reconocimiento Créditos")&gt;0,"Reconocimiento Créditos",IF(COUNTIF(D88:H88,"Aprobado en otro curso")&gt;0,"Aprobado en otro curso",IF(COUNTBLANK(D88:H88)=0,"No Procede",IF(COUNTBLANK(D88:H88)&gt;3,"No Procede",IF(100*(5-SUMPRODUCT(D88:H88,$D$4:$H$4)/100)/(100-SUMPRODUCT((D88:H88&lt;&gt;"")*($D$4:$H$4)))&gt;10,"Necesita más de 10",IF(100*(5-SUMPRODUCT(D88:H88,$D$4:$H$4)/100)/(100-SUMPRODUCT((D88:H88&lt;&gt;"")*($D$4:$H$4)))&lt;0,"va bien encaminado",100*(5-SUMPRODUCT(D88:H88,$D$4:$H$4)/100)/(100-SUMPRODUCT((D88:H88&lt;&gt;"")*($D$4:$H$4))))))))))</f>
        <v>No Procede</v>
      </c>
    </row>
    <row r="89" spans="2:45" ht="22" customHeight="1">
      <c r="B89" s="17"/>
      <c r="C89" s="27"/>
      <c r="D89" s="88" t="s">
        <v>3</v>
      </c>
      <c r="E89" s="76" t="s">
        <v>4</v>
      </c>
      <c r="F89" s="88" t="s">
        <v>5</v>
      </c>
      <c r="G89" s="76" t="s">
        <v>59</v>
      </c>
      <c r="H89" s="20"/>
      <c r="I89" s="81"/>
      <c r="J89" s="16"/>
      <c r="K89" s="16"/>
      <c r="L89" s="16"/>
      <c r="M89" s="16"/>
      <c r="N89" s="16"/>
      <c r="O89" s="16"/>
      <c r="P89" s="16"/>
      <c r="Q89" s="16"/>
      <c r="R89" s="16"/>
      <c r="S89" s="16"/>
      <c r="T89" s="16"/>
      <c r="U89" s="16"/>
      <c r="V89" s="16"/>
      <c r="W89" s="16"/>
      <c r="X89" s="16"/>
      <c r="Y89" s="16"/>
      <c r="Z89" s="16"/>
      <c r="AA89" s="16"/>
      <c r="AB89" s="16"/>
      <c r="AC89" s="16"/>
      <c r="AD89" s="16"/>
    </row>
    <row r="90" spans="2:45" ht="22" customHeight="1" thickBot="1">
      <c r="B90" s="55" t="s">
        <v>2</v>
      </c>
      <c r="C90" s="54" t="s">
        <v>23</v>
      </c>
      <c r="D90" s="89"/>
      <c r="E90" s="89"/>
      <c r="F90" s="89"/>
      <c r="G90" s="89"/>
      <c r="H90" s="90"/>
      <c r="I90" s="83"/>
      <c r="J90" s="16"/>
      <c r="K90" s="16"/>
      <c r="L90" s="16"/>
      <c r="M90" s="16"/>
      <c r="N90" s="16"/>
      <c r="O90" s="16"/>
      <c r="P90" s="16"/>
      <c r="Q90" s="16"/>
      <c r="R90" s="16"/>
      <c r="S90" s="16"/>
      <c r="T90" s="16"/>
      <c r="U90" s="16"/>
      <c r="V90" s="16"/>
      <c r="W90" s="16"/>
      <c r="X90" s="16"/>
      <c r="Y90" s="16"/>
      <c r="Z90" s="16"/>
      <c r="AA90" s="16"/>
      <c r="AB90" s="16"/>
      <c r="AC90" s="16"/>
      <c r="AD90" s="16"/>
    </row>
    <row r="91" spans="2:45" ht="22" customHeight="1" thickBot="1">
      <c r="B91" s="49" t="s">
        <v>7</v>
      </c>
      <c r="C91" s="53" t="s">
        <v>8</v>
      </c>
      <c r="D91" s="91"/>
      <c r="E91" s="92"/>
      <c r="F91" s="91"/>
      <c r="G91" s="91"/>
      <c r="H91" s="91"/>
      <c r="I91" s="82"/>
      <c r="K91" s="16"/>
      <c r="L91" s="39"/>
      <c r="M91" s="39"/>
      <c r="N91" s="67"/>
      <c r="O91" s="39"/>
      <c r="P91" s="39"/>
      <c r="Q91" s="67"/>
      <c r="R91" s="39"/>
      <c r="T91" s="16"/>
      <c r="U91" s="16"/>
      <c r="AI91" s="63"/>
      <c r="AJ91" s="63"/>
      <c r="AK91" s="63"/>
      <c r="AL91" s="63"/>
      <c r="AM91" s="63"/>
      <c r="AN91" s="63"/>
      <c r="AO91" s="63"/>
      <c r="AP91" s="63"/>
      <c r="AQ91" s="63"/>
      <c r="AR91" s="63"/>
      <c r="AS91" s="63"/>
    </row>
    <row r="92" spans="2:45" s="63" customFormat="1" ht="22" customHeight="1">
      <c r="B92" s="47"/>
      <c r="C92" s="52" t="s">
        <v>61</v>
      </c>
      <c r="D92" s="48"/>
      <c r="E92" s="87"/>
      <c r="F92" s="48"/>
      <c r="G92" s="48"/>
      <c r="H92" s="48"/>
      <c r="I92" s="82"/>
      <c r="K92" s="18" t="s">
        <v>50</v>
      </c>
      <c r="L92" s="34" t="s">
        <v>51</v>
      </c>
      <c r="M92" s="34" t="s">
        <v>53</v>
      </c>
      <c r="N92" s="58" t="s">
        <v>62</v>
      </c>
      <c r="O92" s="34" t="s">
        <v>64</v>
      </c>
      <c r="P92" s="34" t="s">
        <v>66</v>
      </c>
      <c r="Q92" s="58" t="s">
        <v>63</v>
      </c>
      <c r="R92" s="34" t="s">
        <v>65</v>
      </c>
      <c r="S92" s="18" t="s">
        <v>52</v>
      </c>
      <c r="T92" s="18" t="s">
        <v>56</v>
      </c>
      <c r="U92" s="18" t="s">
        <v>57</v>
      </c>
      <c r="V92" s="18" t="s">
        <v>58</v>
      </c>
      <c r="W92" s="18" t="s">
        <v>67</v>
      </c>
      <c r="X92" s="56" t="s">
        <v>68</v>
      </c>
      <c r="Y92" s="56" t="s">
        <v>69</v>
      </c>
      <c r="Z92" s="18" t="s">
        <v>70</v>
      </c>
      <c r="AA92" s="18" t="s">
        <v>71</v>
      </c>
      <c r="AB92" s="18" t="s">
        <v>77</v>
      </c>
      <c r="AI92" s="12"/>
      <c r="AJ92" s="12"/>
      <c r="AK92" s="12"/>
      <c r="AL92" s="12"/>
      <c r="AM92" s="12"/>
      <c r="AN92" s="12"/>
      <c r="AO92" s="12"/>
      <c r="AP92" s="12"/>
      <c r="AQ92" s="12"/>
      <c r="AR92" s="12"/>
      <c r="AS92" s="12"/>
    </row>
    <row r="93" spans="2:45" ht="22" customHeight="1">
      <c r="B93" s="19">
        <v>1</v>
      </c>
      <c r="C93" s="4" t="s">
        <v>30</v>
      </c>
      <c r="D93" s="98">
        <v>6.1</v>
      </c>
      <c r="E93" s="70">
        <v>5.6</v>
      </c>
      <c r="F93" s="97">
        <v>7</v>
      </c>
      <c r="G93" s="97">
        <v>6.5</v>
      </c>
      <c r="H93" s="97">
        <v>5.8</v>
      </c>
      <c r="I93" s="81">
        <f>IF(COUNTA(D93:H93)=0, "", IF(COUNT(D93:H93)&lt;&gt;COUNTA(D93:H93), "NP", SUMPRODUCT(D93:H93, D$4:H$4)/100))</f>
        <v>6.1</v>
      </c>
      <c r="J93" s="60" t="s">
        <v>29</v>
      </c>
      <c r="K93" s="35" cm="1">
        <f t="array" ref="K93">IF(COUNTIF(D93:H93,"NP")&gt;0,"NP",IF(COUNTIF(D93:H93,"Reconocimiento Créditos")&gt;0,"Reconocimiento Créditos",IF(COUNTIF(D93:H93,"Aprobado en otro curso")&gt;0,"Aprobado en otro curso",IF(COUNTIF(D93:H93,"")&gt;0,"Faltan Calificaciones",AVERAGE((D93:H93-$D$128:$H$128)/$D$130:$H$130)))))</f>
        <v>0.37187550674453418</v>
      </c>
      <c r="L93" s="40">
        <f t="shared" si="23"/>
        <v>0.65200000000000002</v>
      </c>
      <c r="M93" s="43">
        <f t="shared" si="24"/>
        <v>5.833333333333333</v>
      </c>
      <c r="N93" s="35" cm="1">
        <f t="array" ref="N93">IF(COUNTIF(D93:H93,"NP")&gt;0,"NP",IF(COUNTIF(D93:H93,"Reconocimiento Créditos")&gt;0,"Reconocimiento Créditos",IF(COUNTIF(D93:H93,"Aprobado en otro curso")&gt;0,"Aprobado en otro curso",IF(COUNTIF(D93:H93,"")&gt;0,"Faltan Calificaciones",AVERAGE((D93:H93-$D$128:$H$128)*($D$2:$H$2="EXAMEN")/($D$130:$H$130)*($D$2:$H$2="EXAMEN"))))))</f>
        <v>0.18208537260563351</v>
      </c>
      <c r="O93" s="40">
        <f t="shared" si="25"/>
        <v>0.63</v>
      </c>
      <c r="P93" s="43">
        <f t="shared" si="26"/>
        <v>6.75</v>
      </c>
      <c r="Q93" s="35" cm="1">
        <f t="array" ref="Q93">IF(COUNTIF(D93:H93,"NP")&gt;0,"NP",IF(COUNTIF(D93:H93,"Reconocimiento Créditos")&gt;0,"Reconocimiento Créditos",IF(COUNTIF(D93:H93,"Aprobado en otro curso")&gt;0,"Aprobado en otro curso",IF(COUNTIF(D93:H93,"")&gt;0,"Faltan Calificaciones",AVERAGE((D93:H93-$D$128:$H$128)*($D$2:$H$2="Prueba Complementaria")/($D$130:$H$130)*($D$2:$H$2="Prueba Complementaria"))))))</f>
        <v>0.18979013413890061</v>
      </c>
      <c r="R93" s="40">
        <f t="shared" si="27"/>
        <v>0.70599999999999996</v>
      </c>
      <c r="S93" s="42">
        <f t="shared" si="28"/>
        <v>6.2</v>
      </c>
      <c r="T93" s="43">
        <f t="shared" si="29"/>
        <v>0.91666666666666696</v>
      </c>
      <c r="U93" s="40">
        <f t="shared" si="30"/>
        <v>0.1571428571428572</v>
      </c>
      <c r="V93" s="40" t="str" cm="1">
        <f t="array" ref="V93">IF(COUNTIF(D93:H93,"NP")&gt;0,"NP",IF(COUNTIF(D93:H93,"Reconocimiento Créditos")&gt;0,"Reconocimiento Créditos",IF(COUNTIF(D93:H93,"Aprobado en otro curso")&gt;0,"Aprobado en otro curso",IF(COUNTBLANK(D93:H93)&gt;0,"Faltan Calificaciones",IF((SUMPRODUCT(($D$2:$H$2="EXAMEN")*((D93:H93-$D$128:$H$128)/$D$130:$H$130))/SUMPRODUCT(--($D$2:$H$2="EXAMEN")))-(SUMPRODUCT(($D$2:$H$2="PRUEBA COMPLEMENTARIA")*((D93:H93-$D$128:$H$128)/$D$130:$H$130))/SUMPRODUCT(--($D$2:$H$2="PRUEBA COMPLEMENTARIA")))&gt;0,"Exámenes","Actividades")))))</f>
        <v>Actividades</v>
      </c>
      <c r="W93" s="35">
        <f t="shared" si="31"/>
        <v>1.7910568907634376E-2</v>
      </c>
      <c r="X93" s="35">
        <f t="shared" si="32"/>
        <v>0.5019960159204454</v>
      </c>
      <c r="Y93" s="71">
        <f t="shared" si="33"/>
        <v>-0.39840953644479782</v>
      </c>
      <c r="Z93" s="35" cm="1">
        <f t="array" ref="Z93">IF(COUNTIF(D93:H93,"NP")&gt;0,"NP",IF(COUNTIF(D93:H93,"Reconocimiento Créditos")&gt;0,"Reconocimiento Créditos",IF(COUNTIF(D93:H93,"Aprobado en otro curso")&gt;0,"Aprobado en otro curso",IF(COUNTIF($D$2:$H$2,"Examen")&lt;2,"Faltan Calificaciones",SLOPE(_xlfn._xlws.FILTER(D93:H93,$D$2:$H$2="EXAMEN"),_xlfn.SEQUENCE(1,COUNTIF($D$2:$H$2,"EXAMEN"),1,1))))))</f>
        <v>-0.14999999999999991</v>
      </c>
      <c r="AA93" s="35">
        <f t="shared" si="34"/>
        <v>-0.40000000000000036</v>
      </c>
      <c r="AB93" s="35" t="str" cm="1">
        <f t="array" ref="AB93">IF(COUNTIF(D93:H93,"NP")&gt;0,"NP",IF(COUNTIF(D93:H93,"Reconocimiento Créditos")&gt;0,"Reconocimiento Créditos",IF(COUNTIF(D93:H93,"Aprobado en otro curso")&gt;0,"Aprobado en otro curso",IF(COUNTBLANK(D93:H93)=0,"No Procede",IF(COUNTBLANK(D93:H93)&gt;3,"No Procede",IF(100*(5-SUMPRODUCT(D93:H93,$D$4:$H$4)/100)/(100-SUMPRODUCT((D93:H93&lt;&gt;"")*($D$4:$H$4)))&gt;10,"Necesita más de 10",IF(100*(5-SUMPRODUCT(D93:H93,$D$4:$H$4)/100)/(100-SUMPRODUCT((D93:H93&lt;&gt;"")*($D$4:$H$4)))&lt;0,"va bien encaminado",100*(5-SUMPRODUCT(D93:H93,$D$4:$H$4)/100)/(100-SUMPRODUCT((D93:H93&lt;&gt;"")*($D$4:$H$4))))))))))</f>
        <v>No Procede</v>
      </c>
    </row>
    <row r="94" spans="2:45" ht="22" customHeight="1">
      <c r="B94" s="19">
        <f>B93+1</f>
        <v>2</v>
      </c>
      <c r="C94" s="4" t="s">
        <v>30</v>
      </c>
      <c r="D94" s="98">
        <v>6.6</v>
      </c>
      <c r="E94" s="70">
        <v>5.5</v>
      </c>
      <c r="F94" s="97">
        <v>8</v>
      </c>
      <c r="G94" s="97">
        <v>1.25</v>
      </c>
      <c r="H94" s="97">
        <v>3.7</v>
      </c>
      <c r="I94" s="81">
        <f>IF(COUNTA(D94:H94)=0, "", IF(COUNT(D94:H94)&lt;&gt;COUNTA(D94:H94), "NP", SUMPRODUCT(D94:H94, D$4:H$4)/100))</f>
        <v>4.6825000000000001</v>
      </c>
      <c r="J94" s="60" t="s">
        <v>29</v>
      </c>
      <c r="K94" s="35" cm="1">
        <f t="array" ref="K94">IF(COUNTIF(D94:H94,"NP")&gt;0,"NP",IF(COUNTIF(D94:H94,"Reconocimiento Créditos")&gt;0,"Reconocimiento Créditos",IF(COUNTIF(D94:H94,"Aprobado en otro curso")&gt;0,"Aprobado en otro curso",IF(COUNTIF(D94:H94,"")&gt;0,"Faltan Calificaciones",AVERAGE((D94:H94-$D$128:$H$128)/$D$130:$H$130)))))</f>
        <v>-8.4821645325693626E-2</v>
      </c>
      <c r="L94" s="40">
        <f t="shared" si="23"/>
        <v>0.22800000000000001</v>
      </c>
      <c r="M94" s="43">
        <f t="shared" si="24"/>
        <v>5.2666666666666666</v>
      </c>
      <c r="N94" s="35" cm="1">
        <f t="array" ref="N94">IF(COUNTIF(D94:H94,"NP")&gt;0,"NP",IF(COUNTIF(D94:H94,"Reconocimiento Créditos")&gt;0,"Reconocimiento Créditos",IF(COUNTIF(D94:H94,"Aprobado en otro curso")&gt;0,"Aprobado en otro curso",IF(COUNTIF(D94:H94,"")&gt;0,"Faltan Calificaciones",AVERAGE((D94:H94-$D$128:$H$128)*($D$2:$H$2="EXAMEN")/($D$130:$H$130)*($D$2:$H$2="EXAMEN"))))))</f>
        <v>2.7771988456380247E-2</v>
      </c>
      <c r="O94" s="40">
        <f t="shared" si="25"/>
        <v>0.51</v>
      </c>
      <c r="P94" s="43">
        <f t="shared" si="26"/>
        <v>4.625</v>
      </c>
      <c r="Q94" s="35" cm="1">
        <f t="array" ref="Q94">IF(COUNTIF(D94:H94,"NP")&gt;0,"NP",IF(COUNTIF(D94:H94,"Reconocimiento Créditos")&gt;0,"Reconocimiento Créditos",IF(COUNTIF(D94:H94,"Aprobado en otro curso")&gt;0,"Aprobado en otro curso",IF(COUNTIF(D94:H94,"")&gt;0,"Faltan Calificaciones",AVERAGE((D94:H94-$D$128:$H$128)*($D$2:$H$2="Prueba Complementaria")/($D$130:$H$130)*($D$2:$H$2="Prueba Complementaria"))))))</f>
        <v>-0.11259363378207388</v>
      </c>
      <c r="R94" s="40">
        <f t="shared" si="27"/>
        <v>0.29299999999999998</v>
      </c>
      <c r="S94" s="42">
        <f t="shared" si="28"/>
        <v>5.01</v>
      </c>
      <c r="T94" s="43">
        <f t="shared" si="29"/>
        <v>-0.64166666666666661</v>
      </c>
      <c r="U94" s="40">
        <f t="shared" si="30"/>
        <v>-0.12183544303797468</v>
      </c>
      <c r="V94" s="40" t="str" cm="1">
        <f t="array" ref="V94">IF(COUNTIF(D94:H94,"NP")&gt;0,"NP",IF(COUNTIF(D94:H94,"Reconocimiento Créditos")&gt;0,"Reconocimiento Créditos",IF(COUNTIF(D94:H94,"Aprobado en otro curso")&gt;0,"Aprobado en otro curso",IF(COUNTBLANK(D94:H94)&gt;0,"Faltan Calificaciones",IF((SUMPRODUCT(($D$2:$H$2="EXAMEN")*((D94:H94-$D$128:$H$128)/$D$130:$H$130))/SUMPRODUCT(--($D$2:$H$2="EXAMEN")))-(SUMPRODUCT(($D$2:$H$2="PRUEBA COMPLEMENTARIA")*((D94:H94-$D$128:$H$128)/$D$130:$H$130))/SUMPRODUCT(--($D$2:$H$2="PRUEBA COMPLEMENTARIA")))&gt;0,"Exámenes","Actividades")))))</f>
        <v>Exámenes</v>
      </c>
      <c r="W94" s="35">
        <f t="shared" si="31"/>
        <v>1.9090163863188423E-3</v>
      </c>
      <c r="X94" s="35">
        <f t="shared" si="32"/>
        <v>2.347850080392698</v>
      </c>
      <c r="Y94" s="71">
        <f t="shared" si="33"/>
        <v>-0.27897863047986676</v>
      </c>
      <c r="Z94" s="35" cm="1">
        <f t="array" ref="Z94">IF(COUNTIF(D94:H94,"NP")&gt;0,"NP",IF(COUNTIF(D94:H94,"Reconocimiento Créditos")&gt;0,"Reconocimiento Créditos",IF(COUNTIF(D94:H94,"Aprobado en otro curso")&gt;0,"Aprobado en otro curso",IF(COUNTIF($D$2:$H$2,"Examen")&lt;2,"Faltan Calificaciones",SLOPE(_xlfn._xlws.FILTER(D94:H94,$D$2:$H$2="EXAMEN"),_xlfn.SEQUENCE(1,COUNTIF($D$2:$H$2,"EXAMEN"),1,1))))))</f>
        <v>-1.4499999999999997</v>
      </c>
      <c r="AA94" s="35">
        <f t="shared" si="34"/>
        <v>-1.3099999999999996</v>
      </c>
      <c r="AB94" s="35" t="str" cm="1">
        <f t="array" ref="AB94">IF(COUNTIF(D94:H94,"NP")&gt;0,"NP",IF(COUNTIF(D94:H94,"Reconocimiento Créditos")&gt;0,"Reconocimiento Créditos",IF(COUNTIF(D94:H94,"Aprobado en otro curso")&gt;0,"Aprobado en otro curso",IF(COUNTBLANK(D94:H94)=0,"No Procede",IF(COUNTBLANK(D94:H94)&gt;3,"No Procede",IF(100*(5-SUMPRODUCT(D94:H94,$D$4:$H$4)/100)/(100-SUMPRODUCT((D94:H94&lt;&gt;"")*($D$4:$H$4)))&gt;10,"Necesita más de 10",IF(100*(5-SUMPRODUCT(D94:H94,$D$4:$H$4)/100)/(100-SUMPRODUCT((D94:H94&lt;&gt;"")*($D$4:$H$4)))&lt;0,"va bien encaminado",100*(5-SUMPRODUCT(D94:H94,$D$4:$H$4)/100)/(100-SUMPRODUCT((D94:H94&lt;&gt;"")*($D$4:$H$4))))))))))</f>
        <v>No Procede</v>
      </c>
    </row>
    <row r="95" spans="2:45" ht="22" customHeight="1">
      <c r="B95" s="19">
        <f t="shared" ref="B95:B103" si="37">B94+1</f>
        <v>3</v>
      </c>
      <c r="C95" s="4" t="s">
        <v>30</v>
      </c>
      <c r="D95" s="98" t="s">
        <v>18</v>
      </c>
      <c r="E95" s="70" t="s">
        <v>18</v>
      </c>
      <c r="F95" s="70" t="s">
        <v>18</v>
      </c>
      <c r="G95" s="70" t="s">
        <v>18</v>
      </c>
      <c r="H95" s="70" t="s">
        <v>18</v>
      </c>
      <c r="I95" s="23" t="s">
        <v>18</v>
      </c>
      <c r="J95" s="60" t="s">
        <v>29</v>
      </c>
      <c r="K95" s="35" t="str" cm="1">
        <f t="array" ref="K95">IF(COUNTIF(D95:H95,"NP")&gt;0,"NP",IF(COUNTIF(D95:H95,"Reconocimiento Créditos")&gt;0,"Reconocimiento Créditos",IF(COUNTIF(D95:H95,"Aprobado en otro curso")&gt;0,"Aprobado en otro curso",IF(COUNTIF(D95:H95,"")&gt;0,"Faltan Calificaciones",AVERAGE((D95:H95-$D$128:$H$128)/$D$130:$H$130)))))</f>
        <v>Reconocimiento Créditos</v>
      </c>
      <c r="L95" s="40" t="str">
        <f t="shared" si="23"/>
        <v>Reconocimiento Créditos</v>
      </c>
      <c r="M95" s="43" t="str">
        <f t="shared" si="24"/>
        <v>Reconocimiento Créditos</v>
      </c>
      <c r="N95" s="35" t="str" cm="1">
        <f t="array" ref="N95">IF(COUNTIF(D95:H95,"NP")&gt;0,"NP",IF(COUNTIF(D95:H95,"Reconocimiento Créditos")&gt;0,"Reconocimiento Créditos",IF(COUNTIF(D95:H95,"Aprobado en otro curso")&gt;0,"Aprobado en otro curso",IF(COUNTIF(D95:H95,"")&gt;0,"Faltan Calificaciones",AVERAGE((D95:H95-$D$128:$H$128)*($D$2:$H$2="EXAMEN")/($D$130:$H$130)*($D$2:$H$2="EXAMEN"))))))</f>
        <v>Reconocimiento Créditos</v>
      </c>
      <c r="O95" s="40" t="str">
        <f t="shared" si="25"/>
        <v>Reconocimiento Créditos</v>
      </c>
      <c r="P95" s="43" t="str">
        <f t="shared" si="26"/>
        <v>Reconocimiento Créditos</v>
      </c>
      <c r="Q95" s="35" t="str" cm="1">
        <f t="array" ref="Q95">IF(COUNTIF(D95:H95,"NP")&gt;0,"NP",IF(COUNTIF(D95:H95,"Reconocimiento Créditos")&gt;0,"Reconocimiento Créditos",IF(COUNTIF(D95:H95,"Aprobado en otro curso")&gt;0,"Aprobado en otro curso",IF(COUNTIF(D95:H95,"")&gt;0,"Faltan Calificaciones",AVERAGE((D95:H95-$D$128:$H$128)*($D$2:$H$2="Prueba Complementaria")/($D$130:$H$130)*($D$2:$H$2="Prueba Complementaria"))))))</f>
        <v>Reconocimiento Créditos</v>
      </c>
      <c r="R95" s="40" t="str">
        <f t="shared" si="27"/>
        <v>Reconocimiento Créditos</v>
      </c>
      <c r="S95" s="42" t="str">
        <f t="shared" si="28"/>
        <v>Reconocimiento Créditos</v>
      </c>
      <c r="T95" s="43" t="str">
        <f t="shared" si="29"/>
        <v>Reconocimiento Créditos</v>
      </c>
      <c r="U95" s="40" t="str">
        <f t="shared" si="30"/>
        <v>Reconocimiento Créditos</v>
      </c>
      <c r="V95" s="40" t="str" cm="1">
        <f t="array" ref="V95">IF(COUNTIF(D95:H95,"NP")&gt;0,"NP",IF(COUNTIF(D95:H95,"Reconocimiento Créditos")&gt;0,"Reconocimiento Créditos",IF(COUNTIF(D95:H95,"Aprobado en otro curso")&gt;0,"Aprobado en otro curso",IF(COUNTBLANK(D95:H95)&gt;0,"Faltan Calificaciones",IF((SUMPRODUCT(($D$2:$H$2="EXAMEN")*((D95:H95-$D$128:$H$128)/$D$130:$H$130))/SUMPRODUCT(--($D$2:$H$2="EXAMEN")))-(SUMPRODUCT(($D$2:$H$2="PRUEBA COMPLEMENTARIA")*((D95:H95-$D$128:$H$128)/$D$130:$H$130))/SUMPRODUCT(--($D$2:$H$2="PRUEBA COMPLEMENTARIA")))&gt;0,"Exámenes","Actividades")))))</f>
        <v>Reconocimiento Créditos</v>
      </c>
      <c r="W95" s="35" t="str">
        <f t="shared" si="31"/>
        <v>Reconocimiento Créditos</v>
      </c>
      <c r="X95" s="35" t="str">
        <f t="shared" si="32"/>
        <v>Reconocimiento Créditos</v>
      </c>
      <c r="Y95" s="71" t="str">
        <f t="shared" si="33"/>
        <v>Reconocimiento Créditos</v>
      </c>
      <c r="Z95" s="35" t="str" cm="1">
        <f t="array" ref="Z95">IF(COUNTIF(D95:H95,"NP")&gt;0,"NP",IF(COUNTIF(D95:H95,"Reconocimiento Créditos")&gt;0,"Reconocimiento Créditos",IF(COUNTIF(D95:H95,"Aprobado en otro curso")&gt;0,"Aprobado en otro curso",IF(COUNTIF($D$2:$H$2,"Examen")&lt;2,"Faltan Calificaciones",SLOPE(_xlfn._xlws.FILTER(D95:H95,$D$2:$H$2="EXAMEN"),_xlfn.SEQUENCE(1,COUNTIF($D$2:$H$2,"EXAMEN"),1,1))))))</f>
        <v>Reconocimiento Créditos</v>
      </c>
      <c r="AA95" s="35" t="str">
        <f t="shared" si="34"/>
        <v>Reconocimiento Créditos</v>
      </c>
      <c r="AB95" s="35" t="str" cm="1">
        <f t="array" ref="AB95">IF(COUNTIF(D95:H95,"NP")&gt;0,"NP",IF(COUNTIF(D95:H95,"Reconocimiento Créditos")&gt;0,"Reconocimiento Créditos",IF(COUNTIF(D95:H95,"Aprobado en otro curso")&gt;0,"Aprobado en otro curso",IF(COUNTBLANK(D95:H95)=0,"No Procede",IF(COUNTBLANK(D95:H95)&gt;3,"No Procede",IF(100*(5-SUMPRODUCT(D95:H95,$D$4:$H$4)/100)/(100-SUMPRODUCT((D95:H95&lt;&gt;"")*($D$4:$H$4)))&gt;10,"Necesita más de 10",IF(100*(5-SUMPRODUCT(D95:H95,$D$4:$H$4)/100)/(100-SUMPRODUCT((D95:H95&lt;&gt;"")*($D$4:$H$4)))&lt;0,"va bien encaminado",100*(5-SUMPRODUCT(D95:H95,$D$4:$H$4)/100)/(100-SUMPRODUCT((D95:H95&lt;&gt;"")*($D$4:$H$4))))))))))</f>
        <v>Reconocimiento Créditos</v>
      </c>
    </row>
    <row r="96" spans="2:45" ht="22" customHeight="1">
      <c r="B96" s="19">
        <f t="shared" si="37"/>
        <v>4</v>
      </c>
      <c r="C96" s="4" t="s">
        <v>30</v>
      </c>
      <c r="D96" s="98">
        <v>4.7</v>
      </c>
      <c r="E96" s="70">
        <v>5.45</v>
      </c>
      <c r="F96" s="97">
        <v>8</v>
      </c>
      <c r="G96" s="97">
        <v>2.5</v>
      </c>
      <c r="H96" s="97">
        <v>7.95</v>
      </c>
      <c r="I96" s="81">
        <f>IF(COUNTA(D96:H96)=0, "", IF(COUNT(D96:H96)&lt;&gt;COUNTA(D96:H96), "NP", SUMPRODUCT(D96:H96, D$4:H$4)/100))</f>
        <v>6.2774999999999999</v>
      </c>
      <c r="J96" s="60" t="s">
        <v>29</v>
      </c>
      <c r="K96" s="35" cm="1">
        <f t="array" ref="K96">IF(COUNTIF(D96:H96,"NP")&gt;0,"NP",IF(COUNTIF(D96:H96,"Reconocimiento Créditos")&gt;0,"Reconocimiento Créditos",IF(COUNTIF(D96:H96,"Aprobado en otro curso")&gt;0,"Aprobado en otro curso",IF(COUNTIF(D96:H96,"")&gt;0,"Faltan Calificaciones",AVERAGE((D96:H96-$D$128:$H$128)/$D$130:$H$130)))))</f>
        <v>0.2124971765753588</v>
      </c>
      <c r="L96" s="40">
        <f t="shared" si="23"/>
        <v>0.75</v>
      </c>
      <c r="M96" s="43">
        <f t="shared" si="24"/>
        <v>6.0333333333333341</v>
      </c>
      <c r="N96" s="35" cm="1">
        <f t="array" ref="N96">IF(COUNTIF(D96:H96,"NP")&gt;0,"NP",IF(COUNTIF(D96:H96,"Reconocimiento Créditos")&gt;0,"Reconocimiento Créditos",IF(COUNTIF(D96:H96,"Aprobado en otro curso")&gt;0,"Aprobado en otro curso",IF(COUNTIF(D96:H96,"")&gt;0,"Faltan Calificaciones",AVERAGE((D96:H96-$D$128:$H$128)*($D$2:$H$2="EXAMEN")/($D$130:$H$130)*($D$2:$H$2="EXAMEN"))))))</f>
        <v>0.23316317013362681</v>
      </c>
      <c r="O96" s="40">
        <f t="shared" si="25"/>
        <v>0.71699999999999997</v>
      </c>
      <c r="P96" s="43">
        <f t="shared" si="26"/>
        <v>5.25</v>
      </c>
      <c r="Q96" s="35" cm="1">
        <f t="array" ref="Q96">IF(COUNTIF(D96:H96,"NP")&gt;0,"NP",IF(COUNTIF(D96:H96,"Reconocimiento Créditos")&gt;0,"Reconocimiento Créditos",IF(COUNTIF(D96:H96,"Aprobado en otro curso")&gt;0,"Aprobado en otro curso",IF(COUNTIF(D96:H96,"")&gt;0,"Faltan Calificaciones",AVERAGE((D96:H96-$D$128:$H$128)*($D$2:$H$2="Prueba Complementaria")/($D$130:$H$130)*($D$2:$H$2="Prueba Complementaria"))))))</f>
        <v>-2.0665993558267991E-2</v>
      </c>
      <c r="R96" s="40">
        <f t="shared" si="27"/>
        <v>0.39100000000000001</v>
      </c>
      <c r="S96" s="42">
        <f t="shared" si="28"/>
        <v>5.72</v>
      </c>
      <c r="T96" s="43">
        <f t="shared" si="29"/>
        <v>-0.7833333333333341</v>
      </c>
      <c r="U96" s="40">
        <f t="shared" si="30"/>
        <v>-0.12983425414364652</v>
      </c>
      <c r="V96" s="40" t="str" cm="1">
        <f t="array" ref="V96">IF(COUNTIF(D96:H96,"NP")&gt;0,"NP",IF(COUNTIF(D96:H96,"Reconocimiento Créditos")&gt;0,"Reconocimiento Créditos",IF(COUNTIF(D96:H96,"Aprobado en otro curso")&gt;0,"Aprobado en otro curso",IF(COUNTBLANK(D96:H96)&gt;0,"Faltan Calificaciones",IF((SUMPRODUCT(($D$2:$H$2="EXAMEN")*((D96:H96-$D$128:$H$128)/$D$130:$H$130))/SUMPRODUCT(--($D$2:$H$2="EXAMEN")))-(SUMPRODUCT(($D$2:$H$2="PRUEBA COMPLEMENTARIA")*((D96:H96-$D$128:$H$128)/$D$130:$H$130))/SUMPRODUCT(--($D$2:$H$2="PRUEBA COMPLEMENTARIA")))&gt;0,"Exámenes","Actividades")))))</f>
        <v>Exámenes</v>
      </c>
      <c r="W96" s="35">
        <f t="shared" si="31"/>
        <v>2.3207089778609392E-2</v>
      </c>
      <c r="X96" s="35">
        <f t="shared" si="32"/>
        <v>2.0810093704738581</v>
      </c>
      <c r="Y96" s="71">
        <f t="shared" si="33"/>
        <v>0.53579768347996837</v>
      </c>
      <c r="Z96" s="35" cm="1">
        <f t="array" ref="Z96">IF(COUNTIF(D96:H96,"NP")&gt;0,"NP",IF(COUNTIF(D96:H96,"Reconocimiento Créditos")&gt;0,"Reconocimiento Créditos",IF(COUNTIF(D96:H96,"Aprobado en otro curso")&gt;0,"Aprobado en otro curso",IF(COUNTIF($D$2:$H$2,"Examen")&lt;2,"Faltan Calificaciones",SLOPE(_xlfn._xlws.FILTER(D96:H96,$D$2:$H$2="EXAMEN"),_xlfn.SEQUENCE(1,COUNTIF($D$2:$H$2,"EXAMEN"),1,1))))))</f>
        <v>1.625</v>
      </c>
      <c r="AA96" s="35">
        <f t="shared" si="34"/>
        <v>2.2300000000000004</v>
      </c>
      <c r="AB96" s="35" t="str" cm="1">
        <f t="array" ref="AB96">IF(COUNTIF(D96:H96,"NP")&gt;0,"NP",IF(COUNTIF(D96:H96,"Reconocimiento Créditos")&gt;0,"Reconocimiento Créditos",IF(COUNTIF(D96:H96,"Aprobado en otro curso")&gt;0,"Aprobado en otro curso",IF(COUNTBLANK(D96:H96)=0,"No Procede",IF(COUNTBLANK(D96:H96)&gt;3,"No Procede",IF(100*(5-SUMPRODUCT(D96:H96,$D$4:$H$4)/100)/(100-SUMPRODUCT((D96:H96&lt;&gt;"")*($D$4:$H$4)))&gt;10,"Necesita más de 10",IF(100*(5-SUMPRODUCT(D96:H96,$D$4:$H$4)/100)/(100-SUMPRODUCT((D96:H96&lt;&gt;"")*($D$4:$H$4)))&lt;0,"va bien encaminado",100*(5-SUMPRODUCT(D96:H96,$D$4:$H$4)/100)/(100-SUMPRODUCT((D96:H96&lt;&gt;"")*($D$4:$H$4))))))))))</f>
        <v>No Procede</v>
      </c>
    </row>
    <row r="97" spans="2:45" ht="22" customHeight="1">
      <c r="B97" s="19">
        <f t="shared" si="37"/>
        <v>5</v>
      </c>
      <c r="C97" s="4" t="s">
        <v>30</v>
      </c>
      <c r="D97" s="98">
        <v>9.3000000000000007</v>
      </c>
      <c r="E97" s="70">
        <v>7.2</v>
      </c>
      <c r="F97" s="97">
        <v>6</v>
      </c>
      <c r="G97" s="97">
        <v>6</v>
      </c>
      <c r="H97" s="97">
        <v>6.4</v>
      </c>
      <c r="I97" s="81">
        <f>IF(COUNTA(D97:H97)=0, "", IF(COUNT(D97:H97)&lt;&gt;COUNTA(D97:H97), "NP", SUMPRODUCT(D97:H97, D$4:H$4)/100))</f>
        <v>6.835</v>
      </c>
      <c r="J97" s="60" t="s">
        <v>29</v>
      </c>
      <c r="K97" s="35" cm="1">
        <f t="array" ref="K97">IF(COUNTIF(D97:H97,"NP")&gt;0,"NP",IF(COUNTIF(D97:H97,"Reconocimiento Créditos")&gt;0,"Reconocimiento Créditos",IF(COUNTIF(D97:H97,"Aprobado en otro curso")&gt;0,"Aprobado en otro curso",IF(COUNTIF(D97:H97,"")&gt;0,"Faltan Calificaciones",AVERAGE((D97:H97-$D$128:$H$128)/$D$130:$H$130)))))</f>
        <v>0.75751214602098704</v>
      </c>
      <c r="L97" s="40">
        <f t="shared" si="23"/>
        <v>0.85799999999999998</v>
      </c>
      <c r="M97" s="43">
        <f t="shared" si="24"/>
        <v>7.6333333333333329</v>
      </c>
      <c r="N97" s="35" cm="1">
        <f t="array" ref="N97">IF(COUNTIF(D97:H97,"NP")&gt;0,"NP",IF(COUNTIF(D97:H97,"Reconocimiento Créditos")&gt;0,"Reconocimiento Créditos",IF(COUNTIF(D97:H97,"Aprobado en otro curso")&gt;0,"Aprobado en otro curso",IF(COUNTIF(D97:H97,"")&gt;0,"Faltan Calificaciones",AVERAGE((D97:H97-$D$128:$H$128)*($D$2:$H$2="EXAMEN")/($D$130:$H$130)*($D$2:$H$2="EXAMEN"))))))</f>
        <v>0.688205388990619</v>
      </c>
      <c r="O97" s="40">
        <f t="shared" si="25"/>
        <v>0.91300000000000003</v>
      </c>
      <c r="P97" s="43">
        <f t="shared" si="26"/>
        <v>6</v>
      </c>
      <c r="Q97" s="35" cm="1">
        <f t="array" ref="Q97">IF(COUNTIF(D97:H97,"NP")&gt;0,"NP",IF(COUNTIF(D97:H97,"Reconocimiento Créditos")&gt;0,"Reconocimiento Créditos",IF(COUNTIF(D97:H97,"Aprobado en otro curso")&gt;0,"Aprobado en otro curso",IF(COUNTIF(D97:H97,"")&gt;0,"Faltan Calificaciones",AVERAGE((D97:H97-$D$128:$H$128)*($D$2:$H$2="Prueba Complementaria")/($D$130:$H$130)*($D$2:$H$2="Prueba Complementaria"))))))</f>
        <v>6.9306757030368052E-2</v>
      </c>
      <c r="R97" s="40">
        <f t="shared" si="27"/>
        <v>0.56499999999999995</v>
      </c>
      <c r="S97" s="42">
        <f t="shared" si="28"/>
        <v>6.9799999999999995</v>
      </c>
      <c r="T97" s="43">
        <f t="shared" si="29"/>
        <v>-1.6333333333333329</v>
      </c>
      <c r="U97" s="40">
        <f t="shared" si="30"/>
        <v>-0.2139737991266375</v>
      </c>
      <c r="V97" s="40" t="str" cm="1">
        <f t="array" ref="V97">IF(COUNTIF(D97:H97,"NP")&gt;0,"NP",IF(COUNTIF(D97:H97,"Reconocimiento Créditos")&gt;0,"Reconocimiento Créditos",IF(COUNTIF(D97:H97,"Aprobado en otro curso")&gt;0,"Aprobado en otro curso",IF(COUNTBLANK(D97:H97)&gt;0,"Faltan Calificaciones",IF((SUMPRODUCT(($D$2:$H$2="EXAMEN")*((D97:H97-$D$128:$H$128)/$D$130:$H$130))/SUMPRODUCT(--($D$2:$H$2="EXAMEN")))-(SUMPRODUCT(($D$2:$H$2="PRUEBA COMPLEMENTARIA")*((D97:H97-$D$128:$H$128)/$D$130:$H$130))/SUMPRODUCT(--($D$2:$H$2="PRUEBA COMPLEMENTARIA")))&gt;0,"Exámenes","Actividades")))))</f>
        <v>Exámenes</v>
      </c>
      <c r="W97" s="35">
        <f t="shared" si="31"/>
        <v>7.0392769780374509E-2</v>
      </c>
      <c r="X97" s="35">
        <f t="shared" si="32"/>
        <v>1.2400000000000009</v>
      </c>
      <c r="Y97" s="71">
        <f t="shared" si="33"/>
        <v>-0.23387096774193539</v>
      </c>
      <c r="Z97" s="35" cm="1">
        <f t="array" ref="Z97">IF(COUNTIF(D97:H97,"NP")&gt;0,"NP",IF(COUNTIF(D97:H97,"Reconocimiento Créditos")&gt;0,"Reconocimiento Créditos",IF(COUNTIF(D97:H97,"Aprobado en otro curso")&gt;0,"Aprobado en otro curso",IF(COUNTIF($D$2:$H$2,"Examen")&lt;2,"Faltan Calificaciones",SLOPE(_xlfn._xlws.FILTER(D97:H97,$D$2:$H$2="EXAMEN"),_xlfn.SEQUENCE(1,COUNTIF($D$2:$H$2,"EXAMEN"),1,1))))))</f>
        <v>-1.4500000000000002</v>
      </c>
      <c r="AA97" s="35">
        <f t="shared" si="34"/>
        <v>-0.57999999999999918</v>
      </c>
      <c r="AB97" s="35" t="str" cm="1">
        <f t="array" ref="AB97">IF(COUNTIF(D97:H97,"NP")&gt;0,"NP",IF(COUNTIF(D97:H97,"Reconocimiento Créditos")&gt;0,"Reconocimiento Créditos",IF(COUNTIF(D97:H97,"Aprobado en otro curso")&gt;0,"Aprobado en otro curso",IF(COUNTBLANK(D97:H97)=0,"No Procede",IF(COUNTBLANK(D97:H97)&gt;3,"No Procede",IF(100*(5-SUMPRODUCT(D97:H97,$D$4:$H$4)/100)/(100-SUMPRODUCT((D97:H97&lt;&gt;"")*($D$4:$H$4)))&gt;10,"Necesita más de 10",IF(100*(5-SUMPRODUCT(D97:H97,$D$4:$H$4)/100)/(100-SUMPRODUCT((D97:H97&lt;&gt;"")*($D$4:$H$4)))&lt;0,"va bien encaminado",100*(5-SUMPRODUCT(D97:H97,$D$4:$H$4)/100)/(100-SUMPRODUCT((D97:H97&lt;&gt;"")*($D$4:$H$4))))))))))</f>
        <v>No Procede</v>
      </c>
    </row>
    <row r="98" spans="2:45" ht="22" customHeight="1">
      <c r="B98" s="19">
        <f t="shared" si="37"/>
        <v>6</v>
      </c>
      <c r="C98" s="4" t="s">
        <v>30</v>
      </c>
      <c r="D98" s="98">
        <v>5.5</v>
      </c>
      <c r="E98" s="70">
        <v>7.2</v>
      </c>
      <c r="F98" s="97">
        <v>7.5</v>
      </c>
      <c r="G98" s="97">
        <v>7.9</v>
      </c>
      <c r="H98" s="97">
        <v>7.95</v>
      </c>
      <c r="I98" s="81">
        <f>IF(COUNTA(D98:H98)=0, "", IF(COUNT(D98:H98)&lt;&gt;COUNTA(D98:H98), "NP", SUMPRODUCT(D98:H98, D$4:H$4)/100))</f>
        <v>7.3949999999999996</v>
      </c>
      <c r="J98" s="60" t="s">
        <v>29</v>
      </c>
      <c r="K98" s="35" cm="1">
        <f t="array" ref="K98">IF(COUNTIF(D98:H98,"NP")&gt;0,"NP",IF(COUNTIF(D98:H98,"Reconocimiento Créditos")&gt;0,"Reconocimiento Créditos",IF(COUNTIF(D98:H98,"Aprobado en otro curso")&gt;0,"Aprobado en otro curso",IF(COUNTIF(D98:H98,"")&gt;0,"Faltan Calificaciones",AVERAGE((D98:H98-$D$128:$H$128)/$D$130:$H$130)))))</f>
        <v>0.81013843966516741</v>
      </c>
      <c r="L98" s="40">
        <f t="shared" si="23"/>
        <v>0.94499999999999995</v>
      </c>
      <c r="M98" s="43">
        <f t="shared" si="24"/>
        <v>6.8833333333333329</v>
      </c>
      <c r="N98" s="35" cm="1">
        <f t="array" ref="N98">IF(COUNTIF(D98:H98,"NP")&gt;0,"NP",IF(COUNTIF(D98:H98,"Reconocimiento Créditos")&gt;0,"Reconocimiento Créditos",IF(COUNTIF(D98:H98,"Aprobado en otro curso")&gt;0,"Aprobado en otro curso",IF(COUNTIF(D98:H98,"")&gt;0,"Faltan Calificaciones",AVERAGE((D98:H98-$D$128:$H$128)*($D$2:$H$2="EXAMEN")/($D$130:$H$130)*($D$2:$H$2="EXAMEN"))))))</f>
        <v>0.47553318796609911</v>
      </c>
      <c r="O98" s="40">
        <f t="shared" si="25"/>
        <v>0.84699999999999998</v>
      </c>
      <c r="P98" s="43">
        <f t="shared" si="26"/>
        <v>7.7</v>
      </c>
      <c r="Q98" s="35" cm="1">
        <f t="array" ref="Q98">IF(COUNTIF(D98:H98,"NP")&gt;0,"NP",IF(COUNTIF(D98:H98,"Reconocimiento Créditos")&gt;0,"Reconocimiento Créditos",IF(COUNTIF(D98:H98,"Aprobado en otro curso")&gt;0,"Aprobado en otro curso",IF(COUNTIF(D98:H98,"")&gt;0,"Faltan Calificaciones",AVERAGE((D98:H98-$D$128:$H$128)*($D$2:$H$2="Prueba Complementaria")/($D$130:$H$130)*($D$2:$H$2="Prueba Complementaria"))))))</f>
        <v>0.33460525169906835</v>
      </c>
      <c r="R98" s="40">
        <f t="shared" si="27"/>
        <v>0.83599999999999997</v>
      </c>
      <c r="S98" s="42">
        <f t="shared" si="28"/>
        <v>7.2100000000000009</v>
      </c>
      <c r="T98" s="43">
        <f t="shared" si="29"/>
        <v>0.81666666666666732</v>
      </c>
      <c r="U98" s="40">
        <f t="shared" si="30"/>
        <v>0.11864406779661027</v>
      </c>
      <c r="V98" s="40" t="str" cm="1">
        <f t="array" ref="V98">IF(COUNTIF(D98:H98,"NP")&gt;0,"NP",IF(COUNTIF(D98:H98,"Reconocimiento Créditos")&gt;0,"Reconocimiento Créditos",IF(COUNTIF(D98:H98,"Aprobado en otro curso")&gt;0,"Aprobado en otro curso",IF(COUNTBLANK(D98:H98)&gt;0,"Faltan Calificaciones",IF((SUMPRODUCT(($D$2:$H$2="EXAMEN")*((D98:H98-$D$128:$H$128)/$D$130:$H$130))/SUMPRODUCT(--($D$2:$H$2="EXAMEN")))-(SUMPRODUCT(($D$2:$H$2="PRUEBA COMPLEMENTARIA")*((D98:H98-$D$128:$H$128)/$D$130:$H$130))/SUMPRODUCT(--($D$2:$H$2="PRUEBA COMPLEMENTARIA")))&gt;0,"Exámenes","Actividades")))))</f>
        <v>Actividades</v>
      </c>
      <c r="W98" s="35">
        <f t="shared" si="31"/>
        <v>4.8339689852931945E-2</v>
      </c>
      <c r="X98" s="35">
        <f t="shared" si="32"/>
        <v>0.89799777282573257</v>
      </c>
      <c r="Y98" s="71">
        <f t="shared" si="33"/>
        <v>0.41202774794832087</v>
      </c>
      <c r="Z98" s="35" cm="1">
        <f t="array" ref="Z98">IF(COUNTIF(D98:H98,"NP")&gt;0,"NP",IF(COUNTIF(D98:H98,"Reconocimiento Créditos")&gt;0,"Reconocimiento Créditos",IF(COUNTIF(D98:H98,"Aprobado en otro curso")&gt;0,"Aprobado en otro curso",IF(COUNTIF($D$2:$H$2,"Examen")&lt;2,"Faltan Calificaciones",SLOPE(_xlfn._xlws.FILTER(D98:H98,$D$2:$H$2="EXAMEN"),_xlfn.SEQUENCE(1,COUNTIF($D$2:$H$2,"EXAMEN"),1,1))))))</f>
        <v>1.2250000000000001</v>
      </c>
      <c r="AA98" s="35">
        <f t="shared" si="34"/>
        <v>0.73999999999999932</v>
      </c>
      <c r="AB98" s="35" t="str" cm="1">
        <f t="array" ref="AB98">IF(COUNTIF(D98:H98,"NP")&gt;0,"NP",IF(COUNTIF(D98:H98,"Reconocimiento Créditos")&gt;0,"Reconocimiento Créditos",IF(COUNTIF(D98:H98,"Aprobado en otro curso")&gt;0,"Aprobado en otro curso",IF(COUNTBLANK(D98:H98)=0,"No Procede",IF(COUNTBLANK(D98:H98)&gt;3,"No Procede",IF(100*(5-SUMPRODUCT(D98:H98,$D$4:$H$4)/100)/(100-SUMPRODUCT((D98:H98&lt;&gt;"")*($D$4:$H$4)))&gt;10,"Necesita más de 10",IF(100*(5-SUMPRODUCT(D98:H98,$D$4:$H$4)/100)/(100-SUMPRODUCT((D98:H98&lt;&gt;"")*($D$4:$H$4)))&lt;0,"va bien encaminado",100*(5-SUMPRODUCT(D98:H98,$D$4:$H$4)/100)/(100-SUMPRODUCT((D98:H98&lt;&gt;"")*($D$4:$H$4))))))))))</f>
        <v>No Procede</v>
      </c>
    </row>
    <row r="99" spans="2:45" ht="22" customHeight="1">
      <c r="B99" s="19">
        <f t="shared" si="37"/>
        <v>7</v>
      </c>
      <c r="C99" s="4" t="s">
        <v>30</v>
      </c>
      <c r="D99" s="98">
        <v>7.05</v>
      </c>
      <c r="E99" s="70">
        <v>5.75</v>
      </c>
      <c r="F99" s="97">
        <v>0</v>
      </c>
      <c r="G99" s="97">
        <v>8.6</v>
      </c>
      <c r="H99" s="97">
        <v>6.6</v>
      </c>
      <c r="I99" s="81">
        <f>IF(COUNTA(D99:H99)=0, "", IF(COUNT(D99:H99)&lt;&gt;COUNTA(D99:H99), "NP", SUMPRODUCT(D99:H99, D$4:H$4)/100))</f>
        <v>5.85</v>
      </c>
      <c r="J99" s="60" t="s">
        <v>29</v>
      </c>
      <c r="K99" s="35" cm="1">
        <f t="array" ref="K99">IF(COUNTIF(D99:H99,"NP")&gt;0,"NP",IF(COUNTIF(D99:H99,"Reconocimiento Créditos")&gt;0,"Reconocimiento Créditos",IF(COUNTIF(D99:H99,"Aprobado en otro curso")&gt;0,"Aprobado en otro curso",IF(COUNTIF(D99:H99,"")&gt;0,"Faltan Calificaciones",AVERAGE((D99:H99-$D$128:$H$128)/$D$130:$H$130)))))</f>
        <v>0.11604952629971946</v>
      </c>
      <c r="L99" s="40">
        <f t="shared" si="23"/>
        <v>0.56499999999999995</v>
      </c>
      <c r="M99" s="43">
        <f t="shared" si="24"/>
        <v>6.4666666666666659</v>
      </c>
      <c r="N99" s="35" cm="1">
        <f t="array" ref="N99">IF(COUNTIF(D99:H99,"NP")&gt;0,"NP",IF(COUNTIF(D99:H99,"Reconocimiento Créditos")&gt;0,"Reconocimiento Créditos",IF(COUNTIF(D99:H99,"Aprobado en otro curso")&gt;0,"Aprobado en otro curso",IF(COUNTIF(D99:H99,"")&gt;0,"Faltan Calificaciones",AVERAGE((D99:H99-$D$128:$H$128)*($D$2:$H$2="EXAMEN")/($D$130:$H$130)*($D$2:$H$2="EXAMEN"))))))</f>
        <v>0.35780720371789643</v>
      </c>
      <c r="O99" s="40">
        <f t="shared" si="25"/>
        <v>0.79300000000000004</v>
      </c>
      <c r="P99" s="43">
        <f t="shared" si="26"/>
        <v>4.3</v>
      </c>
      <c r="Q99" s="35" cm="1">
        <f t="array" ref="Q99">IF(COUNTIF(D99:H99,"NP")&gt;0,"NP",IF(COUNTIF(D99:H99,"Reconocimiento Créditos")&gt;0,"Reconocimiento Créditos",IF(COUNTIF(D99:H99,"Aprobado en otro curso")&gt;0,"Aprobado en otro curso",IF(COUNTIF(D99:H99,"")&gt;0,"Faltan Calificaciones",AVERAGE((D99:H99-$D$128:$H$128)*($D$2:$H$2="Prueba Complementaria")/($D$130:$H$130)*($D$2:$H$2="Prueba Complementaria"))))))</f>
        <v>-0.24175767741817697</v>
      </c>
      <c r="R99" s="40">
        <f t="shared" si="27"/>
        <v>0.20599999999999999</v>
      </c>
      <c r="S99" s="42">
        <f t="shared" si="28"/>
        <v>5.6</v>
      </c>
      <c r="T99" s="43">
        <f t="shared" si="29"/>
        <v>-2.1666666666666661</v>
      </c>
      <c r="U99" s="40">
        <f t="shared" si="30"/>
        <v>-0.33505154639175255</v>
      </c>
      <c r="V99" s="40" t="str" cm="1">
        <f t="array" ref="V99">IF(COUNTIF(D99:H99,"NP")&gt;0,"NP",IF(COUNTIF(D99:H99,"Reconocimiento Créditos")&gt;0,"Reconocimiento Créditos",IF(COUNTIF(D99:H99,"Aprobado en otro curso")&gt;0,"Aprobado en otro curso",IF(COUNTBLANK(D99:H99)&gt;0,"Faltan Calificaciones",IF((SUMPRODUCT(($D$2:$H$2="EXAMEN")*((D99:H99-$D$128:$H$128)/$D$130:$H$130))/SUMPRODUCT(--($D$2:$H$2="EXAMEN")))-(SUMPRODUCT(($D$2:$H$2="PRUEBA COMPLEMENTARIA")*((D99:H99-$D$128:$H$128)/$D$130:$H$130))/SUMPRODUCT(--($D$2:$H$2="PRUEBA COMPLEMENTARIA")))&gt;0,"Exámenes","Actividades")))))</f>
        <v>Exámenes</v>
      </c>
      <c r="W99" s="35">
        <f t="shared" si="31"/>
        <v>3.6132073964933835E-2</v>
      </c>
      <c r="X99" s="35">
        <f t="shared" si="32"/>
        <v>2.9490676492749359</v>
      </c>
      <c r="Y99" s="71">
        <f t="shared" si="33"/>
        <v>0.16954511034120592</v>
      </c>
      <c r="Z99" s="35" cm="1">
        <f t="array" ref="Z99">IF(COUNTIF(D99:H99,"NP")&gt;0,"NP",IF(COUNTIF(D99:H99,"Reconocimiento Créditos")&gt;0,"Reconocimiento Créditos",IF(COUNTIF(D99:H99,"Aprobado en otro curso")&gt;0,"Aprobado en otro curso",IF(COUNTIF($D$2:$H$2,"Examen")&lt;2,"Faltan Calificaciones",SLOPE(_xlfn._xlws.FILTER(D99:H99,$D$2:$H$2="EXAMEN"),_xlfn.SEQUENCE(1,COUNTIF($D$2:$H$2,"EXAMEN"),1,1))))))</f>
        <v>-0.22500000000000009</v>
      </c>
      <c r="AA99" s="35">
        <f t="shared" si="34"/>
        <v>1</v>
      </c>
      <c r="AB99" s="35" t="str" cm="1">
        <f t="array" ref="AB99">IF(COUNTIF(D99:H99,"NP")&gt;0,"NP",IF(COUNTIF(D99:H99,"Reconocimiento Créditos")&gt;0,"Reconocimiento Créditos",IF(COUNTIF(D99:H99,"Aprobado en otro curso")&gt;0,"Aprobado en otro curso",IF(COUNTBLANK(D99:H99)=0,"No Procede",IF(COUNTBLANK(D99:H99)&gt;3,"No Procede",IF(100*(5-SUMPRODUCT(D99:H99,$D$4:$H$4)/100)/(100-SUMPRODUCT((D99:H99&lt;&gt;"")*($D$4:$H$4)))&gt;10,"Necesita más de 10",IF(100*(5-SUMPRODUCT(D99:H99,$D$4:$H$4)/100)/(100-SUMPRODUCT((D99:H99&lt;&gt;"")*($D$4:$H$4)))&lt;0,"va bien encaminado",100*(5-SUMPRODUCT(D99:H99,$D$4:$H$4)/100)/(100-SUMPRODUCT((D99:H99&lt;&gt;"")*($D$4:$H$4))))))))))</f>
        <v>No Procede</v>
      </c>
    </row>
    <row r="100" spans="2:45" ht="22" customHeight="1">
      <c r="B100" s="19">
        <f t="shared" si="37"/>
        <v>8</v>
      </c>
      <c r="C100" s="4" t="s">
        <v>30</v>
      </c>
      <c r="D100" s="98" t="s">
        <v>18</v>
      </c>
      <c r="E100" s="98" t="s">
        <v>18</v>
      </c>
      <c r="F100" s="98" t="s">
        <v>18</v>
      </c>
      <c r="G100" s="98" t="s">
        <v>18</v>
      </c>
      <c r="H100" s="98" t="s">
        <v>18</v>
      </c>
      <c r="I100" s="23" t="s">
        <v>18</v>
      </c>
      <c r="J100" s="60" t="s">
        <v>29</v>
      </c>
      <c r="K100" s="35" t="str" cm="1">
        <f t="array" ref="K100">IF(COUNTIF(D100:H100,"NP")&gt;0,"NP",IF(COUNTIF(D100:H100,"Reconocimiento Créditos")&gt;0,"Reconocimiento Créditos",IF(COUNTIF(D100:H100,"Aprobado en otro curso")&gt;0,"Aprobado en otro curso",IF(COUNTIF(D100:H100,"")&gt;0,"Faltan Calificaciones",AVERAGE((D100:H100-$D$128:$H$128)/$D$130:$H$130)))))</f>
        <v>Reconocimiento Créditos</v>
      </c>
      <c r="L100" s="40" t="str">
        <f t="shared" si="23"/>
        <v>Reconocimiento Créditos</v>
      </c>
      <c r="M100" s="43" t="str">
        <f t="shared" si="24"/>
        <v>Reconocimiento Créditos</v>
      </c>
      <c r="N100" s="35" t="str" cm="1">
        <f t="array" ref="N100">IF(COUNTIF(D100:H100,"NP")&gt;0,"NP",IF(COUNTIF(D100:H100,"Reconocimiento Créditos")&gt;0,"Reconocimiento Créditos",IF(COUNTIF(D100:H100,"Aprobado en otro curso")&gt;0,"Aprobado en otro curso",IF(COUNTIF(D100:H100,"")&gt;0,"Faltan Calificaciones",AVERAGE((D100:H100-$D$128:$H$128)*($D$2:$H$2="EXAMEN")/($D$130:$H$130)*($D$2:$H$2="EXAMEN"))))))</f>
        <v>Reconocimiento Créditos</v>
      </c>
      <c r="O100" s="40" t="str">
        <f t="shared" si="25"/>
        <v>Reconocimiento Créditos</v>
      </c>
      <c r="P100" s="43" t="str">
        <f t="shared" si="26"/>
        <v>Reconocimiento Créditos</v>
      </c>
      <c r="Q100" s="35" t="str" cm="1">
        <f t="array" ref="Q100">IF(COUNTIF(D100:H100,"NP")&gt;0,"NP",IF(COUNTIF(D100:H100,"Reconocimiento Créditos")&gt;0,"Reconocimiento Créditos",IF(COUNTIF(D100:H100,"Aprobado en otro curso")&gt;0,"Aprobado en otro curso",IF(COUNTIF(D100:H100,"")&gt;0,"Faltan Calificaciones",AVERAGE((D100:H100-$D$128:$H$128)*($D$2:$H$2="Prueba Complementaria")/($D$130:$H$130)*($D$2:$H$2="Prueba Complementaria"))))))</f>
        <v>Reconocimiento Créditos</v>
      </c>
      <c r="R100" s="40" t="str">
        <f t="shared" si="27"/>
        <v>Reconocimiento Créditos</v>
      </c>
      <c r="S100" s="42" t="str">
        <f t="shared" si="28"/>
        <v>Reconocimiento Créditos</v>
      </c>
      <c r="T100" s="43" t="str">
        <f t="shared" si="29"/>
        <v>Reconocimiento Créditos</v>
      </c>
      <c r="U100" s="40" t="str">
        <f t="shared" si="30"/>
        <v>Reconocimiento Créditos</v>
      </c>
      <c r="V100" s="40" t="str" cm="1">
        <f t="array" ref="V100">IF(COUNTIF(D100:H100,"NP")&gt;0,"NP",IF(COUNTIF(D100:H100,"Reconocimiento Créditos")&gt;0,"Reconocimiento Créditos",IF(COUNTIF(D100:H100,"Aprobado en otro curso")&gt;0,"Aprobado en otro curso",IF(COUNTBLANK(D100:H100)&gt;0,"Faltan Calificaciones",IF((SUMPRODUCT(($D$2:$H$2="EXAMEN")*((D100:H100-$D$128:$H$128)/$D$130:$H$130))/SUMPRODUCT(--($D$2:$H$2="EXAMEN")))-(SUMPRODUCT(($D$2:$H$2="PRUEBA COMPLEMENTARIA")*((D100:H100-$D$128:$H$128)/$D$130:$H$130))/SUMPRODUCT(--($D$2:$H$2="PRUEBA COMPLEMENTARIA")))&gt;0,"Exámenes","Actividades")))))</f>
        <v>Reconocimiento Créditos</v>
      </c>
      <c r="W100" s="35" t="str">
        <f t="shared" si="31"/>
        <v>Reconocimiento Créditos</v>
      </c>
      <c r="X100" s="35" t="str">
        <f t="shared" si="32"/>
        <v>Reconocimiento Créditos</v>
      </c>
      <c r="Y100" s="71" t="str">
        <f t="shared" si="33"/>
        <v>Reconocimiento Créditos</v>
      </c>
      <c r="Z100" s="35" t="str" cm="1">
        <f t="array" ref="Z100">IF(COUNTIF(D100:H100,"NP")&gt;0,"NP",IF(COUNTIF(D100:H100,"Reconocimiento Créditos")&gt;0,"Reconocimiento Créditos",IF(COUNTIF(D100:H100,"Aprobado en otro curso")&gt;0,"Aprobado en otro curso",IF(COUNTIF($D$2:$H$2,"Examen")&lt;2,"Faltan Calificaciones",SLOPE(_xlfn._xlws.FILTER(D100:H100,$D$2:$H$2="EXAMEN"),_xlfn.SEQUENCE(1,COUNTIF($D$2:$H$2,"EXAMEN"),1,1))))))</f>
        <v>Reconocimiento Créditos</v>
      </c>
      <c r="AA100" s="35" t="str">
        <f t="shared" si="34"/>
        <v>Reconocimiento Créditos</v>
      </c>
      <c r="AB100" s="35" t="str" cm="1">
        <f t="array" ref="AB100">IF(COUNTIF(D100:H100,"NP")&gt;0,"NP",IF(COUNTIF(D100:H100,"Reconocimiento Créditos")&gt;0,"Reconocimiento Créditos",IF(COUNTIF(D100:H100,"Aprobado en otro curso")&gt;0,"Aprobado en otro curso",IF(COUNTBLANK(D100:H100)=0,"No Procede",IF(COUNTBLANK(D100:H100)&gt;3,"No Procede",IF(100*(5-SUMPRODUCT(D100:H100,$D$4:$H$4)/100)/(100-SUMPRODUCT((D100:H100&lt;&gt;"")*($D$4:$H$4)))&gt;10,"Necesita más de 10",IF(100*(5-SUMPRODUCT(D100:H100,$D$4:$H$4)/100)/(100-SUMPRODUCT((D100:H100&lt;&gt;"")*($D$4:$H$4)))&lt;0,"va bien encaminado",100*(5-SUMPRODUCT(D100:H100,$D$4:$H$4)/100)/(100-SUMPRODUCT((D100:H100&lt;&gt;"")*($D$4:$H$4))))))))))</f>
        <v>Reconocimiento Créditos</v>
      </c>
    </row>
    <row r="101" spans="2:45" ht="22" customHeight="1">
      <c r="B101" s="19">
        <f t="shared" si="37"/>
        <v>9</v>
      </c>
      <c r="C101" s="4" t="s">
        <v>30</v>
      </c>
      <c r="D101" s="98">
        <v>7.5</v>
      </c>
      <c r="E101" s="70">
        <v>6</v>
      </c>
      <c r="F101" s="97">
        <v>2.5</v>
      </c>
      <c r="G101" s="97">
        <v>6.2</v>
      </c>
      <c r="H101" s="97">
        <v>7.3</v>
      </c>
      <c r="I101" s="81">
        <f>IF(COUNTA(D101:H101)=0, "", IF(COUNT(D101:H101)&lt;&gt;COUNTA(D101:H101), "NP", SUMPRODUCT(D101:H101, D$4:H$4)/100))</f>
        <v>6.25</v>
      </c>
      <c r="J101" s="60" t="s">
        <v>29</v>
      </c>
      <c r="K101" s="35" cm="1">
        <f t="array" ref="K101">IF(COUNTIF(D101:H101,"NP")&gt;0,"NP",IF(COUNTIF(D101:H101,"Reconocimiento Créditos")&gt;0,"Reconocimiento Créditos",IF(COUNTIF(D101:H101,"Aprobado en otro curso")&gt;0,"Aprobado en otro curso",IF(COUNTIF(D101:H101,"")&gt;0,"Faltan Calificaciones",AVERAGE((D101:H101-$D$128:$H$128)/$D$130:$H$130)))))</f>
        <v>0.27847537861776356</v>
      </c>
      <c r="L101" s="40">
        <f t="shared" si="23"/>
        <v>0.73899999999999999</v>
      </c>
      <c r="M101" s="43">
        <f t="shared" si="24"/>
        <v>6.9333333333333336</v>
      </c>
      <c r="N101" s="35" cm="1">
        <f t="array" ref="N101">IF(COUNTIF(D101:H101,"NP")&gt;0,"NP",IF(COUNTIF(D101:H101,"Reconocimiento Créditos")&gt;0,"Reconocimiento Créditos",IF(COUNTIF(D101:H101,"Aprobado en otro curso")&gt;0,"Aprobado en otro curso",IF(COUNTIF(D101:H101,"")&gt;0,"Faltan Calificaciones",AVERAGE((D101:H101-$D$128:$H$128)*($D$2:$H$2="EXAMEN")/($D$130:$H$130)*($D$2:$H$2="EXAMEN"))))))</f>
        <v>0.48745332271812225</v>
      </c>
      <c r="O101" s="40">
        <f t="shared" si="25"/>
        <v>0.86899999999999999</v>
      </c>
      <c r="P101" s="43">
        <f t="shared" si="26"/>
        <v>4.3499999999999996</v>
      </c>
      <c r="Q101" s="35" cm="1">
        <f t="array" ref="Q101">IF(COUNTIF(D101:H101,"NP")&gt;0,"NP",IF(COUNTIF(D101:H101,"Reconocimiento Créditos")&gt;0,"Reconocimiento Créditos",IF(COUNTIF(D101:H101,"Aprobado en otro curso")&gt;0,"Aprobado en otro curso",IF(COUNTIF(D101:H101,"")&gt;0,"Faltan Calificaciones",AVERAGE((D101:H101-$D$128:$H$128)*($D$2:$H$2="Prueba Complementaria")/($D$130:$H$130)*($D$2:$H$2="Prueba Complementaria"))))))</f>
        <v>-0.20897794410035869</v>
      </c>
      <c r="R101" s="40">
        <f t="shared" si="27"/>
        <v>0.217</v>
      </c>
      <c r="S101" s="42">
        <f t="shared" si="28"/>
        <v>5.9</v>
      </c>
      <c r="T101" s="43">
        <f t="shared" si="29"/>
        <v>-2.5833333333333339</v>
      </c>
      <c r="U101" s="40">
        <f t="shared" si="30"/>
        <v>-0.37259615384615391</v>
      </c>
      <c r="V101" s="40" t="str" cm="1">
        <f t="array" ref="V101">IF(COUNTIF(D101:H101,"NP")&gt;0,"NP",IF(COUNTIF(D101:H101,"Reconocimiento Créditos")&gt;0,"Reconocimiento Créditos",IF(COUNTIF(D101:H101,"Aprobado en otro curso")&gt;0,"Aprobado en otro curso",IF(COUNTBLANK(D101:H101)&gt;0,"Faltan Calificaciones",IF((SUMPRODUCT(($D$2:$H$2="EXAMEN")*((D101:H101-$D$128:$H$128)/$D$130:$H$130))/SUMPRODUCT(--($D$2:$H$2="EXAMEN")))-(SUMPRODUCT(($D$2:$H$2="PRUEBA COMPLEMENTARIA")*((D101:H101-$D$128:$H$128)/$D$130:$H$130))/SUMPRODUCT(--($D$2:$H$2="PRUEBA COMPLEMENTARIA")))&gt;0,"Exámenes","Actividades")))))</f>
        <v>Exámenes</v>
      </c>
      <c r="W101" s="35">
        <f t="shared" si="31"/>
        <v>4.9575750246184491E-2</v>
      </c>
      <c r="X101" s="35">
        <f t="shared" si="32"/>
        <v>1.7988885457415085</v>
      </c>
      <c r="Y101" s="71">
        <f t="shared" si="33"/>
        <v>0.38912916626052402</v>
      </c>
      <c r="Z101" s="35" cm="1">
        <f t="array" ref="Z101">IF(COUNTIF(D101:H101,"NP")&gt;0,"NP",IF(COUNTIF(D101:H101,"Reconocimiento Créditos")&gt;0,"Reconocimiento Créditos",IF(COUNTIF(D101:H101,"Aprobado en otro curso")&gt;0,"Aprobado en otro curso",IF(COUNTIF($D$2:$H$2,"Examen")&lt;2,"Faltan Calificaciones",SLOPE(_xlfn._xlws.FILTER(D101:H101,$D$2:$H$2="EXAMEN"),_xlfn.SEQUENCE(1,COUNTIF($D$2:$H$2,"EXAMEN"),1,1))))))</f>
        <v>-0.10000000000000009</v>
      </c>
      <c r="AA101" s="35">
        <f t="shared" si="34"/>
        <v>1.3999999999999995</v>
      </c>
      <c r="AB101" s="35" t="str" cm="1">
        <f t="array" ref="AB101">IF(COUNTIF(D101:H101,"NP")&gt;0,"NP",IF(COUNTIF(D101:H101,"Reconocimiento Créditos")&gt;0,"Reconocimiento Créditos",IF(COUNTIF(D101:H101,"Aprobado en otro curso")&gt;0,"Aprobado en otro curso",IF(COUNTBLANK(D101:H101)=0,"No Procede",IF(COUNTBLANK(D101:H101)&gt;3,"No Procede",IF(100*(5-SUMPRODUCT(D101:H101,$D$4:$H$4)/100)/(100-SUMPRODUCT((D101:H101&lt;&gt;"")*($D$4:$H$4)))&gt;10,"Necesita más de 10",IF(100*(5-SUMPRODUCT(D101:H101,$D$4:$H$4)/100)/(100-SUMPRODUCT((D101:H101&lt;&gt;"")*($D$4:$H$4)))&lt;0,"va bien encaminado",100*(5-SUMPRODUCT(D101:H101,$D$4:$H$4)/100)/(100-SUMPRODUCT((D101:H101&lt;&gt;"")*($D$4:$H$4))))))))))</f>
        <v>No Procede</v>
      </c>
    </row>
    <row r="102" spans="2:45" ht="22" customHeight="1">
      <c r="B102" s="19">
        <f t="shared" si="37"/>
        <v>10</v>
      </c>
      <c r="C102" s="4" t="s">
        <v>30</v>
      </c>
      <c r="D102" s="98">
        <v>4.3</v>
      </c>
      <c r="E102" s="70">
        <v>3.45</v>
      </c>
      <c r="F102" s="97">
        <v>8.25</v>
      </c>
      <c r="G102" s="97">
        <v>2.8</v>
      </c>
      <c r="H102" s="97">
        <v>7.8</v>
      </c>
      <c r="I102" s="81">
        <f>IF(COUNTA(D102:H102)=0, "", IF(COUNT(D102:H102)&lt;&gt;COUNTA(D102:H102), "NP", SUMPRODUCT(D102:H102, D$4:H$4)/100))</f>
        <v>5.94</v>
      </c>
      <c r="J102" s="60" t="s">
        <v>29</v>
      </c>
      <c r="K102" s="35" cm="1">
        <f t="array" ref="K102">IF(COUNTIF(D102:H102,"NP")&gt;0,"NP",IF(COUNTIF(D102:H102,"Reconocimiento Créditos")&gt;0,"Reconocimiento Créditos",IF(COUNTIF(D102:H102,"Aprobado en otro curso")&gt;0,"Aprobado en otro curso",IF(COUNTIF(D102:H102,"")&gt;0,"Faltan Calificaciones",AVERAGE((D102:H102-$D$128:$H$128)/$D$130:$H$130)))))</f>
        <v>1.2720899754738913E-2</v>
      </c>
      <c r="L102" s="40">
        <f t="shared" si="23"/>
        <v>0.58599999999999997</v>
      </c>
      <c r="M102" s="43">
        <f t="shared" si="24"/>
        <v>5.1833333333333336</v>
      </c>
      <c r="N102" s="35" cm="1">
        <f t="array" ref="N102">IF(COUNTIF(D102:H102,"NP")&gt;0,"NP",IF(COUNTIF(D102:H102,"Reconocimiento Créditos")&gt;0,"Reconocimiento Créditos",IF(COUNTIF(D102:H102,"Aprobado en otro curso")&gt;0,"Aprobado en otro curso",IF(COUNTIF(D102:H102,"")&gt;0,"Faltan Calificaciones",AVERAGE((D102:H102-$D$128:$H$128)*($D$2:$H$2="EXAMEN")/($D$130:$H$130)*($D$2:$H$2="EXAMEN"))))))</f>
        <v>-9.6038205954590335E-3</v>
      </c>
      <c r="O102" s="40">
        <f t="shared" si="25"/>
        <v>0.46700000000000003</v>
      </c>
      <c r="P102" s="43">
        <f t="shared" si="26"/>
        <v>5.5250000000000004</v>
      </c>
      <c r="Q102" s="35" cm="1">
        <f t="array" ref="Q102">IF(COUNTIF(D102:H102,"NP")&gt;0,"NP",IF(COUNTIF(D102:H102,"Reconocimiento Créditos")&gt;0,"Reconocimiento Créditos",IF(COUNTIF(D102:H102,"Aprobado en otro curso")&gt;0,"Aprobado en otro curso",IF(COUNTIF(D102:H102,"")&gt;0,"Faltan Calificaciones",AVERAGE((D102:H102-$D$128:$H$128)*($D$2:$H$2="Prueba Complementaria")/($D$130:$H$130)*($D$2:$H$2="Prueba Complementaria"))))))</f>
        <v>2.2324720350197946E-2</v>
      </c>
      <c r="R102" s="40">
        <f t="shared" si="27"/>
        <v>0.44500000000000001</v>
      </c>
      <c r="S102" s="42">
        <f t="shared" si="28"/>
        <v>5.32</v>
      </c>
      <c r="T102" s="43">
        <f t="shared" si="29"/>
        <v>0.34166666666666679</v>
      </c>
      <c r="U102" s="40">
        <f t="shared" si="30"/>
        <v>6.5916398713826388E-2</v>
      </c>
      <c r="V102" s="40" t="str" cm="1">
        <f t="array" ref="V102">IF(COUNTIF(D102:H102,"NP")&gt;0,"NP",IF(COUNTIF(D102:H102,"Reconocimiento Créditos")&gt;0,"Reconocimiento Créditos",IF(COUNTIF(D102:H102,"Aprobado en otro curso")&gt;0,"Aprobado en otro curso",IF(COUNTBLANK(D102:H102)&gt;0,"Faltan Calificaciones",IF((SUMPRODUCT(($D$2:$H$2="EXAMEN")*((D102:H102-$D$128:$H$128)/$D$130:$H$130))/SUMPRODUCT(--($D$2:$H$2="EXAMEN")))-(SUMPRODUCT(($D$2:$H$2="PRUEBA COMPLEMENTARIA")*((D102:H102-$D$128:$H$128)/$D$130:$H$130))/SUMPRODUCT(--($D$2:$H$2="PRUEBA COMPLEMENTARIA")))&gt;0,"Exámenes","Actividades")))))</f>
        <v>Actividades</v>
      </c>
      <c r="W102" s="35">
        <f t="shared" si="31"/>
        <v>1.9666744675037088E-3</v>
      </c>
      <c r="X102" s="35">
        <f t="shared" si="32"/>
        <v>2.2637579375896166</v>
      </c>
      <c r="Y102" s="71">
        <f t="shared" si="33"/>
        <v>0.54776174581647874</v>
      </c>
      <c r="Z102" s="35" cm="1">
        <f t="array" ref="Z102">IF(COUNTIF(D102:H102,"NP")&gt;0,"NP",IF(COUNTIF(D102:H102,"Reconocimiento Créditos")&gt;0,"Reconocimiento Créditos",IF(COUNTIF(D102:H102,"Aprobado en otro curso")&gt;0,"Aprobado en otro curso",IF(COUNTIF($D$2:$H$2,"Examen")&lt;2,"Faltan Calificaciones",SLOPE(_xlfn._xlws.FILTER(D102:H102,$D$2:$H$2="EXAMEN"),_xlfn.SEQUENCE(1,COUNTIF($D$2:$H$2,"EXAMEN"),1,1))))))</f>
        <v>1.75</v>
      </c>
      <c r="AA102" s="35">
        <f t="shared" si="34"/>
        <v>2.4799999999999995</v>
      </c>
      <c r="AB102" s="35" t="str" cm="1">
        <f t="array" ref="AB102">IF(COUNTIF(D102:H102,"NP")&gt;0,"NP",IF(COUNTIF(D102:H102,"Reconocimiento Créditos")&gt;0,"Reconocimiento Créditos",IF(COUNTIF(D102:H102,"Aprobado en otro curso")&gt;0,"Aprobado en otro curso",IF(COUNTBLANK(D102:H102)=0,"No Procede",IF(COUNTBLANK(D102:H102)&gt;3,"No Procede",IF(100*(5-SUMPRODUCT(D102:H102,$D$4:$H$4)/100)/(100-SUMPRODUCT((D102:H102&lt;&gt;"")*($D$4:$H$4)))&gt;10,"Necesita más de 10",IF(100*(5-SUMPRODUCT(D102:H102,$D$4:$H$4)/100)/(100-SUMPRODUCT((D102:H102&lt;&gt;"")*($D$4:$H$4)))&lt;0,"va bien encaminado",100*(5-SUMPRODUCT(D102:H102,$D$4:$H$4)/100)/(100-SUMPRODUCT((D102:H102&lt;&gt;"")*($D$4:$H$4))))))))))</f>
        <v>No Procede</v>
      </c>
    </row>
    <row r="103" spans="2:45" ht="22" customHeight="1">
      <c r="B103" s="19">
        <f t="shared" si="37"/>
        <v>11</v>
      </c>
      <c r="C103" s="4" t="s">
        <v>30</v>
      </c>
      <c r="D103" s="98">
        <v>7.5</v>
      </c>
      <c r="E103" s="70">
        <v>6</v>
      </c>
      <c r="F103" s="97">
        <v>5.25</v>
      </c>
      <c r="G103" s="97">
        <v>7.3</v>
      </c>
      <c r="H103" s="97">
        <v>4</v>
      </c>
      <c r="I103" s="81">
        <f>IF(COUNTA(D103:H103)=0, "", IF(COUNT(D103:H103)&lt;&gt;COUNTA(D103:H103), "NP", SUMPRODUCT(D103:H103, D$4:H$4)/100))</f>
        <v>5.5075000000000003</v>
      </c>
      <c r="J103" s="60" t="s">
        <v>29</v>
      </c>
      <c r="K103" s="35" cm="1">
        <f t="array" ref="K103">IF(COUNTIF(D103:H103,"NP")&gt;0,"NP",IF(COUNTIF(D103:H103,"Reconocimiento Créditos")&gt;0,"Reconocimiento Créditos",IF(COUNTIF(D103:H103,"Aprobado en otro curso")&gt;0,"Aprobado en otro curso",IF(COUNTIF(D103:H103,"")&gt;0,"Faltan Calificaciones",AVERAGE((D103:H103-$D$128:$H$128)/$D$130:$H$130)))))</f>
        <v>0.28899694042505519</v>
      </c>
      <c r="L103" s="40">
        <f t="shared" si="23"/>
        <v>0.44500000000000001</v>
      </c>
      <c r="M103" s="43">
        <f t="shared" si="24"/>
        <v>5.833333333333333</v>
      </c>
      <c r="N103" s="35" cm="1">
        <f t="array" ref="N103">IF(COUNTIF(D103:H103,"NP")&gt;0,"NP",IF(COUNTIF(D103:H103,"Reconocimiento Créditos")&gt;0,"Reconocimiento Créditos",IF(COUNTIF(D103:H103,"Aprobado en otro curso")&gt;0,"Aprobado en otro curso",IF(COUNTIF(D103:H103,"")&gt;0,"Faltan Calificaciones",AVERAGE((D103:H103-$D$128:$H$128)*($D$2:$H$2="EXAMEN")/($D$130:$H$130)*($D$2:$H$2="EXAMEN"))))))</f>
        <v>0.1868696783261867</v>
      </c>
      <c r="O103" s="40">
        <f t="shared" si="25"/>
        <v>0.63</v>
      </c>
      <c r="P103" s="43">
        <f t="shared" si="26"/>
        <v>6.2750000000000004</v>
      </c>
      <c r="Q103" s="35" cm="1">
        <f t="array" ref="Q103">IF(COUNTIF(D103:H103,"NP")&gt;0,"NP",IF(COUNTIF(D103:H103,"Reconocimiento Créditos")&gt;0,"Reconocimiento Créditos",IF(COUNTIF(D103:H103,"Aprobado en otro curso")&gt;0,"Aprobado en otro curso",IF(COUNTIF(D103:H103,"")&gt;0,"Faltan Calificaciones",AVERAGE((D103:H103-$D$128:$H$128)*($D$2:$H$2="Prueba Complementaria")/($D$130:$H$130)*($D$2:$H$2="Prueba Complementaria"))))))</f>
        <v>0.10212726209886851</v>
      </c>
      <c r="R103" s="40">
        <f t="shared" si="27"/>
        <v>0.60799999999999998</v>
      </c>
      <c r="S103" s="42">
        <f t="shared" si="28"/>
        <v>6.01</v>
      </c>
      <c r="T103" s="43">
        <f t="shared" si="29"/>
        <v>0.44166666666666732</v>
      </c>
      <c r="U103" s="40">
        <f t="shared" si="30"/>
        <v>7.5714285714285831E-2</v>
      </c>
      <c r="V103" s="40" t="str" cm="1">
        <f t="array" ref="V103">IF(COUNTIF(D103:H103,"NP")&gt;0,"NP",IF(COUNTIF(D103:H103,"Reconocimiento Créditos")&gt;0,"Reconocimiento Créditos",IF(COUNTIF(D103:H103,"Aprobado en otro curso")&gt;0,"Aprobado en otro curso",IF(COUNTBLANK(D103:H103)&gt;0,"Faltan Calificaciones",IF((SUMPRODUCT(($D$2:$H$2="EXAMEN")*((D103:H103-$D$128:$H$128)/$D$130:$H$130))/SUMPRODUCT(--($D$2:$H$2="EXAMEN")))-(SUMPRODUCT(($D$2:$H$2="PRUEBA COMPLEMENTARIA")*((D103:H103-$D$128:$H$128)/$D$130:$H$130))/SUMPRODUCT(--($D$2:$H$2="PRUEBA COMPLEMENTARIA")))&gt;0,"Exámenes","Actividades")))))</f>
        <v>Exámenes</v>
      </c>
      <c r="W103" s="35">
        <f t="shared" si="31"/>
        <v>1.8406678300137983E-2</v>
      </c>
      <c r="X103" s="35">
        <f t="shared" si="32"/>
        <v>1.3039938650162413</v>
      </c>
      <c r="Y103" s="71">
        <f t="shared" si="33"/>
        <v>-0.77070914746020025</v>
      </c>
      <c r="Z103" s="35" cm="1">
        <f t="array" ref="Z103">IF(COUNTIF(D103:H103,"NP")&gt;0,"NP",IF(COUNTIF(D103:H103,"Reconocimiento Créditos")&gt;0,"Reconocimiento Créditos",IF(COUNTIF(D103:H103,"Aprobado en otro curso")&gt;0,"Aprobado en otro curso",IF(COUNTIF($D$2:$H$2,"Examen")&lt;2,"Faltan Calificaciones",SLOPE(_xlfn._xlws.FILTER(D103:H103,$D$2:$H$2="EXAMEN"),_xlfn.SEQUENCE(1,COUNTIF($D$2:$H$2,"EXAMEN"),1,1))))))</f>
        <v>-1.75</v>
      </c>
      <c r="AA103" s="35">
        <f t="shared" si="34"/>
        <v>-2.0099999999999998</v>
      </c>
      <c r="AB103" s="35" t="str" cm="1">
        <f t="array" ref="AB103">IF(COUNTIF(D103:H103,"NP")&gt;0,"NP",IF(COUNTIF(D103:H103,"Reconocimiento Créditos")&gt;0,"Reconocimiento Créditos",IF(COUNTIF(D103:H103,"Aprobado en otro curso")&gt;0,"Aprobado en otro curso",IF(COUNTBLANK(D103:H103)=0,"No Procede",IF(COUNTBLANK(D103:H103)&gt;3,"No Procede",IF(100*(5-SUMPRODUCT(D103:H103,$D$4:$H$4)/100)/(100-SUMPRODUCT((D103:H103&lt;&gt;"")*($D$4:$H$4)))&gt;10,"Necesita más de 10",IF(100*(5-SUMPRODUCT(D103:H103,$D$4:$H$4)/100)/(100-SUMPRODUCT((D103:H103&lt;&gt;"")*($D$4:$H$4)))&lt;0,"va bien encaminado",100*(5-SUMPRODUCT(D103:H103,$D$4:$H$4)/100)/(100-SUMPRODUCT((D103:H103&lt;&gt;"")*($D$4:$H$4))))))))))</f>
        <v>No Procede</v>
      </c>
    </row>
    <row r="104" spans="2:45" ht="22" customHeight="1">
      <c r="B104" s="17"/>
      <c r="C104" s="21"/>
      <c r="D104" s="20"/>
      <c r="E104" s="22"/>
      <c r="F104" s="85"/>
      <c r="G104" s="85"/>
      <c r="H104" s="20"/>
      <c r="I104" s="81"/>
      <c r="K104" s="16"/>
      <c r="L104" s="39"/>
      <c r="M104" s="39"/>
      <c r="N104" s="67"/>
      <c r="O104" s="39"/>
      <c r="P104" s="39"/>
      <c r="Q104" s="67"/>
      <c r="R104" s="39"/>
      <c r="T104" s="16"/>
      <c r="U104" s="16"/>
    </row>
    <row r="105" spans="2:45" s="63" customFormat="1" ht="22" customHeight="1">
      <c r="B105" s="47"/>
      <c r="C105" s="51" t="s">
        <v>60</v>
      </c>
      <c r="D105" s="46"/>
      <c r="E105" s="86"/>
      <c r="F105" s="46"/>
      <c r="G105" s="46"/>
      <c r="H105" s="46"/>
      <c r="I105" s="82"/>
      <c r="K105" s="18" t="s">
        <v>50</v>
      </c>
      <c r="L105" s="34" t="s">
        <v>51</v>
      </c>
      <c r="M105" s="34" t="s">
        <v>53</v>
      </c>
      <c r="N105" s="58" t="s">
        <v>62</v>
      </c>
      <c r="O105" s="34" t="s">
        <v>64</v>
      </c>
      <c r="P105" s="34" t="s">
        <v>66</v>
      </c>
      <c r="Q105" s="58" t="s">
        <v>63</v>
      </c>
      <c r="R105" s="34" t="s">
        <v>65</v>
      </c>
      <c r="S105" s="18" t="s">
        <v>52</v>
      </c>
      <c r="T105" s="18" t="s">
        <v>56</v>
      </c>
      <c r="U105" s="18" t="s">
        <v>57</v>
      </c>
      <c r="V105" s="18" t="s">
        <v>58</v>
      </c>
      <c r="W105" s="18" t="s">
        <v>67</v>
      </c>
      <c r="X105" s="56" t="s">
        <v>68</v>
      </c>
      <c r="Y105" s="56" t="s">
        <v>69</v>
      </c>
      <c r="Z105" s="18" t="s">
        <v>70</v>
      </c>
      <c r="AA105" s="18" t="s">
        <v>71</v>
      </c>
      <c r="AB105" s="18" t="s">
        <v>77</v>
      </c>
      <c r="AI105" s="12"/>
      <c r="AJ105" s="12"/>
      <c r="AK105" s="12"/>
      <c r="AL105" s="12"/>
      <c r="AM105" s="12"/>
      <c r="AN105" s="12"/>
      <c r="AO105" s="12"/>
      <c r="AP105" s="12"/>
      <c r="AQ105" s="12"/>
      <c r="AR105" s="12"/>
      <c r="AS105" s="12"/>
    </row>
    <row r="106" spans="2:45" ht="22" customHeight="1">
      <c r="B106" s="19">
        <f>B103+1</f>
        <v>12</v>
      </c>
      <c r="C106" s="4" t="s">
        <v>30</v>
      </c>
      <c r="D106" s="98">
        <v>3.95</v>
      </c>
      <c r="E106" s="70">
        <v>6.7</v>
      </c>
      <c r="F106" s="97">
        <v>8.5</v>
      </c>
      <c r="G106" s="97">
        <v>0.7</v>
      </c>
      <c r="H106" s="100">
        <v>0.6</v>
      </c>
      <c r="I106" s="81">
        <f>IF(COUNTA(D106:H106)=0, "", IF(COUNT(D106:H106)&lt;&gt;COUNTA(D106:H106), "NP", SUMPRODUCT(D106:H106, D$4:H$4)/100))</f>
        <v>3.2174999999999998</v>
      </c>
      <c r="J106" s="60" t="s">
        <v>29</v>
      </c>
      <c r="K106" s="35" cm="1">
        <f t="array" ref="K106">IF(COUNTIF(D106:H106,"NP")&gt;0,"NP",IF(COUNTIF(D106:H106,"Reconocimiento Créditos")&gt;0,"Reconocimiento Créditos",IF(COUNTIF(D106:H106,"Aprobado en otro curso")&gt;0,"Aprobado en otro curso",IF(COUNTIF(D106:H106,"")&gt;0,"Faltan Calificaciones",AVERAGE((D106:H106-$D$128:$H$128)/$D$130:$H$130)))))</f>
        <v>-0.4974340065862678</v>
      </c>
      <c r="L106" s="40">
        <f t="shared" si="23"/>
        <v>7.5999999999999998E-2</v>
      </c>
      <c r="M106" s="43">
        <f t="shared" si="24"/>
        <v>3.75</v>
      </c>
      <c r="N106" s="35" cm="1">
        <f t="array" ref="N106">IF(COUNTIF(D106:H106,"NP")&gt;0,"NP",IF(COUNTIF(D106:H106,"Reconocimiento Créditos")&gt;0,"Reconocimiento Créditos",IF(COUNTIF(D106:H106,"Aprobado en otro curso")&gt;0,"Aprobado en otro curso",IF(COUNTIF(D106:H106,"")&gt;0,"Faltan Calificaciones",AVERAGE((D106:H106-$D$128:$H$128)*($D$2:$H$2="EXAMEN")/($D$130:$H$130)*($D$2:$H$2="EXAMEN"))))))</f>
        <v>-0.38624837161522441</v>
      </c>
      <c r="O106" s="40">
        <f t="shared" si="25"/>
        <v>0.17299999999999999</v>
      </c>
      <c r="P106" s="43">
        <f t="shared" si="26"/>
        <v>4.5999999999999996</v>
      </c>
      <c r="Q106" s="35" cm="1">
        <f t="array" ref="Q106">IF(COUNTIF(D106:H106,"NP")&gt;0,"NP",IF(COUNTIF(D106:H106,"Reconocimiento Créditos")&gt;0,"Reconocimiento Créditos",IF(COUNTIF(D106:H106,"Aprobado en otro curso")&gt;0,"Aprobado en otro curso",IF(COUNTIF(D106:H106,"")&gt;0,"Faltan Calificaciones",AVERAGE((D106:H106-$D$128:$H$128)*($D$2:$H$2="Prueba Complementaria")/($D$130:$H$130)*($D$2:$H$2="Prueba Complementaria"))))))</f>
        <v>-0.11118563497104339</v>
      </c>
      <c r="R106" s="40">
        <f t="shared" si="27"/>
        <v>0.28199999999999997</v>
      </c>
      <c r="S106" s="42">
        <f t="shared" si="28"/>
        <v>4.09</v>
      </c>
      <c r="T106" s="43">
        <f t="shared" si="29"/>
        <v>0.84999999999999964</v>
      </c>
      <c r="U106" s="40">
        <f t="shared" si="30"/>
        <v>0.22666666666666657</v>
      </c>
      <c r="V106" s="40" t="str" cm="1">
        <f t="array" ref="V106">IF(COUNTIF(D106:H106,"NP")&gt;0,"NP",IF(COUNTIF(D106:H106,"Reconocimiento Créditos")&gt;0,"Reconocimiento Créditos",IF(COUNTIF(D106:H106,"Aprobado en otro curso")&gt;0,"Aprobado en otro curso",IF(COUNTBLANK(D106:H106)&gt;0,"Faltan Calificaciones",IF((SUMPRODUCT(($D$2:$H$2="EXAMEN")*((D106:H106-$D$128:$H$128)/$D$130:$H$130))/SUMPRODUCT(--($D$2:$H$2="EXAMEN")))-(SUMPRODUCT(($D$2:$H$2="PRUEBA COMPLEMENTARIA")*((D106:H106-$D$128:$H$128)/$D$130:$H$130))/SUMPRODUCT(--($D$2:$H$2="PRUEBA COMPLEMENTARIA")))&gt;0,"Exámenes","Actividades")))))</f>
        <v>Actividades</v>
      </c>
      <c r="W106" s="35">
        <f t="shared" si="31"/>
        <v>4.1022895016596297E-2</v>
      </c>
      <c r="X106" s="35">
        <f t="shared" si="32"/>
        <v>3.1607594024221464</v>
      </c>
      <c r="Y106" s="71">
        <f t="shared" si="33"/>
        <v>-0.552082514937004</v>
      </c>
      <c r="Z106" s="35" cm="1">
        <f t="array" ref="Z106">IF(COUNTIF(D106:H106,"NP")&gt;0,"NP",IF(COUNTIF(D106:H106,"Reconocimiento Créditos")&gt;0,"Reconocimiento Créditos",IF(COUNTIF(D106:H106,"Aprobado en otro curso")&gt;0,"Aprobado en otro curso",IF(COUNTIF($D$2:$H$2,"Examen")&lt;2,"Faltan Calificaciones",SLOPE(_xlfn._xlws.FILTER(D106:H106,$D$2:$H$2="EXAMEN"),_xlfn.SEQUENCE(1,COUNTIF($D$2:$H$2,"EXAMEN"),1,1))))))</f>
        <v>-1.675</v>
      </c>
      <c r="AA106" s="35">
        <f t="shared" si="34"/>
        <v>-3.4899999999999998</v>
      </c>
      <c r="AB106" s="35" t="str" cm="1">
        <f t="array" ref="AB106">IF(COUNTIF(D106:H106,"NP")&gt;0,"NP",IF(COUNTIF(D106:H106,"Reconocimiento Créditos")&gt;0,"Reconocimiento Créditos",IF(COUNTIF(D106:H106,"Aprobado en otro curso")&gt;0,"Aprobado en otro curso",IF(COUNTBLANK(D106:H106)=0,"No Procede",IF(COUNTBLANK(D106:H106)&gt;3,"No Procede",IF(100*(5-SUMPRODUCT(D106:H106,$D$4:$H$4)/100)/(100-SUMPRODUCT((D106:H106&lt;&gt;"")*($D$4:$H$4)))&gt;10,"Necesita más de 10",IF(100*(5-SUMPRODUCT(D106:H106,$D$4:$H$4)/100)/(100-SUMPRODUCT((D106:H106&lt;&gt;"")*($D$4:$H$4)))&lt;0,"va bien encaminado",100*(5-SUMPRODUCT(D106:H106,$D$4:$H$4)/100)/(100-SUMPRODUCT((D106:H106&lt;&gt;"")*($D$4:$H$4))))))))))</f>
        <v>No Procede</v>
      </c>
    </row>
    <row r="107" spans="2:45" ht="22" customHeight="1">
      <c r="B107" s="19">
        <v>13</v>
      </c>
      <c r="C107" s="4" t="s">
        <v>30</v>
      </c>
      <c r="D107" s="98">
        <v>6.3</v>
      </c>
      <c r="E107" s="70">
        <v>6.25</v>
      </c>
      <c r="F107" s="97">
        <v>7.75</v>
      </c>
      <c r="G107" s="97">
        <v>7</v>
      </c>
      <c r="H107" s="97">
        <v>6.7</v>
      </c>
      <c r="I107" s="81">
        <f>IF(COUNTA(D107:H107)=0, "", IF(COUNT(D107:H107)&lt;&gt;COUNTA(D107:H107), "NP", SUMPRODUCT(D107:H107, D$4:H$4)/100))</f>
        <v>6.7750000000000004</v>
      </c>
      <c r="J107" s="60" t="s">
        <v>29</v>
      </c>
      <c r="K107" s="35" cm="1">
        <f t="array" ref="K107">IF(COUNTIF(D107:H107,"NP")&gt;0,"NP",IF(COUNTIF(D107:H107,"Reconocimiento Créditos")&gt;0,"Reconocimiento Créditos",IF(COUNTIF(D107:H107,"Aprobado en otro curso")&gt;0,"Aprobado en otro curso",IF(COUNTIF(D107:H107,"")&gt;0,"Faltan Calificaciones",AVERAGE((D107:H107-$D$128:$H$128)/$D$130:$H$130)))))</f>
        <v>0.63438538240743647</v>
      </c>
      <c r="L107" s="40">
        <f t="shared" si="23"/>
        <v>0.82599999999999996</v>
      </c>
      <c r="M107" s="43">
        <f t="shared" si="24"/>
        <v>6.416666666666667</v>
      </c>
      <c r="N107" s="35" cm="1">
        <f t="array" ref="N107">IF(COUNTIF(D107:H107,"NP")&gt;0,"NP",IF(COUNTIF(D107:H107,"Reconocimiento Créditos")&gt;0,"Reconocimiento Créditos",IF(COUNTIF(D107:H107,"Aprobado en otro curso")&gt;0,"Aprobado en otro curso",IF(COUNTIF(D107:H107,"")&gt;0,"Faltan Calificaciones",AVERAGE((D107:H107-$D$128:$H$128)*($D$2:$H$2="EXAMEN")/($D$130:$H$130)*($D$2:$H$2="EXAMEN"))))))</f>
        <v>0.34503995141475574</v>
      </c>
      <c r="O107" s="40">
        <f t="shared" si="25"/>
        <v>0.77100000000000002</v>
      </c>
      <c r="P107" s="43">
        <f t="shared" si="26"/>
        <v>7.375</v>
      </c>
      <c r="Q107" s="35" cm="1">
        <f t="array" ref="Q107">IF(COUNTIF(D107:H107,"NP")&gt;0,"NP",IF(COUNTIF(D107:H107,"Reconocimiento Créditos")&gt;0,"Reconocimiento Créditos",IF(COUNTIF(D107:H107,"Aprobado en otro curso")&gt;0,"Aprobado en otro curso",IF(COUNTIF(D107:H107,"")&gt;0,"Faltan Calificaciones",AVERAGE((D107:H107-$D$128:$H$128)*($D$2:$H$2="Prueba Complementaria")/($D$130:$H$130)*($D$2:$H$2="Prueba Complementaria"))))))</f>
        <v>0.28934543099268062</v>
      </c>
      <c r="R107" s="40">
        <f t="shared" si="27"/>
        <v>0.76</v>
      </c>
      <c r="S107" s="42">
        <f t="shared" si="28"/>
        <v>6.8</v>
      </c>
      <c r="T107" s="43">
        <f t="shared" si="29"/>
        <v>0.95833333333333304</v>
      </c>
      <c r="U107" s="40">
        <f t="shared" si="30"/>
        <v>0.14935064935064929</v>
      </c>
      <c r="V107" s="40" t="str" cm="1">
        <f t="array" ref="V107">IF(COUNTIF(D107:H107,"NP")&gt;0,"NP",IF(COUNTIF(D107:H107,"Reconocimiento Créditos")&gt;0,"Reconocimiento Créditos",IF(COUNTIF(D107:H107,"Aprobado en otro curso")&gt;0,"Aprobado en otro curso",IF(COUNTBLANK(D107:H107)&gt;0,"Faltan Calificaciones",IF((SUMPRODUCT(($D$2:$H$2="EXAMEN")*((D107:H107-$D$128:$H$128)/$D$130:$H$130))/SUMPRODUCT(--($D$2:$H$2="EXAMEN")))-(SUMPRODUCT(($D$2:$H$2="PRUEBA COMPLEMENTARIA")*((D107:H107-$D$128:$H$128)/$D$130:$H$130))/SUMPRODUCT(--($D$2:$H$2="PRUEBA COMPLEMENTARIA")))&gt;0,"Exámenes","Actividades")))))</f>
        <v>Actividades</v>
      </c>
      <c r="W107" s="35">
        <f t="shared" si="31"/>
        <v>3.4808171573654567E-2</v>
      </c>
      <c r="X107" s="35">
        <f t="shared" si="32"/>
        <v>0.54863466897380819</v>
      </c>
      <c r="Y107" s="71">
        <f t="shared" si="33"/>
        <v>-9.113532707206097E-2</v>
      </c>
      <c r="Z107" s="35" cm="1">
        <f t="array" ref="Z107">IF(COUNTIF(D107:H107,"NP")&gt;0,"NP",IF(COUNTIF(D107:H107,"Reconocimiento Créditos")&gt;0,"Reconocimiento Créditos",IF(COUNTIF(D107:H107,"Aprobado en otro curso")&gt;0,"Aprobado en otro curso",IF(COUNTIF($D$2:$H$2,"Examen")&lt;2,"Faltan Calificaciones",SLOPE(_xlfn._xlws.FILTER(D107:H107,$D$2:$H$2="EXAMEN"),_xlfn.SEQUENCE(1,COUNTIF($D$2:$H$2,"EXAMEN"),1,1))))))</f>
        <v>0.20000000000000018</v>
      </c>
      <c r="AA107" s="35">
        <f t="shared" si="34"/>
        <v>-9.9999999999999645E-2</v>
      </c>
      <c r="AB107" s="35" t="str" cm="1">
        <f t="array" ref="AB107">IF(COUNTIF(D107:H107,"NP")&gt;0,"NP",IF(COUNTIF(D107:H107,"Reconocimiento Créditos")&gt;0,"Reconocimiento Créditos",IF(COUNTIF(D107:H107,"Aprobado en otro curso")&gt;0,"Aprobado en otro curso",IF(COUNTBLANK(D107:H107)=0,"No Procede",IF(COUNTBLANK(D107:H107)&gt;3,"No Procede",IF(100*(5-SUMPRODUCT(D107:H107,$D$4:$H$4)/100)/(100-SUMPRODUCT((D107:H107&lt;&gt;"")*($D$4:$H$4)))&gt;10,"Necesita más de 10",IF(100*(5-SUMPRODUCT(D107:H107,$D$4:$H$4)/100)/(100-SUMPRODUCT((D107:H107&lt;&gt;"")*($D$4:$H$4)))&lt;0,"va bien encaminado",100*(5-SUMPRODUCT(D107:H107,$D$4:$H$4)/100)/(100-SUMPRODUCT((D107:H107&lt;&gt;"")*($D$4:$H$4))))))))))</f>
        <v>No Procede</v>
      </c>
    </row>
    <row r="108" spans="2:45" ht="22" customHeight="1">
      <c r="B108" s="19">
        <v>14</v>
      </c>
      <c r="C108" s="4" t="s">
        <v>30</v>
      </c>
      <c r="D108" s="98" t="s">
        <v>18</v>
      </c>
      <c r="E108" s="70" t="s">
        <v>18</v>
      </c>
      <c r="F108" s="70" t="s">
        <v>18</v>
      </c>
      <c r="G108" s="70" t="s">
        <v>18</v>
      </c>
      <c r="H108" s="70" t="s">
        <v>18</v>
      </c>
      <c r="I108" s="23" t="s">
        <v>18</v>
      </c>
      <c r="J108" s="60" t="s">
        <v>29</v>
      </c>
      <c r="K108" s="35" t="str" cm="1">
        <f t="array" ref="K108">IF(COUNTIF(D108:H108,"NP")&gt;0,"NP",IF(COUNTIF(D108:H108,"Reconocimiento Créditos")&gt;0,"Reconocimiento Créditos",IF(COUNTIF(D108:H108,"Aprobado en otro curso")&gt;0,"Aprobado en otro curso",IF(COUNTIF(D108:H108,"")&gt;0,"Faltan Calificaciones",AVERAGE((D108:H108-$D$128:$H$128)/$D$130:$H$130)))))</f>
        <v>Reconocimiento Créditos</v>
      </c>
      <c r="L108" s="40" t="str">
        <f t="shared" si="23"/>
        <v>Reconocimiento Créditos</v>
      </c>
      <c r="M108" s="43" t="str">
        <f t="shared" si="24"/>
        <v>Reconocimiento Créditos</v>
      </c>
      <c r="N108" s="35" t="str" cm="1">
        <f t="array" ref="N108">IF(COUNTIF(D108:H108,"NP")&gt;0,"NP",IF(COUNTIF(D108:H108,"Reconocimiento Créditos")&gt;0,"Reconocimiento Créditos",IF(COUNTIF(D108:H108,"Aprobado en otro curso")&gt;0,"Aprobado en otro curso",IF(COUNTIF(D108:H108,"")&gt;0,"Faltan Calificaciones",AVERAGE((D108:H108-$D$128:$H$128)*($D$2:$H$2="EXAMEN")/($D$130:$H$130)*($D$2:$H$2="EXAMEN"))))))</f>
        <v>Reconocimiento Créditos</v>
      </c>
      <c r="O108" s="40" t="str">
        <f t="shared" si="25"/>
        <v>Reconocimiento Créditos</v>
      </c>
      <c r="P108" s="43" t="str">
        <f t="shared" si="26"/>
        <v>Reconocimiento Créditos</v>
      </c>
      <c r="Q108" s="35" t="str" cm="1">
        <f t="array" ref="Q108">IF(COUNTIF(D108:H108,"NP")&gt;0,"NP",IF(COUNTIF(D108:H108,"Reconocimiento Créditos")&gt;0,"Reconocimiento Créditos",IF(COUNTIF(D108:H108,"Aprobado en otro curso")&gt;0,"Aprobado en otro curso",IF(COUNTIF(D108:H108,"")&gt;0,"Faltan Calificaciones",AVERAGE((D108:H108-$D$128:$H$128)*($D$2:$H$2="Prueba Complementaria")/($D$130:$H$130)*($D$2:$H$2="Prueba Complementaria"))))))</f>
        <v>Reconocimiento Créditos</v>
      </c>
      <c r="R108" s="40" t="str">
        <f t="shared" si="27"/>
        <v>Reconocimiento Créditos</v>
      </c>
      <c r="S108" s="42" t="str">
        <f t="shared" si="28"/>
        <v>Reconocimiento Créditos</v>
      </c>
      <c r="T108" s="43" t="str">
        <f t="shared" si="29"/>
        <v>Reconocimiento Créditos</v>
      </c>
      <c r="U108" s="40" t="str">
        <f t="shared" si="30"/>
        <v>Reconocimiento Créditos</v>
      </c>
      <c r="V108" s="40" t="str" cm="1">
        <f t="array" ref="V108">IF(COUNTIF(D108:H108,"NP")&gt;0,"NP",IF(COUNTIF(D108:H108,"Reconocimiento Créditos")&gt;0,"Reconocimiento Créditos",IF(COUNTIF(D108:H108,"Aprobado en otro curso")&gt;0,"Aprobado en otro curso",IF(COUNTBLANK(D108:H108)&gt;0,"Faltan Calificaciones",IF((SUMPRODUCT(($D$2:$H$2="EXAMEN")*((D108:H108-$D$128:$H$128)/$D$130:$H$130))/SUMPRODUCT(--($D$2:$H$2="EXAMEN")))-(SUMPRODUCT(($D$2:$H$2="PRUEBA COMPLEMENTARIA")*((D108:H108-$D$128:$H$128)/$D$130:$H$130))/SUMPRODUCT(--($D$2:$H$2="PRUEBA COMPLEMENTARIA")))&gt;0,"Exámenes","Actividades")))))</f>
        <v>Reconocimiento Créditos</v>
      </c>
      <c r="W108" s="35" t="str">
        <f t="shared" si="31"/>
        <v>Reconocimiento Créditos</v>
      </c>
      <c r="X108" s="35" t="str">
        <f t="shared" si="32"/>
        <v>Reconocimiento Créditos</v>
      </c>
      <c r="Y108" s="71" t="str">
        <f t="shared" si="33"/>
        <v>Reconocimiento Créditos</v>
      </c>
      <c r="Z108" s="35" t="str" cm="1">
        <f t="array" ref="Z108">IF(COUNTIF(D108:H108,"NP")&gt;0,"NP",IF(COUNTIF(D108:H108,"Reconocimiento Créditos")&gt;0,"Reconocimiento Créditos",IF(COUNTIF(D108:H108,"Aprobado en otro curso")&gt;0,"Aprobado en otro curso",IF(COUNTIF($D$2:$H$2,"Examen")&lt;2,"Faltan Calificaciones",SLOPE(_xlfn._xlws.FILTER(D108:H108,$D$2:$H$2="EXAMEN"),_xlfn.SEQUENCE(1,COUNTIF($D$2:$H$2,"EXAMEN"),1,1))))))</f>
        <v>Reconocimiento Créditos</v>
      </c>
      <c r="AA108" s="35" t="str">
        <f t="shared" si="34"/>
        <v>Reconocimiento Créditos</v>
      </c>
      <c r="AB108" s="35" t="str" cm="1">
        <f t="array" ref="AB108">IF(COUNTIF(D108:H108,"NP")&gt;0,"NP",IF(COUNTIF(D108:H108,"Reconocimiento Créditos")&gt;0,"Reconocimiento Créditos",IF(COUNTIF(D108:H108,"Aprobado en otro curso")&gt;0,"Aprobado en otro curso",IF(COUNTBLANK(D108:H108)=0,"No Procede",IF(COUNTBLANK(D108:H108)&gt;3,"No Procede",IF(100*(5-SUMPRODUCT(D108:H108,$D$4:$H$4)/100)/(100-SUMPRODUCT((D108:H108&lt;&gt;"")*($D$4:$H$4)))&gt;10,"Necesita más de 10",IF(100*(5-SUMPRODUCT(D108:H108,$D$4:$H$4)/100)/(100-SUMPRODUCT((D108:H108&lt;&gt;"")*($D$4:$H$4)))&lt;0,"va bien encaminado",100*(5-SUMPRODUCT(D108:H108,$D$4:$H$4)/100)/(100-SUMPRODUCT((D108:H108&lt;&gt;"")*($D$4:$H$4))))))))))</f>
        <v>Reconocimiento Créditos</v>
      </c>
    </row>
    <row r="109" spans="2:45" ht="22" customHeight="1">
      <c r="B109" s="19">
        <v>15</v>
      </c>
      <c r="C109" s="4" t="s">
        <v>30</v>
      </c>
      <c r="D109" s="98">
        <v>5.25</v>
      </c>
      <c r="E109" s="70">
        <v>2.25</v>
      </c>
      <c r="F109" s="97">
        <v>5.25</v>
      </c>
      <c r="G109" s="97">
        <v>0.85</v>
      </c>
      <c r="H109" s="97">
        <v>5.2</v>
      </c>
      <c r="I109" s="81">
        <f>IF(COUNTA(D109:H109)=0, "", IF(COUNT(D109:H109)&lt;&gt;COUNTA(D109:H109), "NP", SUMPRODUCT(D109:H109, D$4:H$4)/100))</f>
        <v>4.12</v>
      </c>
      <c r="J109" s="60" t="s">
        <v>29</v>
      </c>
      <c r="K109" s="35" cm="1">
        <f t="array" ref="K109">IF(COUNTIF(D109:H109,"NP")&gt;0,"NP",IF(COUNTIF(D109:H109,"Reconocimiento Créditos")&gt;0,"Reconocimiento Créditos",IF(COUNTIF(D109:H109,"Aprobado en otro curso")&gt;0,"Aprobado en otro curso",IF(COUNTIF(D109:H109,"")&gt;0,"Faltan Calificaciones",AVERAGE((D109:H109-$D$128:$H$128)/$D$130:$H$130)))))</f>
        <v>-0.64529649727883798</v>
      </c>
      <c r="L109" s="40">
        <f t="shared" si="23"/>
        <v>0.19500000000000001</v>
      </c>
      <c r="M109" s="43">
        <f t="shared" si="24"/>
        <v>4.2333333333333334</v>
      </c>
      <c r="N109" s="35" cm="1">
        <f t="array" ref="N109">IF(COUNTIF(D109:H109,"NP")&gt;0,"NP",IF(COUNTIF(D109:H109,"Reconocimiento Créditos")&gt;0,"Reconocimiento Créditos",IF(COUNTIF(D109:H109,"Aprobado en otro curso")&gt;0,"Aprobado en otro curso",IF(COUNTIF(D109:H109,"")&gt;0,"Faltan Calificaciones",AVERAGE((D109:H109-$D$128:$H$128)*($D$2:$H$2="EXAMEN")/($D$130:$H$130)*($D$2:$H$2="EXAMEN"))))))</f>
        <v>-0.27307713582286797</v>
      </c>
      <c r="O109" s="40">
        <f t="shared" si="25"/>
        <v>0.217</v>
      </c>
      <c r="P109" s="43">
        <f t="shared" si="26"/>
        <v>3.05</v>
      </c>
      <c r="Q109" s="35" cm="1">
        <f t="array" ref="Q109">IF(COUNTIF(D109:H109,"NP")&gt;0,"NP",IF(COUNTIF(D109:H109,"Reconocimiento Créditos")&gt;0,"Reconocimiento Créditos",IF(COUNTIF(D109:H109,"Aprobado en otro curso")&gt;0,"Aprobado en otro curso",IF(COUNTIF(D109:H109,"")&gt;0,"Faltan Calificaciones",AVERAGE((D109:H109-$D$128:$H$128)*($D$2:$H$2="Prueba Complementaria")/($D$130:$H$130)*($D$2:$H$2="Prueba Complementaria"))))))</f>
        <v>-0.3722193614559699</v>
      </c>
      <c r="R109" s="40">
        <f t="shared" si="27"/>
        <v>0.108</v>
      </c>
      <c r="S109" s="42">
        <f t="shared" si="28"/>
        <v>3.7600000000000002</v>
      </c>
      <c r="T109" s="43">
        <f t="shared" si="29"/>
        <v>-1.1833333333333336</v>
      </c>
      <c r="U109" s="40">
        <f t="shared" si="30"/>
        <v>-0.27952755905511817</v>
      </c>
      <c r="V109" s="40" t="str" cm="1">
        <f t="array" ref="V109">IF(COUNTIF(D109:H109,"NP")&gt;0,"NP",IF(COUNTIF(D109:H109,"Reconocimiento Créditos")&gt;0,"Reconocimiento Créditos",IF(COUNTIF(D109:H109,"Aprobado en otro curso")&gt;0,"Aprobado en otro curso",IF(COUNTBLANK(D109:H109)&gt;0,"Faltan Calificaciones",IF((SUMPRODUCT(($D$2:$H$2="EXAMEN")*((D109:H109-$D$128:$H$128)/$D$130:$H$130))/SUMPRODUCT(--($D$2:$H$2="EXAMEN")))-(SUMPRODUCT(($D$2:$H$2="PRUEBA COMPLEMENTARIA")*((D109:H109-$D$128:$H$128)/$D$130:$H$130))/SUMPRODUCT(--($D$2:$H$2="PRUEBA COMPLEMENTARIA")))&gt;0,"Exámenes","Actividades")))))</f>
        <v>Exámenes</v>
      </c>
      <c r="W109" s="35">
        <f t="shared" si="31"/>
        <v>2.9287584541634236E-2</v>
      </c>
      <c r="X109" s="35">
        <f t="shared" si="32"/>
        <v>1.858063508064242</v>
      </c>
      <c r="Y109" s="71">
        <f t="shared" si="33"/>
        <v>0.38750021023237596</v>
      </c>
      <c r="Z109" s="35" cm="1">
        <f t="array" ref="Z109">IF(COUNTIF(D109:H109,"NP")&gt;0,"NP",IF(COUNTIF(D109:H109,"Reconocimiento Créditos")&gt;0,"Reconocimiento Créditos",IF(COUNTIF(D109:H109,"Aprobado en otro curso")&gt;0,"Aprobado en otro curso",IF(COUNTIF($D$2:$H$2,"Examen")&lt;2,"Faltan Calificaciones",SLOPE(_xlfn._xlws.FILTER(D109:H109,$D$2:$H$2="EXAMEN"),_xlfn.SEQUENCE(1,COUNTIF($D$2:$H$2,"EXAMEN"),1,1))))))</f>
        <v>-2.4999999999999911E-2</v>
      </c>
      <c r="AA109" s="35">
        <f t="shared" si="34"/>
        <v>1.44</v>
      </c>
      <c r="AB109" s="35" t="str" cm="1">
        <f t="array" ref="AB109">IF(COUNTIF(D109:H109,"NP")&gt;0,"NP",IF(COUNTIF(D109:H109,"Reconocimiento Créditos")&gt;0,"Reconocimiento Créditos",IF(COUNTIF(D109:H109,"Aprobado en otro curso")&gt;0,"Aprobado en otro curso",IF(COUNTBLANK(D109:H109)=0,"No Procede",IF(COUNTBLANK(D109:H109)&gt;3,"No Procede",IF(100*(5-SUMPRODUCT(D109:H109,$D$4:$H$4)/100)/(100-SUMPRODUCT((D109:H109&lt;&gt;"")*($D$4:$H$4)))&gt;10,"Necesita más de 10",IF(100*(5-SUMPRODUCT(D109:H109,$D$4:$H$4)/100)/(100-SUMPRODUCT((D109:H109&lt;&gt;"")*($D$4:$H$4)))&lt;0,"va bien encaminado",100*(5-SUMPRODUCT(D109:H109,$D$4:$H$4)/100)/(100-SUMPRODUCT((D109:H109&lt;&gt;"")*($D$4:$H$4))))))))))</f>
        <v>No Procede</v>
      </c>
    </row>
    <row r="110" spans="2:45" ht="22" customHeight="1">
      <c r="B110" s="19">
        <v>16</v>
      </c>
      <c r="C110" s="4" t="s">
        <v>30</v>
      </c>
      <c r="D110" s="98">
        <v>8.5</v>
      </c>
      <c r="E110" s="70">
        <v>7.65</v>
      </c>
      <c r="F110" s="97">
        <v>8</v>
      </c>
      <c r="G110" s="97">
        <v>6.75</v>
      </c>
      <c r="H110" s="97">
        <v>8.8000000000000007</v>
      </c>
      <c r="I110" s="81">
        <f>IF(COUNTA(D110:H110)=0, "", IF(COUNT(D110:H110)&lt;&gt;COUNTA(D110:H110), "NP", SUMPRODUCT(D110:H110, D$4:H$4)/100))</f>
        <v>8.1549999999999994</v>
      </c>
      <c r="J110" s="60" t="s">
        <v>29</v>
      </c>
      <c r="K110" s="35" cm="1">
        <f t="array" ref="K110">IF(COUNTIF(D110:H110,"NP")&gt;0,"NP",IF(COUNTIF(D110:H110,"Reconocimiento Créditos")&gt;0,"Reconocimiento Créditos",IF(COUNTIF(D110:H110,"Aprobado en otro curso")&gt;0,"Aprobado en otro curso",IF(COUNTIF(D110:H110,"")&gt;0,"Faltan Calificaciones",AVERAGE((D110:H110-$D$128:$H$128)/$D$130:$H$130)))))</f>
        <v>1.1673714150127179</v>
      </c>
      <c r="L110" s="40">
        <f t="shared" si="23"/>
        <v>0.97799999999999998</v>
      </c>
      <c r="M110" s="43">
        <f t="shared" si="24"/>
        <v>8.3166666666666664</v>
      </c>
      <c r="N110" s="35" cm="1">
        <f t="array" ref="N110">IF(COUNTIF(D110:H110,"NP")&gt;0,"NP",IF(COUNTIF(D110:H110,"Reconocimiento Créditos")&gt;0,"Reconocimiento Créditos",IF(COUNTIF(D110:H110,"Aprobado en otro curso")&gt;0,"Aprobado en otro curso",IF(COUNTIF(D110:H110,"")&gt;0,"Faltan Calificaciones",AVERAGE((D110:H110-$D$128:$H$128)*($D$2:$H$2="EXAMEN")/($D$130:$H$130)*($D$2:$H$2="EXAMEN"))))))</f>
        <v>0.87548343181004584</v>
      </c>
      <c r="O110" s="40">
        <f t="shared" si="25"/>
        <v>0.97799999999999998</v>
      </c>
      <c r="P110" s="43">
        <f t="shared" si="26"/>
        <v>7.375</v>
      </c>
      <c r="Q110" s="35" cm="1">
        <f t="array" ref="Q110">IF(COUNTIF(D110:H110,"NP")&gt;0,"NP",IF(COUNTIF(D110:H110,"Reconocimiento Créditos")&gt;0,"Reconocimiento Créditos",IF(COUNTIF(D110:H110,"Aprobado en otro curso")&gt;0,"Aprobado en otro curso",IF(COUNTIF(D110:H110,"")&gt;0,"Faltan Calificaciones",AVERAGE((D110:H110-$D$128:$H$128)*($D$2:$H$2="Prueba Complementaria")/($D$130:$H$130)*($D$2:$H$2="Prueba Complementaria"))))))</f>
        <v>0.29188798320267201</v>
      </c>
      <c r="R110" s="40">
        <f t="shared" si="27"/>
        <v>0.76</v>
      </c>
      <c r="S110" s="42">
        <f t="shared" si="28"/>
        <v>7.94</v>
      </c>
      <c r="T110" s="43">
        <f t="shared" si="29"/>
        <v>-0.94166666666666643</v>
      </c>
      <c r="U110" s="40">
        <f t="shared" si="30"/>
        <v>-0.1132264529058116</v>
      </c>
      <c r="V110" s="40" t="str" cm="1">
        <f t="array" ref="V110">IF(COUNTIF(D110:H110,"NP")&gt;0,"NP",IF(COUNTIF(D110:H110,"Reconocimiento Créditos")&gt;0,"Reconocimiento Créditos",IF(COUNTIF(D110:H110,"Aprobado en otro curso")&gt;0,"Aprobado en otro curso",IF(COUNTBLANK(D110:H110)&gt;0,"Faltan Calificaciones",IF((SUMPRODUCT(($D$2:$H$2="EXAMEN")*((D110:H110-$D$128:$H$128)/$D$130:$H$130))/SUMPRODUCT(--($D$2:$H$2="EXAMEN")))-(SUMPRODUCT(($D$2:$H$2="PRUEBA COMPLEMENTARIA")*((D110:H110-$D$128:$H$128)/$D$130:$H$130))/SUMPRODUCT(--($D$2:$H$2="PRUEBA COMPLEMENTARIA")))&gt;0,"Exámenes","Actividades")))))</f>
        <v>Exámenes</v>
      </c>
      <c r="W110" s="35">
        <f t="shared" si="31"/>
        <v>8.9812598169114688E-2</v>
      </c>
      <c r="X110" s="35">
        <f t="shared" si="32"/>
        <v>0.71512236715124522</v>
      </c>
      <c r="Y110" s="71">
        <f t="shared" si="33"/>
        <v>0.60129569392850091</v>
      </c>
      <c r="Z110" s="35" cm="1">
        <f t="array" ref="Z110">IF(COUNTIF(D110:H110,"NP")&gt;0,"NP",IF(COUNTIF(D110:H110,"Reconocimiento Créditos")&gt;0,"Reconocimiento Créditos",IF(COUNTIF(D110:H110,"Aprobado en otro curso")&gt;0,"Aprobado en otro curso",IF(COUNTIF($D$2:$H$2,"Examen")&lt;2,"Faltan Calificaciones",SLOPE(_xlfn._xlws.FILTER(D110:H110,$D$2:$H$2="EXAMEN"),_xlfn.SEQUENCE(1,COUNTIF($D$2:$H$2,"EXAMEN"),1,1))))))</f>
        <v>0.15000000000000036</v>
      </c>
      <c r="AA110" s="35">
        <f t="shared" si="34"/>
        <v>0.86000000000000032</v>
      </c>
      <c r="AB110" s="35" t="str" cm="1">
        <f t="array" ref="AB110">IF(COUNTIF(D110:H110,"NP")&gt;0,"NP",IF(COUNTIF(D110:H110,"Reconocimiento Créditos")&gt;0,"Reconocimiento Créditos",IF(COUNTIF(D110:H110,"Aprobado en otro curso")&gt;0,"Aprobado en otro curso",IF(COUNTBLANK(D110:H110)=0,"No Procede",IF(COUNTBLANK(D110:H110)&gt;3,"No Procede",IF(100*(5-SUMPRODUCT(D110:H110,$D$4:$H$4)/100)/(100-SUMPRODUCT((D110:H110&lt;&gt;"")*($D$4:$H$4)))&gt;10,"Necesita más de 10",IF(100*(5-SUMPRODUCT(D110:H110,$D$4:$H$4)/100)/(100-SUMPRODUCT((D110:H110&lt;&gt;"")*($D$4:$H$4)))&lt;0,"va bien encaminado",100*(5-SUMPRODUCT(D110:H110,$D$4:$H$4)/100)/(100-SUMPRODUCT((D110:H110&lt;&gt;"")*($D$4:$H$4))))))))))</f>
        <v>No Procede</v>
      </c>
    </row>
    <row r="111" spans="2:45" ht="22" customHeight="1">
      <c r="B111" s="19">
        <v>17</v>
      </c>
      <c r="C111" s="4" t="s">
        <v>30</v>
      </c>
      <c r="D111" s="70" t="s">
        <v>100</v>
      </c>
      <c r="E111" s="70" t="s">
        <v>100</v>
      </c>
      <c r="F111" s="70" t="s">
        <v>100</v>
      </c>
      <c r="G111" s="70" t="s">
        <v>100</v>
      </c>
      <c r="H111" s="70" t="s">
        <v>100</v>
      </c>
      <c r="I111" s="70" t="s">
        <v>100</v>
      </c>
      <c r="J111" s="60" t="s">
        <v>29</v>
      </c>
      <c r="K111" s="35" t="str" cm="1">
        <f t="array" ref="K111">IF(COUNTIF(D111:H111,"NP")&gt;0,"NP",IF(COUNTIF(D111:H111,"Reconocimiento Créditos")&gt;0,"Reconocimiento Créditos",IF(COUNTIF(D111:H111,"Aprobado en otro curso")&gt;0,"Aprobado en otro curso",IF(COUNTIF(D111:H111,"")&gt;0,"Faltan Calificaciones",AVERAGE((D111:H111-$D$128:$H$128)/$D$130:$H$130)))))</f>
        <v>Aprobado en otro curso</v>
      </c>
      <c r="L111" s="40" t="str">
        <f t="shared" si="23"/>
        <v>Aprobado en otro curso</v>
      </c>
      <c r="M111" s="43" t="str">
        <f t="shared" si="24"/>
        <v>Aprobado en otro curso</v>
      </c>
      <c r="N111" s="35" t="str" cm="1">
        <f t="array" ref="N111">IF(COUNTIF(D111:H111,"NP")&gt;0,"NP",IF(COUNTIF(D111:H111,"Reconocimiento Créditos")&gt;0,"Reconocimiento Créditos",IF(COUNTIF(D111:H111,"Aprobado en otro curso")&gt;0,"Aprobado en otro curso",IF(COUNTIF(D111:H111,"")&gt;0,"Faltan Calificaciones",AVERAGE((D111:H111-$D$128:$H$128)*($D$2:$H$2="EXAMEN")/($D$130:$H$130)*($D$2:$H$2="EXAMEN"))))))</f>
        <v>Aprobado en otro curso</v>
      </c>
      <c r="O111" s="40" t="str">
        <f t="shared" si="25"/>
        <v>Aprobado en otro curso</v>
      </c>
      <c r="P111" s="43" t="str">
        <f t="shared" si="26"/>
        <v>Aprobado en otro curso</v>
      </c>
      <c r="Q111" s="35" t="str" cm="1">
        <f t="array" ref="Q111">IF(COUNTIF(D111:H111,"NP")&gt;0,"NP",IF(COUNTIF(D111:H111,"Reconocimiento Créditos")&gt;0,"Reconocimiento Créditos",IF(COUNTIF(D111:H111,"Aprobado en otro curso")&gt;0,"Aprobado en otro curso",IF(COUNTIF(D111:H111,"")&gt;0,"Faltan Calificaciones",AVERAGE((D111:H111-$D$128:$H$128)*($D$2:$H$2="Prueba Complementaria")/($D$130:$H$130)*($D$2:$H$2="Prueba Complementaria"))))))</f>
        <v>Aprobado en otro curso</v>
      </c>
      <c r="R111" s="40" t="str">
        <f t="shared" si="27"/>
        <v>Aprobado en otro curso</v>
      </c>
      <c r="S111" s="42" t="str">
        <f t="shared" si="28"/>
        <v>Aprobado en otro curso</v>
      </c>
      <c r="T111" s="43" t="str">
        <f t="shared" si="29"/>
        <v>Aprobado en otro curso</v>
      </c>
      <c r="U111" s="40" t="str">
        <f t="shared" si="30"/>
        <v>Aprobado en otro curso</v>
      </c>
      <c r="V111" s="40" t="str" cm="1">
        <f t="array" ref="V111">IF(COUNTIF(D111:H111,"NP")&gt;0,"NP",IF(COUNTIF(D111:H111,"Reconocimiento Créditos")&gt;0,"Reconocimiento Créditos",IF(COUNTIF(D111:H111,"Aprobado en otro curso")&gt;0,"Aprobado en otro curso",IF(COUNTBLANK(D111:H111)&gt;0,"Faltan Calificaciones",IF((SUMPRODUCT(($D$2:$H$2="EXAMEN")*((D111:H111-$D$128:$H$128)/$D$130:$H$130))/SUMPRODUCT(--($D$2:$H$2="EXAMEN")))-(SUMPRODUCT(($D$2:$H$2="PRUEBA COMPLEMENTARIA")*((D111:H111-$D$128:$H$128)/$D$130:$H$130))/SUMPRODUCT(--($D$2:$H$2="PRUEBA COMPLEMENTARIA")))&gt;0,"Exámenes","Actividades")))))</f>
        <v>Aprobado en otro curso</v>
      </c>
      <c r="W111" s="35" t="str">
        <f t="shared" si="31"/>
        <v>Aprobado en otro curso</v>
      </c>
      <c r="X111" s="35" t="str">
        <f t="shared" si="32"/>
        <v>Aprobado en otro curso</v>
      </c>
      <c r="Y111" s="71" t="str">
        <f t="shared" si="33"/>
        <v>Aprobado en otro curso</v>
      </c>
      <c r="Z111" s="35" t="str" cm="1">
        <f t="array" ref="Z111">IF(COUNTIF(D111:H111,"NP")&gt;0,"NP",IF(COUNTIF(D111:H111,"Reconocimiento Créditos")&gt;0,"Reconocimiento Créditos",IF(COUNTIF(D111:H111,"Aprobado en otro curso")&gt;0,"Aprobado en otro curso",IF(COUNTIF($D$2:$H$2,"Examen")&lt;2,"Faltan Calificaciones",SLOPE(_xlfn._xlws.FILTER(D111:H111,$D$2:$H$2="EXAMEN"),_xlfn.SEQUENCE(1,COUNTIF($D$2:$H$2,"EXAMEN"),1,1))))))</f>
        <v>Aprobado en otro curso</v>
      </c>
      <c r="AA111" s="35" t="str">
        <f t="shared" si="34"/>
        <v>Aprobado en otro curso</v>
      </c>
      <c r="AB111" s="35" t="str" cm="1">
        <f t="array" ref="AB111">IF(COUNTIF(D111:H111,"NP")&gt;0,"NP",IF(COUNTIF(D111:H111,"Reconocimiento Créditos")&gt;0,"Reconocimiento Créditos",IF(COUNTIF(D111:H111,"Aprobado en otro curso")&gt;0,"Aprobado en otro curso",IF(COUNTBLANK(D111:H111)=0,"No Procede",IF(COUNTBLANK(D111:H111)&gt;3,"No Procede",IF(100*(5-SUMPRODUCT(D111:H111,$D$4:$H$4)/100)/(100-SUMPRODUCT((D111:H111&lt;&gt;"")*($D$4:$H$4)))&gt;10,"Necesita más de 10",IF(100*(5-SUMPRODUCT(D111:H111,$D$4:$H$4)/100)/(100-SUMPRODUCT((D111:H111&lt;&gt;"")*($D$4:$H$4)))&lt;0,"va bien encaminado",100*(5-SUMPRODUCT(D111:H111,$D$4:$H$4)/100)/(100-SUMPRODUCT((D111:H111&lt;&gt;"")*($D$4:$H$4))))))))))</f>
        <v>Aprobado en otro curso</v>
      </c>
    </row>
    <row r="112" spans="2:45" ht="22" customHeight="1">
      <c r="B112" s="19">
        <v>18</v>
      </c>
      <c r="C112" s="4" t="s">
        <v>30</v>
      </c>
      <c r="D112" s="98">
        <v>3.2</v>
      </c>
      <c r="E112" s="70">
        <v>6.4</v>
      </c>
      <c r="F112" s="97">
        <v>8.5</v>
      </c>
      <c r="G112" s="97">
        <v>6.1</v>
      </c>
      <c r="H112" s="97">
        <v>7.1</v>
      </c>
      <c r="I112" s="81">
        <f>IF(COUNTA(D112:H112)=0, "", IF(COUNT(D112:H112)&lt;&gt;COUNTA(D112:H112), "NP", SUMPRODUCT(D112:H112, D$4:H$4)/100))</f>
        <v>6.47</v>
      </c>
      <c r="J112" s="60" t="s">
        <v>29</v>
      </c>
      <c r="K112" s="35" cm="1">
        <f t="array" ref="K112">IF(COUNTIF(D112:H112,"NP")&gt;0,"NP",IF(COUNTIF(D112:H112,"Reconocimiento Créditos")&gt;0,"Reconocimiento Créditos",IF(COUNTIF(D112:H112,"Aprobado en otro curso")&gt;0,"Aprobado en otro curso",IF(COUNTIF(D112:H112,"")&gt;0,"Faltan Calificaciones",AVERAGE((D112:H112-$D$128:$H$128)/$D$130:$H$130)))))</f>
        <v>0.39313378188431375</v>
      </c>
      <c r="L112" s="40">
        <f t="shared" si="23"/>
        <v>0.77100000000000002</v>
      </c>
      <c r="M112" s="43">
        <f t="shared" si="24"/>
        <v>5.5666666666666673</v>
      </c>
      <c r="N112" s="35" cm="1">
        <f t="array" ref="N112">IF(COUNTIF(D112:H112,"NP")&gt;0,"NP",IF(COUNTIF(D112:H112,"Reconocimiento Créditos")&gt;0,"Reconocimiento Créditos",IF(COUNTIF(D112:H112,"Aprobado en otro curso")&gt;0,"Aprobado en otro curso",IF(COUNTIF(D112:H112,"")&gt;0,"Faltan Calificaciones",AVERAGE((D112:H112-$D$128:$H$128)*($D$2:$H$2="EXAMEN")/($D$130:$H$130)*($D$2:$H$2="EXAMEN"))))))</f>
        <v>0.1071920110885158</v>
      </c>
      <c r="O112" s="40">
        <f t="shared" si="25"/>
        <v>0.58599999999999997</v>
      </c>
      <c r="P112" s="43">
        <f t="shared" si="26"/>
        <v>7.3</v>
      </c>
      <c r="Q112" s="35" cm="1">
        <f t="array" ref="Q112">IF(COUNTIF(D112:H112,"NP")&gt;0,"NP",IF(COUNTIF(D112:H112,"Reconocimiento Créditos")&gt;0,"Reconocimiento Créditos",IF(COUNTIF(D112:H112,"Aprobado en otro curso")&gt;0,"Aprobado en otro curso",IF(COUNTIF(D112:H112,"")&gt;0,"Faltan Calificaciones",AVERAGE((D112:H112-$D$128:$H$128)*($D$2:$H$2="Prueba Complementaria")/($D$130:$H$130)*($D$2:$H$2="Prueba Complementaria"))))))</f>
        <v>0.28594177079579797</v>
      </c>
      <c r="R112" s="40">
        <f t="shared" si="27"/>
        <v>0.75</v>
      </c>
      <c r="S112" s="42">
        <f t="shared" si="28"/>
        <v>6.2600000000000007</v>
      </c>
      <c r="T112" s="43">
        <f t="shared" si="29"/>
        <v>1.7333333333333325</v>
      </c>
      <c r="U112" s="40">
        <f t="shared" si="30"/>
        <v>0.31137724550898183</v>
      </c>
      <c r="V112" s="40" t="str" cm="1">
        <f t="array" ref="V112">IF(COUNTIF(D112:H112,"NP")&gt;0,"NP",IF(COUNTIF(D112:H112,"Reconocimiento Créditos")&gt;0,"Reconocimiento Créditos",IF(COUNTIF(D112:H112,"Aprobado en otro curso")&gt;0,"Aprobado en otro curso",IF(COUNTBLANK(D112:H112)&gt;0,"Faltan Calificaciones",IF((SUMPRODUCT(($D$2:$H$2="EXAMEN")*((D112:H112-$D$128:$H$128)/$D$130:$H$130))/SUMPRODUCT(--($D$2:$H$2="EXAMEN")))-(SUMPRODUCT(($D$2:$H$2="PRUEBA COMPLEMENTARIA")*((D112:H112-$D$128:$H$128)/$D$130:$H$130))/SUMPRODUCT(--($D$2:$H$2="PRUEBA COMPLEMENTARIA")))&gt;0,"Exámenes","Actividades")))))</f>
        <v>Actividades</v>
      </c>
      <c r="W112" s="35">
        <f t="shared" si="31"/>
        <v>1.0144489092711012E-2</v>
      </c>
      <c r="X112" s="35">
        <f t="shared" si="32"/>
        <v>1.739655138238609</v>
      </c>
      <c r="Y112" s="71">
        <f t="shared" si="33"/>
        <v>0.24142716034239237</v>
      </c>
      <c r="Z112" s="35" cm="1">
        <f t="array" ref="Z112">IF(COUNTIF(D112:H112,"NP")&gt;0,"NP",IF(COUNTIF(D112:H112,"Reconocimiento Créditos")&gt;0,"Reconocimiento Créditos",IF(COUNTIF(D112:H112,"Aprobado en otro curso")&gt;0,"Aprobado en otro curso",IF(COUNTIF($D$2:$H$2,"Examen")&lt;2,"Faltan Calificaciones",SLOPE(_xlfn._xlws.FILTER(D112:H112,$D$2:$H$2="EXAMEN"),_xlfn.SEQUENCE(1,COUNTIF($D$2:$H$2,"EXAMEN"),1,1))))))</f>
        <v>1.9499999999999997</v>
      </c>
      <c r="AA112" s="35">
        <f t="shared" si="34"/>
        <v>0.83999999999999897</v>
      </c>
      <c r="AB112" s="35" t="str" cm="1">
        <f t="array" ref="AB112">IF(COUNTIF(D112:H112,"NP")&gt;0,"NP",IF(COUNTIF(D112:H112,"Reconocimiento Créditos")&gt;0,"Reconocimiento Créditos",IF(COUNTIF(D112:H112,"Aprobado en otro curso")&gt;0,"Aprobado en otro curso",IF(COUNTBLANK(D112:H112)=0,"No Procede",IF(COUNTBLANK(D112:H112)&gt;3,"No Procede",IF(100*(5-SUMPRODUCT(D112:H112,$D$4:$H$4)/100)/(100-SUMPRODUCT((D112:H112&lt;&gt;"")*($D$4:$H$4)))&gt;10,"Necesita más de 10",IF(100*(5-SUMPRODUCT(D112:H112,$D$4:$H$4)/100)/(100-SUMPRODUCT((D112:H112&lt;&gt;"")*($D$4:$H$4)))&lt;0,"va bien encaminado",100*(5-SUMPRODUCT(D112:H112,$D$4:$H$4)/100)/(100-SUMPRODUCT((D112:H112&lt;&gt;"")*($D$4:$H$4))))))))))</f>
        <v>No Procede</v>
      </c>
    </row>
    <row r="113" spans="2:45" ht="22" customHeight="1">
      <c r="B113" s="19">
        <v>19</v>
      </c>
      <c r="C113" s="4" t="s">
        <v>30</v>
      </c>
      <c r="D113" s="98">
        <v>8.8000000000000007</v>
      </c>
      <c r="E113" s="70">
        <v>2.2999999999999998</v>
      </c>
      <c r="F113" s="97">
        <v>3.5</v>
      </c>
      <c r="G113" s="97">
        <v>6.5</v>
      </c>
      <c r="H113" s="97">
        <v>7.9</v>
      </c>
      <c r="I113" s="81">
        <f>IF(COUNTA(D113:H113)=0, "", IF(COUNT(D113:H113)&lt;&gt;COUNTA(D113:H113), "NP", SUMPRODUCT(D113:H113, D$4:H$4)/100))</f>
        <v>6.3250000000000002</v>
      </c>
      <c r="J113" s="60" t="s">
        <v>29</v>
      </c>
      <c r="K113" s="35" cm="1">
        <f t="array" ref="K113">IF(COUNTIF(D113:H113,"NP")&gt;0,"NP",IF(COUNTIF(D113:H113,"Reconocimiento Créditos")&gt;0,"Reconocimiento Créditos",IF(COUNTIF(D113:H113,"Aprobado en otro curso")&gt;0,"Aprobado en otro curso",IF(COUNTIF(D113:H113,"")&gt;0,"Faltan Calificaciones",AVERAGE((D113:H113-$D$128:$H$128)/$D$130:$H$130)))))</f>
        <v>0.20502381695597496</v>
      </c>
      <c r="L113" s="40">
        <f t="shared" si="23"/>
        <v>0.76</v>
      </c>
      <c r="M113" s="43">
        <f t="shared" si="24"/>
        <v>6.333333333333333</v>
      </c>
      <c r="N113" s="35" cm="1">
        <f t="array" ref="N113">IF(COUNTIF(D113:H113,"NP")&gt;0,"NP",IF(COUNTIF(D113:H113,"Reconocimiento Créditos")&gt;0,"Reconocimiento Créditos",IF(COUNTIF(D113:H113,"Aprobado en otro curso")&gt;0,"Aprobado en otro curso",IF(COUNTIF(D113:H113,"")&gt;0,"Faltan Calificaciones",AVERAGE((D113:H113-$D$128:$H$128)*($D$2:$H$2="EXAMEN")/($D$130:$H$130)*($D$2:$H$2="EXAMEN"))))))</f>
        <v>0.30822680638361011</v>
      </c>
      <c r="O113" s="40">
        <f t="shared" si="25"/>
        <v>0.76</v>
      </c>
      <c r="P113" s="43">
        <f t="shared" si="26"/>
        <v>5</v>
      </c>
      <c r="Q113" s="35" cm="1">
        <f t="array" ref="Q113">IF(COUNTIF(D113:H113,"NP")&gt;0,"NP",IF(COUNTIF(D113:H113,"Reconocimiento Créditos")&gt;0,"Reconocimiento Créditos",IF(COUNTIF(D113:H113,"Aprobado en otro curso")&gt;0,"Aprobado en otro curso",IF(COUNTIF(D113:H113,"")&gt;0,"Faltan Calificaciones",AVERAGE((D113:H113-$D$128:$H$128)*($D$2:$H$2="Prueba Complementaria")/($D$130:$H$130)*($D$2:$H$2="Prueba Complementaria"))))))</f>
        <v>-0.1032029894276351</v>
      </c>
      <c r="R113" s="40">
        <f t="shared" si="27"/>
        <v>0.34699999999999998</v>
      </c>
      <c r="S113" s="42">
        <f t="shared" si="28"/>
        <v>5.8</v>
      </c>
      <c r="T113" s="43">
        <f t="shared" si="29"/>
        <v>-1.333333333333333</v>
      </c>
      <c r="U113" s="40">
        <f t="shared" si="30"/>
        <v>-0.21052631578947364</v>
      </c>
      <c r="V113" s="40" t="str" cm="1">
        <f t="array" ref="V113">IF(COUNTIF(D113:H113,"NP")&gt;0,"NP",IF(COUNTIF(D113:H113,"Reconocimiento Créditos")&gt;0,"Reconocimiento Créditos",IF(COUNTIF(D113:H113,"Aprobado en otro curso")&gt;0,"Aprobado en otro curso",IF(COUNTBLANK(D113:H113)&gt;0,"Faltan Calificaciones",IF((SUMPRODUCT(($D$2:$H$2="EXAMEN")*((D113:H113-$D$128:$H$128)/$D$130:$H$130))/SUMPRODUCT(--($D$2:$H$2="EXAMEN")))-(SUMPRODUCT(($D$2:$H$2="PRUEBA COMPLEMENTARIA")*((D113:H113-$D$128:$H$128)/$D$130:$H$130))/SUMPRODUCT(--($D$2:$H$2="PRUEBA COMPLEMENTARIA")))&gt;0,"Exámenes","Actividades")))))</f>
        <v>Exámenes</v>
      </c>
      <c r="W113" s="35">
        <f t="shared" si="31"/>
        <v>3.0990826260814227E-2</v>
      </c>
      <c r="X113" s="35">
        <f t="shared" si="32"/>
        <v>2.5075884829851969</v>
      </c>
      <c r="Y113" s="71">
        <f t="shared" si="33"/>
        <v>0.41872899286489457</v>
      </c>
      <c r="Z113" s="35" cm="1">
        <f t="array" ref="Z113">IF(COUNTIF(D113:H113,"NP")&gt;0,"NP",IF(COUNTIF(D113:H113,"Reconocimiento Créditos")&gt;0,"Reconocimiento Créditos",IF(COUNTIF(D113:H113,"Aprobado en otro curso")&gt;0,"Aprobado en otro curso",IF(COUNTIF($D$2:$H$2,"Examen")&lt;2,"Faltan Calificaciones",SLOPE(_xlfn._xlws.FILTER(D113:H113,$D$2:$H$2="EXAMEN"),_xlfn.SEQUENCE(1,COUNTIF($D$2:$H$2,"EXAMEN"),1,1))))))</f>
        <v>-0.45000000000000018</v>
      </c>
      <c r="AA113" s="35">
        <f t="shared" si="34"/>
        <v>2.1000000000000005</v>
      </c>
      <c r="AB113" s="35" t="str" cm="1">
        <f t="array" ref="AB113">IF(COUNTIF(D113:H113,"NP")&gt;0,"NP",IF(COUNTIF(D113:H113,"Reconocimiento Créditos")&gt;0,"Reconocimiento Créditos",IF(COUNTIF(D113:H113,"Aprobado en otro curso")&gt;0,"Aprobado en otro curso",IF(COUNTBLANK(D113:H113)=0,"No Procede",IF(COUNTBLANK(D113:H113)&gt;3,"No Procede",IF(100*(5-SUMPRODUCT(D113:H113,$D$4:$H$4)/100)/(100-SUMPRODUCT((D113:H113&lt;&gt;"")*($D$4:$H$4)))&gt;10,"Necesita más de 10",IF(100*(5-SUMPRODUCT(D113:H113,$D$4:$H$4)/100)/(100-SUMPRODUCT((D113:H113&lt;&gt;"")*($D$4:$H$4)))&lt;0,"va bien encaminado",100*(5-SUMPRODUCT(D113:H113,$D$4:$H$4)/100)/(100-SUMPRODUCT((D113:H113&lt;&gt;"")*($D$4:$H$4))))))))))</f>
        <v>No Procede</v>
      </c>
    </row>
    <row r="114" spans="2:45" ht="22" customHeight="1">
      <c r="B114" s="19">
        <v>20</v>
      </c>
      <c r="C114" s="4" t="s">
        <v>30</v>
      </c>
      <c r="D114" s="70">
        <v>6.45</v>
      </c>
      <c r="E114" s="70">
        <v>4.45</v>
      </c>
      <c r="F114" s="97">
        <v>3.5</v>
      </c>
      <c r="G114" s="97">
        <v>8</v>
      </c>
      <c r="H114" s="97">
        <v>6.45</v>
      </c>
      <c r="I114" s="81">
        <f>IF(COUNTA(D114:H114)=0, "", IF(COUNT(D114:H114)&lt;&gt;COUNTA(D114:H114), "NP", SUMPRODUCT(D114:H114, D$4:H$4)/100))</f>
        <v>5.94</v>
      </c>
      <c r="J114" s="60" t="s">
        <v>29</v>
      </c>
      <c r="K114" s="35" cm="1">
        <f t="array" ref="K114">IF(COUNTIF(D114:H114,"NP")&gt;0,"NP",IF(COUNTIF(D114:H114,"Reconocimiento Créditos")&gt;0,"Reconocimiento Créditos",IF(COUNTIF(D114:H114,"Aprobado en otro curso")&gt;0,"Aprobado en otro curso",IF(COUNTIF(D114:H114,"")&gt;0,"Faltan Calificaciones",AVERAGE((D114:H114-$D$128:$H$128)/$D$130:$H$130)))))</f>
        <v>0.17067607724518968</v>
      </c>
      <c r="L114" s="40">
        <f t="shared" si="23"/>
        <v>0.58599999999999997</v>
      </c>
      <c r="M114" s="43">
        <f t="shared" si="24"/>
        <v>5.7833333333333341</v>
      </c>
      <c r="N114" s="35" cm="1">
        <f t="array" ref="N114">IF(COUNTIF(D114:H114,"NP")&gt;0,"NP",IF(COUNTIF(D114:H114,"Reconocimiento Créditos")&gt;0,"Reconocimiento Créditos",IF(COUNTIF(D114:H114,"Aprobado en otro curso")&gt;0,"Aprobado en otro curso",IF(COUNTIF(D114:H114,"")&gt;0,"Faltan Calificaciones",AVERAGE((D114:H114-$D$128:$H$128)*($D$2:$H$2="EXAMEN")/($D$130:$H$130)*($D$2:$H$2="EXAMEN"))))))</f>
        <v>0.1635658984042577</v>
      </c>
      <c r="O114" s="40">
        <f t="shared" si="25"/>
        <v>0.61899999999999999</v>
      </c>
      <c r="P114" s="43">
        <f t="shared" si="26"/>
        <v>5.75</v>
      </c>
      <c r="Q114" s="35" cm="1">
        <f t="array" ref="Q114">IF(COUNTIF(D114:H114,"NP")&gt;0,"NP",IF(COUNTIF(D114:H114,"Reconocimiento Créditos")&gt;0,"Reconocimiento Créditos",IF(COUNTIF(D114:H114,"Aprobado en otro curso")&gt;0,"Aprobado en otro curso",IF(COUNTIF(D114:H114,"")&gt;0,"Faltan Calificaciones",AVERAGE((D114:H114-$D$128:$H$128)*($D$2:$H$2="Prueba Complementaria")/($D$130:$H$130)*($D$2:$H$2="Prueba Complementaria"))))))</f>
        <v>7.1101788409319465E-3</v>
      </c>
      <c r="R114" s="40">
        <f t="shared" si="27"/>
        <v>0.5</v>
      </c>
      <c r="S114" s="42">
        <f t="shared" si="28"/>
        <v>5.77</v>
      </c>
      <c r="T114" s="43">
        <f t="shared" si="29"/>
        <v>-3.3333333333334103E-2</v>
      </c>
      <c r="U114" s="40">
        <f t="shared" si="30"/>
        <v>-5.7636887608070488E-3</v>
      </c>
      <c r="V114" s="40" t="str" cm="1">
        <f t="array" ref="V114">IF(COUNTIF(D114:H114,"NP")&gt;0,"NP",IF(COUNTIF(D114:H114,"Reconocimiento Créditos")&gt;0,"Reconocimiento Créditos",IF(COUNTIF(D114:H114,"Aprobado en otro curso")&gt;0,"Aprobado en otro curso",IF(COUNTBLANK(D114:H114)&gt;0,"Faltan Calificaciones",IF((SUMPRODUCT(($D$2:$H$2="EXAMEN")*((D114:H114-$D$128:$H$128)/$D$130:$H$130))/SUMPRODUCT(--($D$2:$H$2="EXAMEN")))-(SUMPRODUCT(($D$2:$H$2="PRUEBA COMPLEMENTARIA")*((D114:H114-$D$128:$H$128)/$D$130:$H$130))/SUMPRODUCT(--($D$2:$H$2="PRUEBA COMPLEMENTARIA")))&gt;0,"Exámenes","Actividades")))))</f>
        <v>Exámenes</v>
      </c>
      <c r="W114" s="35">
        <f t="shared" si="31"/>
        <v>1.5990188891771069E-2</v>
      </c>
      <c r="X114" s="35">
        <f t="shared" si="32"/>
        <v>1.5995624401691861</v>
      </c>
      <c r="Y114" s="71">
        <f t="shared" si="33"/>
        <v>0.21255812931193743</v>
      </c>
      <c r="Z114" s="35" cm="1">
        <f t="array" ref="Z114">IF(COUNTIF(D114:H114,"NP")&gt;0,"NP",IF(COUNTIF(D114:H114,"Reconocimiento Créditos")&gt;0,"Reconocimiento Créditos",IF(COUNTIF(D114:H114,"Aprobado en otro curso")&gt;0,"Aprobado en otro curso",IF(COUNTIF($D$2:$H$2,"Examen")&lt;2,"Faltan Calificaciones",SLOPE(_xlfn._xlws.FILTER(D114:H114,$D$2:$H$2="EXAMEN"),_xlfn.SEQUENCE(1,COUNTIF($D$2:$H$2,"EXAMEN"),1,1))))))</f>
        <v>0</v>
      </c>
      <c r="AA114" s="35">
        <f t="shared" si="34"/>
        <v>0.6800000000000006</v>
      </c>
      <c r="AB114" s="35" t="str" cm="1">
        <f t="array" ref="AB114">IF(COUNTIF(D114:H114,"NP")&gt;0,"NP",IF(COUNTIF(D114:H114,"Reconocimiento Créditos")&gt;0,"Reconocimiento Créditos",IF(COUNTIF(D114:H114,"Aprobado en otro curso")&gt;0,"Aprobado en otro curso",IF(COUNTBLANK(D114:H114)=0,"No Procede",IF(COUNTBLANK(D114:H114)&gt;3,"No Procede",IF(100*(5-SUMPRODUCT(D114:H114,$D$4:$H$4)/100)/(100-SUMPRODUCT((D114:H114&lt;&gt;"")*($D$4:$H$4)))&gt;10,"Necesita más de 10",IF(100*(5-SUMPRODUCT(D114:H114,$D$4:$H$4)/100)/(100-SUMPRODUCT((D114:H114&lt;&gt;"")*($D$4:$H$4)))&lt;0,"va bien encaminado",100*(5-SUMPRODUCT(D114:H114,$D$4:$H$4)/100)/(100-SUMPRODUCT((D114:H114&lt;&gt;"")*($D$4:$H$4))))))))))</f>
        <v>No Procede</v>
      </c>
    </row>
    <row r="115" spans="2:45" ht="22" customHeight="1">
      <c r="B115" s="19">
        <v>21</v>
      </c>
      <c r="C115" s="4" t="s">
        <v>30</v>
      </c>
      <c r="D115" s="98">
        <v>3.3</v>
      </c>
      <c r="E115" s="70">
        <v>2</v>
      </c>
      <c r="F115" s="97">
        <v>1</v>
      </c>
      <c r="G115" s="97">
        <v>0.25</v>
      </c>
      <c r="H115" s="97">
        <v>1.25</v>
      </c>
      <c r="I115" s="81">
        <f>IF(COUNTA(D115:H115)=0, "", IF(COUNT(D115:H115)&lt;&gt;COUNTA(D115:H115), "NP", SUMPRODUCT(D115:H115, D$4:H$4)/100))</f>
        <v>1.4824999999999999</v>
      </c>
      <c r="J115" s="60" t="s">
        <v>29</v>
      </c>
      <c r="K115" s="35" cm="1">
        <f t="array" ref="K115">IF(COUNTIF(D115:H115,"NP")&gt;0,"NP",IF(COUNTIF(D115:H115,"Reconocimiento Créditos")&gt;0,"Reconocimiento Créditos",IF(COUNTIF(D115:H115,"Aprobado en otro curso")&gt;0,"Aprobado en otro curso",IF(COUNTIF(D115:H115,"")&gt;0,"Faltan Calificaciones",AVERAGE((D115:H115-$D$128:$H$128)/$D$130:$H$130)))))</f>
        <v>-1.6105543688521347</v>
      </c>
      <c r="L115" s="40">
        <f t="shared" si="23"/>
        <v>2.1000000000000001E-2</v>
      </c>
      <c r="M115" s="43">
        <f t="shared" si="24"/>
        <v>2.1833333333333331</v>
      </c>
      <c r="N115" s="35" cm="1">
        <f t="array" ref="N115">IF(COUNTIF(D115:H115,"NP")&gt;0,"NP",IF(COUNTIF(D115:H115,"Reconocimiento Créditos")&gt;0,"Reconocimiento Créditos",IF(COUNTIF(D115:H115,"Aprobado en otro curso")&gt;0,"Aprobado en otro curso",IF(COUNTIF(D115:H115,"")&gt;0,"Faltan Calificaciones",AVERAGE((D115:H115-$D$128:$H$128)*($D$2:$H$2="EXAMEN")/($D$130:$H$130)*($D$2:$H$2="EXAMEN"))))))</f>
        <v>-0.83843237575794449</v>
      </c>
      <c r="O115" s="40">
        <f t="shared" si="25"/>
        <v>4.2999999999999997E-2</v>
      </c>
      <c r="P115" s="43">
        <f t="shared" si="26"/>
        <v>0.625</v>
      </c>
      <c r="Q115" s="35" cm="1">
        <f t="array" ref="Q115">IF(COUNTIF(D115:H115,"NP")&gt;0,"NP",IF(COUNTIF(D115:H115,"Reconocimiento Créditos")&gt;0,"Reconocimiento Créditos",IF(COUNTIF(D115:H115,"Aprobado en otro curso")&gt;0,"Aprobado en otro curso",IF(COUNTIF(D115:H115,"")&gt;0,"Faltan Calificaciones",AVERAGE((D115:H115-$D$128:$H$128)*($D$2:$H$2="Prueba Complementaria")/($D$130:$H$130)*($D$2:$H$2="Prueba Complementaria"))))))</f>
        <v>-0.77212199309419005</v>
      </c>
      <c r="R115" s="40">
        <f t="shared" si="27"/>
        <v>0</v>
      </c>
      <c r="S115" s="42">
        <f t="shared" si="28"/>
        <v>1.56</v>
      </c>
      <c r="T115" s="43">
        <f t="shared" si="29"/>
        <v>-1.5583333333333331</v>
      </c>
      <c r="U115" s="40">
        <f t="shared" si="30"/>
        <v>-0.7137404580152672</v>
      </c>
      <c r="V115" s="40" t="str" cm="1">
        <f t="array" ref="V115">IF(COUNTIF(D115:H115,"NP")&gt;0,"NP",IF(COUNTIF(D115:H115,"Reconocimiento Créditos")&gt;0,"Reconocimiento Créditos",IF(COUNTIF(D115:H115,"Aprobado en otro curso")&gt;0,"Aprobado en otro curso",IF(COUNTBLANK(D115:H115)&gt;0,"Faltan Calificaciones",IF((SUMPRODUCT(($D$2:$H$2="EXAMEN")*((D115:H115-$D$128:$H$128)/$D$130:$H$130))/SUMPRODUCT(--($D$2:$H$2="EXAMEN")))-(SUMPRODUCT(($D$2:$H$2="PRUEBA COMPLEMENTARIA")*((D115:H115-$D$128:$H$128)/$D$130:$H$130))/SUMPRODUCT(--($D$2:$H$2="PRUEBA COMPLEMENTARIA")))&gt;0,"Exámenes","Actividades")))))</f>
        <v>Exámenes</v>
      </c>
      <c r="W115" s="35">
        <f t="shared" si="31"/>
        <v>8.7912191959174615E-2</v>
      </c>
      <c r="X115" s="35">
        <f t="shared" si="32"/>
        <v>1.0341179816636012</v>
      </c>
      <c r="Y115" s="71">
        <f t="shared" si="33"/>
        <v>-0.14988618585922772</v>
      </c>
      <c r="Z115" s="35" cm="1">
        <f t="array" ref="Z115">IF(COUNTIF(D115:H115,"NP")&gt;0,"NP",IF(COUNTIF(D115:H115,"Reconocimiento Créditos")&gt;0,"Reconocimiento Créditos",IF(COUNTIF(D115:H115,"Aprobado en otro curso")&gt;0,"Aprobado en otro curso",IF(COUNTIF($D$2:$H$2,"Examen")&lt;2,"Faltan Calificaciones",SLOPE(_xlfn._xlws.FILTER(D115:H115,$D$2:$H$2="EXAMEN"),_xlfn.SEQUENCE(1,COUNTIF($D$2:$H$2,"EXAMEN"),1,1))))))</f>
        <v>-1.0249999999999999</v>
      </c>
      <c r="AA115" s="35">
        <f t="shared" si="34"/>
        <v>-0.31000000000000005</v>
      </c>
      <c r="AB115" s="35" t="str" cm="1">
        <f t="array" ref="AB115">IF(COUNTIF(D115:H115,"NP")&gt;0,"NP",IF(COUNTIF(D115:H115,"Reconocimiento Créditos")&gt;0,"Reconocimiento Créditos",IF(COUNTIF(D115:H115,"Aprobado en otro curso")&gt;0,"Aprobado en otro curso",IF(COUNTBLANK(D115:H115)=0,"No Procede",IF(COUNTBLANK(D115:H115)&gt;3,"No Procede",IF(100*(5-SUMPRODUCT(D115:H115,$D$4:$H$4)/100)/(100-SUMPRODUCT((D115:H115&lt;&gt;"")*($D$4:$H$4)))&gt;10,"Necesita más de 10",IF(100*(5-SUMPRODUCT(D115:H115,$D$4:$H$4)/100)/(100-SUMPRODUCT((D115:H115&lt;&gt;"")*($D$4:$H$4)))&lt;0,"va bien encaminado",100*(5-SUMPRODUCT(D115:H115,$D$4:$H$4)/100)/(100-SUMPRODUCT((D115:H115&lt;&gt;"")*($D$4:$H$4))))))))))</f>
        <v>No Procede</v>
      </c>
    </row>
    <row r="116" spans="2:45" ht="22" customHeight="1" thickBot="1">
      <c r="B116" s="19">
        <v>22</v>
      </c>
      <c r="C116" s="4" t="s">
        <v>30</v>
      </c>
      <c r="D116" s="98">
        <v>1</v>
      </c>
      <c r="E116" s="70">
        <v>3.05</v>
      </c>
      <c r="F116" s="97">
        <v>5</v>
      </c>
      <c r="G116" s="97">
        <v>5</v>
      </c>
      <c r="H116" s="101">
        <v>3.25</v>
      </c>
      <c r="I116" s="81">
        <f>IF(COUNTA(D116:H116)=0, "", IF(COUNT(D116:H116)&lt;&gt;COUNTA(D116:H116), "NP", SUMPRODUCT(D116:H116, D$4:H$4)/100))</f>
        <v>3.4075000000000002</v>
      </c>
      <c r="J116" s="60" t="s">
        <v>29</v>
      </c>
      <c r="K116" s="35" cm="1">
        <f t="array" ref="K116">IF(COUNTIF(D116:H116,"NP")&gt;0,"NP",IF(COUNTIF(D116:H116,"Reconocimiento Créditos")&gt;0,"Reconocimiento Créditos",IF(COUNTIF(D116:H116,"Aprobado en otro curso")&gt;0,"Aprobado en otro curso",IF(COUNTIF(D116:H116,"")&gt;0,"Faltan Calificaciones",AVERAGE((D116:H116-$D$128:$H$128)/$D$130:$H$130)))))</f>
        <v>-0.85765931702400167</v>
      </c>
      <c r="L116" s="40">
        <f t="shared" si="23"/>
        <v>9.7000000000000003E-2</v>
      </c>
      <c r="M116" s="43">
        <f t="shared" si="24"/>
        <v>2.4333333333333331</v>
      </c>
      <c r="N116" s="35" cm="1">
        <f t="array" ref="N116">IF(COUNTIF(D116:H116,"NP")&gt;0,"NP",IF(COUNTIF(D116:H116,"Reconocimiento Créditos")&gt;0,"Reconocimiento Créditos",IF(COUNTIF(D116:H116,"Aprobado en otro curso")&gt;0,"Aprobado en otro curso",IF(COUNTIF(D116:H116,"")&gt;0,"Faltan Calificaciones",AVERAGE((D116:H116-$D$128:$H$128)*($D$2:$H$2="EXAMEN")/($D$130:$H$130)*($D$2:$H$2="EXAMEN"))))))</f>
        <v>-0.76971164085631494</v>
      </c>
      <c r="O116" s="40">
        <f t="shared" si="25"/>
        <v>6.5000000000000002E-2</v>
      </c>
      <c r="P116" s="43">
        <f t="shared" si="26"/>
        <v>5</v>
      </c>
      <c r="Q116" s="35" cm="1">
        <f t="array" ref="Q116">IF(COUNTIF(D116:H116,"NP")&gt;0,"NP",IF(COUNTIF(D116:H116,"Reconocimiento Créditos")&gt;0,"Reconocimiento Créditos",IF(COUNTIF(D116:H116,"Aprobado en otro curso")&gt;0,"Aprobado en otro curso",IF(COUNTIF(D116:H116,"")&gt;0,"Faltan Calificaciones",AVERAGE((D116:H116-$D$128:$H$128)*($D$2:$H$2="Prueba Complementaria")/($D$130:$H$130)*($D$2:$H$2="Prueba Complementaria"))))))</f>
        <v>-8.7947676167686867E-2</v>
      </c>
      <c r="R116" s="40">
        <f t="shared" si="27"/>
        <v>0.34699999999999998</v>
      </c>
      <c r="S116" s="42">
        <f t="shared" si="28"/>
        <v>3.46</v>
      </c>
      <c r="T116" s="43">
        <f t="shared" si="29"/>
        <v>2.5666666666666669</v>
      </c>
      <c r="U116" s="40">
        <f t="shared" si="30"/>
        <v>1.0547945205479454</v>
      </c>
      <c r="V116" s="40" t="str" cm="1">
        <f t="array" ref="V116">IF(COUNTIF(D116:H116,"NP")&gt;0,"NP",IF(COUNTIF(D116:H116,"Reconocimiento Créditos")&gt;0,"Reconocimiento Créditos",IF(COUNTIF(D116:H116,"Aprobado en otro curso")&gt;0,"Aprobado en otro curso",IF(COUNTBLANK(D116:H116)&gt;0,"Faltan Calificaciones",IF((SUMPRODUCT(($D$2:$H$2="EXAMEN")*((D116:H116-$D$128:$H$128)/$D$130:$H$130))/SUMPRODUCT(--($D$2:$H$2="EXAMEN")))-(SUMPRODUCT(($D$2:$H$2="PRUEBA COMPLEMENTARIA")*((D116:H116-$D$128:$H$128)/$D$130:$H$130))/SUMPRODUCT(--($D$2:$H$2="PRUEBA COMPLEMENTARIA")))&gt;0,"Exámenes","Actividades")))))</f>
        <v>Actividades</v>
      </c>
      <c r="W116" s="35">
        <f t="shared" si="31"/>
        <v>8.0786183707238099E-2</v>
      </c>
      <c r="X116" s="35">
        <f t="shared" si="32"/>
        <v>1.483711562265388</v>
      </c>
      <c r="Y116" s="71">
        <f t="shared" si="33"/>
        <v>-7.0768471898730687E-2</v>
      </c>
      <c r="Z116" s="35" cm="1">
        <f t="array" ref="Z116">IF(COUNTIF(D116:H116,"NP")&gt;0,"NP",IF(COUNTIF(D116:H116,"Reconocimiento Créditos")&gt;0,"Reconocimiento Créditos",IF(COUNTIF(D116:H116,"Aprobado en otro curso")&gt;0,"Aprobado en otro curso",IF(COUNTIF($D$2:$H$2,"Examen")&lt;2,"Faltan Calificaciones",SLOPE(_xlfn._xlws.FILTER(D116:H116,$D$2:$H$2="EXAMEN"),_xlfn.SEQUENCE(1,COUNTIF($D$2:$H$2,"EXAMEN"),1,1))))))</f>
        <v>1.125</v>
      </c>
      <c r="AA116" s="35">
        <f t="shared" si="34"/>
        <v>-0.20999999999999996</v>
      </c>
      <c r="AB116" s="35" t="str" cm="1">
        <f t="array" ref="AB116">IF(COUNTIF(D116:H116,"NP")&gt;0,"NP",IF(COUNTIF(D116:H116,"Reconocimiento Créditos")&gt;0,"Reconocimiento Créditos",IF(COUNTIF(D116:H116,"Aprobado en otro curso")&gt;0,"Aprobado en otro curso",IF(COUNTBLANK(D116:H116)=0,"No Procede",IF(COUNTBLANK(D116:H116)&gt;3,"No Procede",IF(100*(5-SUMPRODUCT(D116:H116,$D$4:$H$4)/100)/(100-SUMPRODUCT((D116:H116&lt;&gt;"")*($D$4:$H$4)))&gt;10,"Necesita más de 10",IF(100*(5-SUMPRODUCT(D116:H116,$D$4:$H$4)/100)/(100-SUMPRODUCT((D116:H116&lt;&gt;"")*($D$4:$H$4)))&lt;0,"va bien encaminado",100*(5-SUMPRODUCT(D116:H116,$D$4:$H$4)/100)/(100-SUMPRODUCT((D116:H116&lt;&gt;"")*($D$4:$H$4))))))))))</f>
        <v>No Procede</v>
      </c>
    </row>
    <row r="117" spans="2:45" ht="22" customHeight="1" thickBot="1">
      <c r="B117" s="49" t="s">
        <v>24</v>
      </c>
      <c r="C117" s="50" t="s">
        <v>25</v>
      </c>
      <c r="D117" s="46"/>
      <c r="E117" s="86"/>
      <c r="F117" s="93"/>
      <c r="G117" s="93"/>
      <c r="H117" s="46"/>
      <c r="I117" s="82"/>
      <c r="K117" s="16"/>
      <c r="L117" s="39"/>
      <c r="M117" s="39"/>
      <c r="N117" s="67"/>
      <c r="O117" s="39"/>
      <c r="P117" s="39"/>
      <c r="Q117" s="67"/>
      <c r="R117" s="39"/>
      <c r="T117" s="16"/>
      <c r="U117" s="16"/>
    </row>
    <row r="118" spans="2:45" s="63" customFormat="1" ht="22" customHeight="1" thickBot="1">
      <c r="B118" s="49" t="s">
        <v>7</v>
      </c>
      <c r="C118" s="53" t="s">
        <v>8</v>
      </c>
      <c r="D118" s="91"/>
      <c r="E118" s="91"/>
      <c r="F118" s="91"/>
      <c r="G118" s="91"/>
      <c r="H118" s="91"/>
      <c r="I118" s="82"/>
      <c r="K118" s="18" t="s">
        <v>50</v>
      </c>
      <c r="L118" s="34" t="s">
        <v>51</v>
      </c>
      <c r="M118" s="34" t="s">
        <v>53</v>
      </c>
      <c r="N118" s="58" t="s">
        <v>62</v>
      </c>
      <c r="O118" s="34" t="s">
        <v>64</v>
      </c>
      <c r="P118" s="34" t="s">
        <v>66</v>
      </c>
      <c r="Q118" s="58" t="s">
        <v>63</v>
      </c>
      <c r="R118" s="34" t="s">
        <v>65</v>
      </c>
      <c r="S118" s="18" t="s">
        <v>52</v>
      </c>
      <c r="T118" s="18" t="s">
        <v>56</v>
      </c>
      <c r="U118" s="18" t="s">
        <v>57</v>
      </c>
      <c r="V118" s="18" t="s">
        <v>58</v>
      </c>
      <c r="W118" s="18" t="s">
        <v>67</v>
      </c>
      <c r="X118" s="56" t="s">
        <v>68</v>
      </c>
      <c r="Y118" s="56" t="s">
        <v>69</v>
      </c>
      <c r="Z118" s="18" t="s">
        <v>70</v>
      </c>
      <c r="AA118" s="18" t="s">
        <v>71</v>
      </c>
      <c r="AB118" s="18" t="s">
        <v>77</v>
      </c>
      <c r="AI118" s="12"/>
      <c r="AJ118" s="12"/>
      <c r="AK118" s="12"/>
      <c r="AL118" s="12"/>
      <c r="AM118" s="12"/>
      <c r="AN118" s="12"/>
      <c r="AO118" s="12"/>
      <c r="AP118" s="12"/>
      <c r="AQ118" s="12"/>
      <c r="AR118" s="12"/>
      <c r="AS118" s="12"/>
    </row>
    <row r="119" spans="2:45" ht="22" customHeight="1">
      <c r="B119" s="28">
        <v>1</v>
      </c>
      <c r="C119" s="4" t="s">
        <v>30</v>
      </c>
      <c r="D119" s="26">
        <v>5</v>
      </c>
      <c r="E119" s="22">
        <v>6.45</v>
      </c>
      <c r="F119" s="26">
        <v>8.5</v>
      </c>
      <c r="G119" s="26">
        <v>7.5</v>
      </c>
      <c r="H119" s="26">
        <v>6.5</v>
      </c>
      <c r="I119" s="81">
        <f t="shared" ref="I119:I125" si="38">IF(COUNTA(D119:H119)=0, "", IF(COUNT(D119:H119)&lt;&gt;COUNTA(D119:H119), "NP", SUMPRODUCT(D119:H119, D$4:H$4)/100))</f>
        <v>6.7175000000000002</v>
      </c>
      <c r="J119" s="60" t="s">
        <v>29</v>
      </c>
      <c r="K119" s="35" cm="1">
        <f t="array" ref="K119">IF(COUNTIF(D119:H119,"NP")&gt;0,"NP",IF(COUNTIF(D119:H119,"Reconocimiento Créditos")&gt;0,"Reconocimiento Créditos",IF(COUNTIF(D119:H119,"Aprobado en otro curso")&gt;0,"Aprobado en otro curso",IF(COUNTIF(D119:H119,"")&gt;0,"Faltan Calificaciones",AVERAGE((D119:H119-$D$128:$H$128)/$D$130:$H$130)))))</f>
        <v>0.61385330020009876</v>
      </c>
      <c r="L119" s="40">
        <f t="shared" si="23"/>
        <v>0.79300000000000004</v>
      </c>
      <c r="M119" s="43">
        <f t="shared" si="24"/>
        <v>5.9833333333333334</v>
      </c>
      <c r="N119" s="35" cm="1">
        <f t="array" ref="N119">IF(COUNTIF(D119:H119,"NP")&gt;0,"NP",IF(COUNTIF(D119:H119,"Reconocimiento Créditos")&gt;0,"Reconocimiento Créditos",IF(COUNTIF(D119:H119,"Aprobado en otro curso")&gt;0,"Aprobado en otro curso",IF(COUNTIF(D119:H119,"")&gt;0,"Faltan Calificaciones",AVERAGE((D119:H119-$D$128:$H$128)*($D$2:$H$2="EXAMEN")/($D$130:$H$130)*($D$2:$H$2="EXAMEN"))))))</f>
        <v>0.22495257235363814</v>
      </c>
      <c r="O119" s="40">
        <f t="shared" si="25"/>
        <v>0.67300000000000004</v>
      </c>
      <c r="P119" s="43">
        <f t="shared" si="26"/>
        <v>8</v>
      </c>
      <c r="Q119" s="35" cm="1">
        <f t="array" ref="Q119">IF(COUNTIF(D119:H119,"NP")&gt;0,"NP",IF(COUNTIF(D119:H119,"Reconocimiento Créditos")&gt;0,"Reconocimiento Créditos",IF(COUNTIF(D119:H119,"Aprobado en otro curso")&gt;0,"Aprobado en otro curso",IF(COUNTIF(D119:H119,"")&gt;0,"Faltan Calificaciones",AVERAGE((D119:H119-$D$128:$H$128)*($D$2:$H$2="Prueba Complementaria")/($D$130:$H$130)*($D$2:$H$2="Prueba Complementaria"))))))</f>
        <v>0.38890072784646063</v>
      </c>
      <c r="R119" s="40">
        <f t="shared" si="27"/>
        <v>0.88</v>
      </c>
      <c r="S119" s="42">
        <f t="shared" si="28"/>
        <v>6.7900000000000009</v>
      </c>
      <c r="T119" s="43">
        <f t="shared" si="29"/>
        <v>2.0166666666666666</v>
      </c>
      <c r="U119" s="40">
        <f t="shared" si="30"/>
        <v>0.33704735376044564</v>
      </c>
      <c r="V119" s="40" t="str" cm="1">
        <f t="array" ref="V119">IF(COUNTIF(D119:H119,"NP")&gt;0,"NP",IF(COUNTIF(D119:H119,"Reconocimiento Créditos")&gt;0,"Reconocimiento Créditos",IF(COUNTIF(D119:H119,"Aprobado en otro curso")&gt;0,"Aprobado en otro curso",IF(COUNTBLANK(D119:H119)&gt;0,"Faltan Calificaciones",IF((SUMPRODUCT(($D$2:$H$2="EXAMEN")*((D119:H119-$D$128:$H$128)/$D$130:$H$130))/SUMPRODUCT(--($D$2:$H$2="EXAMEN")))-(SUMPRODUCT(($D$2:$H$2="PRUEBA COMPLEMENTARIA")*((D119:H119-$D$128:$H$128)/$D$130:$H$130))/SUMPRODUCT(--($D$2:$H$2="PRUEBA COMPLEMENTARIA")))&gt;0,"Exámenes","Actividades")))))</f>
        <v>Actividades</v>
      </c>
      <c r="W119" s="35">
        <f t="shared" si="31"/>
        <v>2.2355690450338479E-2</v>
      </c>
      <c r="X119" s="35">
        <f t="shared" si="32"/>
        <v>1.1689311356961942</v>
      </c>
      <c r="Y119" s="71">
        <f t="shared" si="33"/>
        <v>-0.12404494633778433</v>
      </c>
      <c r="Z119" s="35" cm="1">
        <f t="array" ref="Z119">IF(COUNTIF(D119:H119,"NP")&gt;0,"NP",IF(COUNTIF(D119:H119,"Reconocimiento Créditos")&gt;0,"Reconocimiento Créditos",IF(COUNTIF(D119:H119,"Aprobado en otro curso")&gt;0,"Aprobado en otro curso",IF(COUNTIF($D$2:$H$2,"Examen")&lt;2,"Faltan Calificaciones",SLOPE(_xlfn._xlws.FILTER(D119:H119,$D$2:$H$2="EXAMEN"),_xlfn.SEQUENCE(1,COUNTIF($D$2:$H$2,"EXAMEN"),1,1))))))</f>
        <v>0.75</v>
      </c>
      <c r="AA119" s="35">
        <f t="shared" si="34"/>
        <v>-0.29000000000000092</v>
      </c>
      <c r="AB119" s="35" t="str" cm="1">
        <f t="array" ref="AB119">IF(COUNTIF(D119:H119,"NP")&gt;0,"NP",IF(COUNTIF(D119:H119,"Reconocimiento Créditos")&gt;0,"Reconocimiento Créditos",IF(COUNTIF(D119:H119,"Aprobado en otro curso")&gt;0,"Aprobado en otro curso",IF(COUNTBLANK(D119:H119)=0,"No Procede",IF(COUNTBLANK(D119:H119)&gt;3,"No Procede",IF(100*(5-SUMPRODUCT(D119:H119,$D$4:$H$4)/100)/(100-SUMPRODUCT((D119:H119&lt;&gt;"")*($D$4:$H$4)))&gt;10,"Necesita más de 10",IF(100*(5-SUMPRODUCT(D119:H119,$D$4:$H$4)/100)/(100-SUMPRODUCT((D119:H119&lt;&gt;"")*($D$4:$H$4)))&lt;0,"va bien encaminado",100*(5-SUMPRODUCT(D119:H119,$D$4:$H$4)/100)/(100-SUMPRODUCT((D119:H119&lt;&gt;"")*($D$4:$H$4))))))))))</f>
        <v>No Procede</v>
      </c>
    </row>
    <row r="120" spans="2:45" ht="22" customHeight="1">
      <c r="B120" s="29">
        <f>B119+1</f>
        <v>2</v>
      </c>
      <c r="C120" s="4" t="s">
        <v>30</v>
      </c>
      <c r="D120" s="26">
        <v>5</v>
      </c>
      <c r="E120" s="22">
        <v>5.05</v>
      </c>
      <c r="F120" s="26">
        <v>7</v>
      </c>
      <c r="G120" s="26">
        <v>8.5</v>
      </c>
      <c r="H120" s="26">
        <v>8.4</v>
      </c>
      <c r="I120" s="81">
        <f t="shared" si="38"/>
        <v>7.1924999999999999</v>
      </c>
      <c r="J120" s="60" t="s">
        <v>29</v>
      </c>
      <c r="K120" s="35" cm="1">
        <f t="array" ref="K120">IF(COUNTIF(D120:H120,"NP")&gt;0,"NP",IF(COUNTIF(D120:H120,"Reconocimiento Créditos")&gt;0,"Reconocimiento Créditos",IF(COUNTIF(D120:H120,"Aprobado en otro curso")&gt;0,"Aprobado en otro curso",IF(COUNTIF(D120:H120,"")&gt;0,"Faltan Calificaciones",AVERAGE((D120:H120-$D$128:$H$128)/$D$130:$H$130)))))</f>
        <v>0.60059093064448776</v>
      </c>
      <c r="L120" s="40">
        <f t="shared" si="23"/>
        <v>0.93400000000000005</v>
      </c>
      <c r="M120" s="43">
        <f t="shared" si="24"/>
        <v>6.1500000000000012</v>
      </c>
      <c r="N120" s="35" cm="1">
        <f t="array" ref="N120">IF(COUNTIF(D120:H120,"NP")&gt;0,"NP",IF(COUNTIF(D120:H120,"Reconocimiento Créditos")&gt;0,"Reconocimiento Créditos",IF(COUNTIF(D120:H120,"Aprobado en otro curso")&gt;0,"Aprobado en otro curso",IF(COUNTIF(D120:H120,"")&gt;0,"Faltan Calificaciones",AVERAGE((D120:H120-$D$128:$H$128)*($D$2:$H$2="EXAMEN")/($D$130:$H$130)*($D$2:$H$2="EXAMEN"))))))</f>
        <v>0.26371657214749772</v>
      </c>
      <c r="O120" s="40">
        <f t="shared" si="25"/>
        <v>0.73899999999999999</v>
      </c>
      <c r="P120" s="43">
        <f t="shared" si="26"/>
        <v>7.75</v>
      </c>
      <c r="Q120" s="35" cm="1">
        <f t="array" ref="Q120">IF(COUNTIF(D120:H120,"NP")&gt;0,"NP",IF(COUNTIF(D120:H120,"Reconocimiento Créditos")&gt;0,"Reconocimiento Créditos",IF(COUNTIF(D120:H120,"Aprobado en otro curso")&gt;0,"Aprobado en otro curso",IF(COUNTIF(D120:H120,"")&gt;0,"Faltan Calificaciones",AVERAGE((D120:H120-$D$128:$H$128)*($D$2:$H$2="Prueba Complementaria")/($D$130:$H$130)*($D$2:$H$2="Prueba Complementaria"))))))</f>
        <v>0.33687435849699005</v>
      </c>
      <c r="R120" s="40">
        <f t="shared" si="27"/>
        <v>0.84699999999999998</v>
      </c>
      <c r="S120" s="42">
        <f t="shared" si="28"/>
        <v>6.7900000000000009</v>
      </c>
      <c r="T120" s="43">
        <f t="shared" si="29"/>
        <v>1.5999999999999988</v>
      </c>
      <c r="U120" s="40">
        <f t="shared" si="30"/>
        <v>0.26016260162601601</v>
      </c>
      <c r="V120" s="40" t="str" cm="1">
        <f t="array" ref="V120">IF(COUNTIF(D120:H120,"NP")&gt;0,"NP",IF(COUNTIF(D120:H120,"Reconocimiento Créditos")&gt;0,"Reconocimiento Créditos",IF(COUNTIF(D120:H120,"Aprobado en otro curso")&gt;0,"Aprobado en otro curso",IF(COUNTBLANK(D120:H120)&gt;0,"Faltan Calificaciones",IF((SUMPRODUCT(($D$2:$H$2="EXAMEN")*((D120:H120-$D$128:$H$128)/$D$130:$H$130))/SUMPRODUCT(--($D$2:$H$2="EXAMEN")))-(SUMPRODUCT(($D$2:$H$2="PRUEBA COMPLEMENTARIA")*((D120:H120-$D$128:$H$128)/$D$130:$H$130))/SUMPRODUCT(--($D$2:$H$2="PRUEBA COMPLEMENTARIA")))&gt;0,"Exámenes","Actividades")))))</f>
        <v>Actividades</v>
      </c>
      <c r="W120" s="35">
        <f t="shared" si="31"/>
        <v>2.6375329978415733E-2</v>
      </c>
      <c r="X120" s="35">
        <f t="shared" si="32"/>
        <v>1.5357083056361949</v>
      </c>
      <c r="Y120" s="71">
        <f t="shared" si="33"/>
        <v>0.52418808770231462</v>
      </c>
      <c r="Z120" s="35" cm="1">
        <f t="array" ref="Z120">IF(COUNTIF(D120:H120,"NP")&gt;0,"NP",IF(COUNTIF(D120:H120,"Reconocimiento Créditos")&gt;0,"Reconocimiento Créditos",IF(COUNTIF(D120:H120,"Aprobado en otro curso")&gt;0,"Aprobado en otro curso",IF(COUNTIF($D$2:$H$2,"Examen")&lt;2,"Faltan Calificaciones",SLOPE(_xlfn._xlws.FILTER(D120:H120,$D$2:$H$2="EXAMEN"),_xlfn.SEQUENCE(1,COUNTIF($D$2:$H$2,"EXAMEN"),1,1))))))</f>
        <v>1.7000000000000002</v>
      </c>
      <c r="AA120" s="35">
        <f t="shared" si="34"/>
        <v>1.6099999999999994</v>
      </c>
      <c r="AB120" s="35" t="str" cm="1">
        <f t="array" ref="AB120">IF(COUNTIF(D120:H120,"NP")&gt;0,"NP",IF(COUNTIF(D120:H120,"Reconocimiento Créditos")&gt;0,"Reconocimiento Créditos",IF(COUNTIF(D120:H120,"Aprobado en otro curso")&gt;0,"Aprobado en otro curso",IF(COUNTBLANK(D120:H120)=0,"No Procede",IF(COUNTBLANK(D120:H120)&gt;3,"No Procede",IF(100*(5-SUMPRODUCT(D120:H120,$D$4:$H$4)/100)/(100-SUMPRODUCT((D120:H120&lt;&gt;"")*($D$4:$H$4)))&gt;10,"Necesita más de 10",IF(100*(5-SUMPRODUCT(D120:H120,$D$4:$H$4)/100)/(100-SUMPRODUCT((D120:H120&lt;&gt;"")*($D$4:$H$4)))&lt;0,"va bien encaminado",100*(5-SUMPRODUCT(D120:H120,$D$4:$H$4)/100)/(100-SUMPRODUCT((D120:H120&lt;&gt;"")*($D$4:$H$4))))))))))</f>
        <v>No Procede</v>
      </c>
    </row>
    <row r="121" spans="2:45" ht="22" customHeight="1">
      <c r="B121" s="29">
        <f t="shared" ref="B121:B125" si="39">B120+1</f>
        <v>3</v>
      </c>
      <c r="C121" s="4" t="s">
        <v>30</v>
      </c>
      <c r="D121" s="26">
        <v>1</v>
      </c>
      <c r="E121" s="22">
        <v>5</v>
      </c>
      <c r="F121" s="26">
        <v>7</v>
      </c>
      <c r="G121" s="26">
        <v>5</v>
      </c>
      <c r="H121" s="26">
        <v>2.15</v>
      </c>
      <c r="I121" s="81">
        <f t="shared" si="38"/>
        <v>3.56</v>
      </c>
      <c r="J121" s="60" t="s">
        <v>29</v>
      </c>
      <c r="K121" s="35" cm="1">
        <f t="array" ref="K121">IF(COUNTIF(D121:H121,"NP")&gt;0,"NP",IF(COUNTIF(D121:H121,"Reconocimiento Créditos")&gt;0,"Reconocimiento Créditos",IF(COUNTIF(D121:H121,"Aprobado en otro curso")&gt;0,"Aprobado en otro curso",IF(COUNTIF(D121:H121,"")&gt;0,"Faltan Calificaciones",AVERAGE((D121:H121-$D$128:$H$128)/$D$130:$H$130)))))</f>
        <v>-0.60336946904765776</v>
      </c>
      <c r="L121" s="40">
        <f t="shared" si="23"/>
        <v>0.11899999999999999</v>
      </c>
      <c r="M121" s="43">
        <f t="shared" si="24"/>
        <v>2.7166666666666668</v>
      </c>
      <c r="N121" s="35" cm="1">
        <f t="array" ref="N121">IF(COUNTIF(D121:H121,"NP")&gt;0,"NP",IF(COUNTIF(D121:H121,"Reconocimiento Créditos")&gt;0,"Reconocimiento Créditos",IF(COUNTIF(D121:H121,"Aprobado en otro curso")&gt;0,"Aprobado en otro curso",IF(COUNTIF(D121:H121,"")&gt;0,"Faltan Calificaciones",AVERAGE((D121:H121-$D$128:$H$128)*($D$2:$H$2="EXAMEN")/($D$130:$H$130)*($D$2:$H$2="EXAMEN"))))))</f>
        <v>-0.68284643491799135</v>
      </c>
      <c r="O121" s="40">
        <f t="shared" si="25"/>
        <v>8.5999999999999993E-2</v>
      </c>
      <c r="P121" s="43">
        <f t="shared" si="26"/>
        <v>6</v>
      </c>
      <c r="Q121" s="35" cm="1">
        <f t="array" ref="Q121">IF(COUNTIF(D121:H121,"NP")&gt;0,"NP",IF(COUNTIF(D121:H121,"Reconocimiento Créditos")&gt;0,"Reconocimiento Créditos",IF(COUNTIF(D121:H121,"Aprobado en otro curso")&gt;0,"Aprobado en otro curso",IF(COUNTIF(D121:H121,"")&gt;0,"Faltan Calificaciones",AVERAGE((D121:H121-$D$128:$H$128)*($D$2:$H$2="Prueba Complementaria")/($D$130:$H$130)*($D$2:$H$2="Prueba Complementaria"))))))</f>
        <v>7.9476965870333566E-2</v>
      </c>
      <c r="R121" s="40">
        <f t="shared" si="27"/>
        <v>0.56499999999999995</v>
      </c>
      <c r="S121" s="42">
        <f t="shared" si="28"/>
        <v>4.0299999999999994</v>
      </c>
      <c r="T121" s="43">
        <f t="shared" si="29"/>
        <v>3.2833333333333332</v>
      </c>
      <c r="U121" s="40">
        <f t="shared" si="30"/>
        <v>1.2085889570552146</v>
      </c>
      <c r="V121" s="40" t="str" cm="1">
        <f t="array" ref="V121">IF(COUNTIF(D121:H121,"NP")&gt;0,"NP",IF(COUNTIF(D121:H121,"Reconocimiento Créditos")&gt;0,"Reconocimiento Créditos",IF(COUNTIF(D121:H121,"Aprobado en otro curso")&gt;0,"Aprobado en otro curso",IF(COUNTBLANK(D121:H121)&gt;0,"Faltan Calificaciones",IF((SUMPRODUCT(($D$2:$H$2="EXAMEN")*((D121:H121-$D$128:$H$128)/$D$130:$H$130))/SUMPRODUCT(--($D$2:$H$2="EXAMEN")))-(SUMPRODUCT(($D$2:$H$2="PRUEBA COMPLEMENTARIA")*((D121:H121-$D$128:$H$128)/$D$130:$H$130))/SUMPRODUCT(--($D$2:$H$2="PRUEBA COMPLEMENTARIA")))&gt;0,"Exámenes","Actividades")))))</f>
        <v>Actividades</v>
      </c>
      <c r="W121" s="35">
        <f t="shared" si="31"/>
        <v>7.1778681456152904E-2</v>
      </c>
      <c r="X121" s="35">
        <f t="shared" si="32"/>
        <v>2.1641626556245721</v>
      </c>
      <c r="Y121" s="71">
        <f t="shared" si="33"/>
        <v>-0.43434812885111829</v>
      </c>
      <c r="Z121" s="35" cm="1">
        <f t="array" ref="Z121">IF(COUNTIF(D121:H121,"NP")&gt;0,"NP",IF(COUNTIF(D121:H121,"Reconocimiento Créditos")&gt;0,"Reconocimiento Créditos",IF(COUNTIF(D121:H121,"Aprobado en otro curso")&gt;0,"Aprobado en otro curso",IF(COUNTIF($D$2:$H$2,"Examen")&lt;2,"Faltan Calificaciones",SLOPE(_xlfn._xlws.FILTER(D121:H121,$D$2:$H$2="EXAMEN"),_xlfn.SEQUENCE(1,COUNTIF($D$2:$H$2,"EXAMEN"),1,1))))))</f>
        <v>0.57499999999999996</v>
      </c>
      <c r="AA121" s="35">
        <f t="shared" si="34"/>
        <v>-1.8799999999999994</v>
      </c>
      <c r="AB121" s="35" t="str" cm="1">
        <f t="array" ref="AB121">IF(COUNTIF(D121:H121,"NP")&gt;0,"NP",IF(COUNTIF(D121:H121,"Reconocimiento Créditos")&gt;0,"Reconocimiento Créditos",IF(COUNTIF(D121:H121,"Aprobado en otro curso")&gt;0,"Aprobado en otro curso",IF(COUNTBLANK(D121:H121)=0,"No Procede",IF(COUNTBLANK(D121:H121)&gt;3,"No Procede",IF(100*(5-SUMPRODUCT(D121:H121,$D$4:$H$4)/100)/(100-SUMPRODUCT((D121:H121&lt;&gt;"")*($D$4:$H$4)))&gt;10,"Necesita más de 10",IF(100*(5-SUMPRODUCT(D121:H121,$D$4:$H$4)/100)/(100-SUMPRODUCT((D121:H121&lt;&gt;"")*($D$4:$H$4)))&lt;0,"va bien encaminado",100*(5-SUMPRODUCT(D121:H121,$D$4:$H$4)/100)/(100-SUMPRODUCT((D121:H121&lt;&gt;"")*($D$4:$H$4))))))))))</f>
        <v>No Procede</v>
      </c>
    </row>
    <row r="122" spans="2:45" ht="22" customHeight="1">
      <c r="B122" s="29">
        <f t="shared" si="39"/>
        <v>4</v>
      </c>
      <c r="C122" s="4" t="s">
        <v>30</v>
      </c>
      <c r="D122" s="26">
        <v>4</v>
      </c>
      <c r="E122" s="22">
        <v>6.15</v>
      </c>
      <c r="F122" s="26">
        <v>5.5</v>
      </c>
      <c r="G122" s="26">
        <v>10</v>
      </c>
      <c r="H122" s="26">
        <v>5.7</v>
      </c>
      <c r="I122" s="81">
        <f t="shared" si="38"/>
        <v>6.1275000000000004</v>
      </c>
      <c r="J122" s="60" t="s">
        <v>29</v>
      </c>
      <c r="K122" s="35" cm="1">
        <f t="array" ref="K122">IF(COUNTIF(D122:H122,"NP")&gt;0,"NP",IF(COUNTIF(D122:H122,"Reconocimiento Créditos")&gt;0,"Reconocimiento Créditos",IF(COUNTIF(D122:H122,"Aprobado en otro curso")&gt;0,"Aprobado en otro curso",IF(COUNTIF(D122:H122,"")&gt;0,"Faltan Calificaciones",AVERAGE((D122:H122-$D$128:$H$128)/$D$130:$H$130)))))</f>
        <v>0.35180458215411742</v>
      </c>
      <c r="L122" s="40">
        <f t="shared" si="23"/>
        <v>0.69499999999999995</v>
      </c>
      <c r="M122" s="43">
        <f t="shared" si="24"/>
        <v>5.2833333333333341</v>
      </c>
      <c r="N122" s="35" cm="1">
        <f t="array" ref="N122">IF(COUNTIF(D122:H122,"NP")&gt;0,"NP",IF(COUNTIF(D122:H122,"Reconocimiento Créditos")&gt;0,"Reconocimiento Créditos",IF(COUNTIF(D122:H122,"Aprobado en otro curso")&gt;0,"Aprobado en otro curso",IF(COUNTIF(D122:H122,"")&gt;0,"Faltan Calificaciones",AVERAGE((D122:H122-$D$128:$H$128)*($D$2:$H$2="EXAMEN")/($D$130:$H$130)*($D$2:$H$2="EXAMEN"))))))</f>
        <v>3.0185536917075605E-2</v>
      </c>
      <c r="O122" s="40">
        <f t="shared" si="25"/>
        <v>0.52100000000000002</v>
      </c>
      <c r="P122" s="43">
        <f t="shared" si="26"/>
        <v>7.75</v>
      </c>
      <c r="Q122" s="35" cm="1">
        <f t="array" ref="Q122">IF(COUNTIF(D122:H122,"NP")&gt;0,"NP",IF(COUNTIF(D122:H122,"Reconocimiento Créditos")&gt;0,"Reconocimiento Créditos",IF(COUNTIF(D122:H122,"Aprobado en otro curso")&gt;0,"Aprobado en otro curso",IF(COUNTIF(D122:H122,"")&gt;0,"Faltan Calificaciones",AVERAGE((D122:H122-$D$128:$H$128)*($D$2:$H$2="Prueba Complementaria")/($D$130:$H$130)*($D$2:$H$2="Prueba Complementaria"))))))</f>
        <v>0.32161904523704182</v>
      </c>
      <c r="R122" s="40">
        <f t="shared" si="27"/>
        <v>0.84699999999999998</v>
      </c>
      <c r="S122" s="42">
        <f t="shared" si="28"/>
        <v>6.27</v>
      </c>
      <c r="T122" s="43">
        <f t="shared" si="29"/>
        <v>2.4666666666666659</v>
      </c>
      <c r="U122" s="40">
        <f t="shared" si="30"/>
        <v>0.46687697160883257</v>
      </c>
      <c r="V122" s="40" t="str" cm="1">
        <f t="array" ref="V122">IF(COUNTIF(D122:H122,"NP")&gt;0,"NP",IF(COUNTIF(D122:H122,"Reconocimiento Créditos")&gt;0,"Reconocimiento Créditos",IF(COUNTIF(D122:H122,"Aprobado en otro curso")&gt;0,"Aprobado en otro curso",IF(COUNTBLANK(D122:H122)&gt;0,"Faltan Calificaciones",IF((SUMPRODUCT(($D$2:$H$2="EXAMEN")*((D122:H122-$D$128:$H$128)/$D$130:$H$130))/SUMPRODUCT(--($D$2:$H$2="EXAMEN")))-(SUMPRODUCT(($D$2:$H$2="PRUEBA COMPLEMENTARIA")*((D122:H122-$D$128:$H$128)/$D$130:$H$130))/SUMPRODUCT(--($D$2:$H$2="PRUEBA COMPLEMENTARIA")))&gt;0,"Exámenes","Actividades")))))</f>
        <v>Actividades</v>
      </c>
      <c r="W122" s="35">
        <f t="shared" si="31"/>
        <v>2.1592897029820484E-3</v>
      </c>
      <c r="X122" s="35">
        <f t="shared" si="32"/>
        <v>1.9998999974998761</v>
      </c>
      <c r="Y122" s="71">
        <f t="shared" si="33"/>
        <v>-0.14250712553441952</v>
      </c>
      <c r="Z122" s="35" cm="1">
        <f t="array" ref="Z122">IF(COUNTIF(D122:H122,"NP")&gt;0,"NP",IF(COUNTIF(D122:H122,"Reconocimiento Créditos")&gt;0,"Reconocimiento Créditos",IF(COUNTIF(D122:H122,"Aprobado en otro curso")&gt;0,"Aprobado en otro curso",IF(COUNTIF($D$2:$H$2,"Examen")&lt;2,"Faltan Calificaciones",SLOPE(_xlfn._xlws.FILTER(D122:H122,$D$2:$H$2="EXAMEN"),_xlfn.SEQUENCE(1,COUNTIF($D$2:$H$2,"EXAMEN"),1,1))))))</f>
        <v>0.85000000000000009</v>
      </c>
      <c r="AA122" s="35">
        <f t="shared" si="34"/>
        <v>-0.5699999999999994</v>
      </c>
      <c r="AB122" s="35" t="str" cm="1">
        <f t="array" ref="AB122">IF(COUNTIF(D122:H122,"NP")&gt;0,"NP",IF(COUNTIF(D122:H122,"Reconocimiento Créditos")&gt;0,"Reconocimiento Créditos",IF(COUNTIF(D122:H122,"Aprobado en otro curso")&gt;0,"Aprobado en otro curso",IF(COUNTBLANK(D122:H122)=0,"No Procede",IF(COUNTBLANK(D122:H122)&gt;3,"No Procede",IF(100*(5-SUMPRODUCT(D122:H122,$D$4:$H$4)/100)/(100-SUMPRODUCT((D122:H122&lt;&gt;"")*($D$4:$H$4)))&gt;10,"Necesita más de 10",IF(100*(5-SUMPRODUCT(D122:H122,$D$4:$H$4)/100)/(100-SUMPRODUCT((D122:H122&lt;&gt;"")*($D$4:$H$4)))&lt;0,"va bien encaminado",100*(5-SUMPRODUCT(D122:H122,$D$4:$H$4)/100)/(100-SUMPRODUCT((D122:H122&lt;&gt;"")*($D$4:$H$4))))))))))</f>
        <v>No Procede</v>
      </c>
    </row>
    <row r="123" spans="2:45" ht="22" customHeight="1">
      <c r="B123" s="29">
        <f t="shared" si="39"/>
        <v>5</v>
      </c>
      <c r="C123" s="4" t="s">
        <v>30</v>
      </c>
      <c r="D123" s="26">
        <v>4</v>
      </c>
      <c r="E123" s="22">
        <v>4</v>
      </c>
      <c r="F123" s="26">
        <v>7</v>
      </c>
      <c r="G123" s="26">
        <v>9</v>
      </c>
      <c r="H123" s="26">
        <v>6.1</v>
      </c>
      <c r="I123" s="81">
        <f t="shared" si="38"/>
        <v>6.04</v>
      </c>
      <c r="J123" s="60" t="s">
        <v>29</v>
      </c>
      <c r="K123" s="35" cm="1">
        <f t="array" ref="K123">IF(COUNTIF(D123:H123,"NP")&gt;0,"NP",IF(COUNTIF(D123:H123,"Reconocimiento Créditos")&gt;0,"Reconocimiento Créditos",IF(COUNTIF(D123:H123,"Aprobado en otro curso")&gt;0,"Aprobado en otro curso",IF(COUNTIF(D123:H123,"")&gt;0,"Faltan Calificaciones",AVERAGE((D123:H123-$D$128:$H$128)/$D$130:$H$130)))))</f>
        <v>0.23401996277109022</v>
      </c>
      <c r="L123" s="40">
        <f t="shared" si="23"/>
        <v>0.63</v>
      </c>
      <c r="M123" s="43">
        <f t="shared" si="24"/>
        <v>4.7</v>
      </c>
      <c r="N123" s="35" cm="1">
        <f t="array" ref="N123">IF(COUNTIF(D123:H123,"NP")&gt;0,"NP",IF(COUNTIF(D123:H123,"Reconocimiento Créditos")&gt;0,"Reconocimiento Créditos",IF(COUNTIF(D123:H123,"Aprobado en otro curso")&gt;0,"Aprobado en otro curso",IF(COUNTIF(D123:H123,"")&gt;0,"Faltan Calificaciones",AVERAGE((D123:H123-$D$128:$H$128)*($D$2:$H$2="EXAMEN")/($D$130:$H$130)*($D$2:$H$2="EXAMEN"))))))</f>
        <v>-0.13962545181542219</v>
      </c>
      <c r="O123" s="40">
        <f t="shared" si="25"/>
        <v>0.35799999999999998</v>
      </c>
      <c r="P123" s="43">
        <f t="shared" si="26"/>
        <v>8</v>
      </c>
      <c r="Q123" s="35" cm="1">
        <f t="array" ref="Q123">IF(COUNTIF(D123:H123,"NP")&gt;0,"NP",IF(COUNTIF(D123:H123,"Reconocimiento Créditos")&gt;0,"Reconocimiento Créditos",IF(COUNTIF(D123:H123,"Aprobado en otro curso")&gt;0,"Aprobado en otro curso",IF(COUNTIF(D123:H123,"")&gt;0,"Faltan Calificaciones",AVERAGE((D123:H123-$D$128:$H$128)*($D$2:$H$2="Prueba Complementaria")/($D$130:$H$130)*($D$2:$H$2="Prueba Complementaria"))))))</f>
        <v>0.37364541458651235</v>
      </c>
      <c r="R123" s="40">
        <f t="shared" si="27"/>
        <v>0.88</v>
      </c>
      <c r="S123" s="42">
        <f t="shared" si="28"/>
        <v>6.0200000000000005</v>
      </c>
      <c r="T123" s="43">
        <f t="shared" si="29"/>
        <v>3.3</v>
      </c>
      <c r="U123" s="40">
        <f t="shared" si="30"/>
        <v>0.70212765957446799</v>
      </c>
      <c r="V123" s="40" t="str" cm="1">
        <f t="array" ref="V123">IF(COUNTIF(D123:H123,"NP")&gt;0,"NP",IF(COUNTIF(D123:H123,"Reconocimiento Créditos")&gt;0,"Reconocimiento Créditos",IF(COUNTIF(D123:H123,"Aprobado en otro curso")&gt;0,"Aprobado en otro curso",IF(COUNTBLANK(D123:H123)&gt;0,"Faltan Calificaciones",IF((SUMPRODUCT(($D$2:$H$2="EXAMEN")*((D123:H123-$D$128:$H$128)/$D$130:$H$130))/SUMPRODUCT(--($D$2:$H$2="EXAMEN")))-(SUMPRODUCT(($D$2:$H$2="PRUEBA COMPLEMENTARIA")*((D123:H123-$D$128:$H$128)/$D$130:$H$130))/SUMPRODUCT(--($D$2:$H$2="PRUEBA COMPLEMENTARIA")))&gt;0,"Exámenes","Actividades")))))</f>
        <v>Actividades</v>
      </c>
      <c r="W123" s="35">
        <f t="shared" si="31"/>
        <v>1.5449289552019227E-2</v>
      </c>
      <c r="X123" s="35">
        <f t="shared" si="32"/>
        <v>1.8977881862842318</v>
      </c>
      <c r="Y123" s="71">
        <f t="shared" si="33"/>
        <v>2.1077167773036684E-2</v>
      </c>
      <c r="Z123" s="35" cm="1">
        <f t="array" ref="Z123">IF(COUNTIF(D123:H123,"NP")&gt;0,"NP",IF(COUNTIF(D123:H123,"Reconocimiento Créditos")&gt;0,"Reconocimiento Créditos",IF(COUNTIF(D123:H123,"Aprobado en otro curso")&gt;0,"Aprobado en otro curso",IF(COUNTIF($D$2:$H$2,"Examen")&lt;2,"Faltan Calificaciones",SLOPE(_xlfn._xlws.FILTER(D123:H123,$D$2:$H$2="EXAMEN"),_xlfn.SEQUENCE(1,COUNTIF($D$2:$H$2,"EXAMEN"),1,1))))))</f>
        <v>1.0499999999999998</v>
      </c>
      <c r="AA123" s="35">
        <f t="shared" si="34"/>
        <v>7.9999999999999183E-2</v>
      </c>
      <c r="AB123" s="35" t="str" cm="1">
        <f t="array" ref="AB123">IF(COUNTIF(D123:H123,"NP")&gt;0,"NP",IF(COUNTIF(D123:H123,"Reconocimiento Créditos")&gt;0,"Reconocimiento Créditos",IF(COUNTIF(D123:H123,"Aprobado en otro curso")&gt;0,"Aprobado en otro curso",IF(COUNTBLANK(D123:H123)=0,"No Procede",IF(COUNTBLANK(D123:H123)&gt;3,"No Procede",IF(100*(5-SUMPRODUCT(D123:H123,$D$4:$H$4)/100)/(100-SUMPRODUCT((D123:H123&lt;&gt;"")*($D$4:$H$4)))&gt;10,"Necesita más de 10",IF(100*(5-SUMPRODUCT(D123:H123,$D$4:$H$4)/100)/(100-SUMPRODUCT((D123:H123&lt;&gt;"")*($D$4:$H$4)))&lt;0,"va bien encaminado",100*(5-SUMPRODUCT(D123:H123,$D$4:$H$4)/100)/(100-SUMPRODUCT((D123:H123&lt;&gt;"")*($D$4:$H$4))))))))))</f>
        <v>No Procede</v>
      </c>
    </row>
    <row r="124" spans="2:45" ht="22" customHeight="1">
      <c r="B124" s="29">
        <f t="shared" si="39"/>
        <v>6</v>
      </c>
      <c r="C124" s="4" t="s">
        <v>30</v>
      </c>
      <c r="D124" s="26">
        <v>3.87</v>
      </c>
      <c r="E124" s="22">
        <v>2</v>
      </c>
      <c r="F124" s="26">
        <v>7</v>
      </c>
      <c r="G124" s="26">
        <v>9</v>
      </c>
      <c r="H124" s="26">
        <v>4.25</v>
      </c>
      <c r="I124" s="81">
        <f t="shared" si="38"/>
        <v>4.9805000000000001</v>
      </c>
      <c r="J124" s="60" t="s">
        <v>29</v>
      </c>
      <c r="K124" s="35" cm="1">
        <f t="array" ref="K124">IF(COUNTIF(D124:H124,"NP")&gt;0,"NP",IF(COUNTIF(D124:H124,"Reconocimiento Créditos")&gt;0,"Reconocimiento Créditos",IF(COUNTIF(D124:H124,"Aprobado en otro curso")&gt;0,"Aprobado en otro curso",IF(COUNTIF(D124:H124,"")&gt;0,"Faltan Calificaciones",AVERAGE((D124:H124-$D$128:$H$128)/$D$130:$H$130)))))</f>
        <v>-0.13845078844292624</v>
      </c>
      <c r="L124" s="40">
        <f t="shared" si="23"/>
        <v>0.33600000000000002</v>
      </c>
      <c r="M124" s="43">
        <f t="shared" si="24"/>
        <v>3.3733333333333335</v>
      </c>
      <c r="N124" s="35" cm="1">
        <f t="array" ref="N124">IF(COUNTIF(D124:H124,"NP")&gt;0,"NP",IF(COUNTIF(D124:H124,"Reconocimiento Créditos")&gt;0,"Reconocimiento Créditos",IF(COUNTIF(D124:H124,"Aprobado en otro curso")&gt;0,"Aprobado en otro curso",IF(COUNTIF(D124:H124,"")&gt;0,"Faltan Calificaciones",AVERAGE((D124:H124-$D$128:$H$128)*($D$2:$H$2="EXAMEN")/($D$130:$H$130)*($D$2:$H$2="EXAMEN"))))))</f>
        <v>-0.51209620302943859</v>
      </c>
      <c r="O124" s="40">
        <f t="shared" si="25"/>
        <v>0.14099999999999999</v>
      </c>
      <c r="P124" s="43">
        <f t="shared" si="26"/>
        <v>8</v>
      </c>
      <c r="Q124" s="35" cm="1">
        <f t="array" ref="Q124">IF(COUNTIF(D124:H124,"NP")&gt;0,"NP",IF(COUNTIF(D124:H124,"Reconocimiento Créditos")&gt;0,"Reconocimiento Créditos",IF(COUNTIF(D124:H124,"Aprobado en otro curso")&gt;0,"Aprobado en otro curso",IF(COUNTIF(D124:H124,"")&gt;0,"Faltan Calificaciones",AVERAGE((D124:H124-$D$128:$H$128)*($D$2:$H$2="Prueba Complementaria")/($D$130:$H$130)*($D$2:$H$2="Prueba Complementaria"))))))</f>
        <v>0.37364541458651235</v>
      </c>
      <c r="R124" s="40">
        <f t="shared" si="27"/>
        <v>0.88</v>
      </c>
      <c r="S124" s="42">
        <f t="shared" si="28"/>
        <v>5.2240000000000002</v>
      </c>
      <c r="T124" s="43">
        <f t="shared" si="29"/>
        <v>4.6266666666666669</v>
      </c>
      <c r="U124" s="40">
        <f t="shared" si="30"/>
        <v>1.3715415019762847</v>
      </c>
      <c r="V124" s="40" t="str" cm="1">
        <f t="array" ref="V124">IF(COUNTIF(D124:H124,"NP")&gt;0,"NP",IF(COUNTIF(D124:H124,"Reconocimiento Créditos")&gt;0,"Reconocimiento Créditos",IF(COUNTIF(D124:H124,"Aprobado en otro curso")&gt;0,"Aprobado en otro curso",IF(COUNTBLANK(D124:H124)&gt;0,"Faltan Calificaciones",IF((SUMPRODUCT(($D$2:$H$2="EXAMEN")*((D124:H124-$D$128:$H$128)/$D$130:$H$130))/SUMPRODUCT(--($D$2:$H$2="EXAMEN")))-(SUMPRODUCT(($D$2:$H$2="PRUEBA COMPLEMENTARIA")*((D124:H124-$D$128:$H$128)/$D$130:$H$130))/SUMPRODUCT(--($D$2:$H$2="PRUEBA COMPLEMENTARIA")))&gt;0,"Exámenes","Actividades")))))</f>
        <v>Actividades</v>
      </c>
      <c r="W124" s="35">
        <f t="shared" si="31"/>
        <v>5.407270722290812E-2</v>
      </c>
      <c r="X124" s="35">
        <f t="shared" si="32"/>
        <v>2.4733992803427429</v>
      </c>
      <c r="Y124" s="71">
        <f t="shared" si="33"/>
        <v>-0.19689501968825493</v>
      </c>
      <c r="Z124" s="35" cm="1">
        <f t="array" ref="Z124">IF(COUNTIF(D124:H124,"NP")&gt;0,"NP",IF(COUNTIF(D124:H124,"Reconocimiento Créditos")&gt;0,"Reconocimiento Créditos",IF(COUNTIF(D124:H124,"Aprobado en otro curso")&gt;0,"Aprobado en otro curso",IF(COUNTIF($D$2:$H$2,"Examen")&lt;2,"Faltan Calificaciones",SLOPE(_xlfn._xlws.FILTER(D124:H124,$D$2:$H$2="EXAMEN"),_xlfn.SEQUENCE(1,COUNTIF($D$2:$H$2,"EXAMEN"),1,1))))))</f>
        <v>0.18999999999999995</v>
      </c>
      <c r="AA124" s="35">
        <f t="shared" si="34"/>
        <v>-0.9740000000000002</v>
      </c>
      <c r="AB124" s="35" t="str" cm="1">
        <f t="array" ref="AB124">IF(COUNTIF(D124:H124,"NP")&gt;0,"NP",IF(COUNTIF(D124:H124,"Reconocimiento Créditos")&gt;0,"Reconocimiento Créditos",IF(COUNTIF(D124:H124,"Aprobado en otro curso")&gt;0,"Aprobado en otro curso",IF(COUNTBLANK(D124:H124)=0,"No Procede",IF(COUNTBLANK(D124:H124)&gt;3,"No Procede",IF(100*(5-SUMPRODUCT(D124:H124,$D$4:$H$4)/100)/(100-SUMPRODUCT((D124:H124&lt;&gt;"")*($D$4:$H$4)))&gt;10,"Necesita más de 10",IF(100*(5-SUMPRODUCT(D124:H124,$D$4:$H$4)/100)/(100-SUMPRODUCT((D124:H124&lt;&gt;"")*($D$4:$H$4)))&lt;0,"va bien encaminado",100*(5-SUMPRODUCT(D124:H124,$D$4:$H$4)/100)/(100-SUMPRODUCT((D124:H124&lt;&gt;"")*($D$4:$H$4))))))))))</f>
        <v>No Procede</v>
      </c>
    </row>
    <row r="125" spans="2:45" ht="22" customHeight="1">
      <c r="B125" s="29">
        <f t="shared" si="39"/>
        <v>7</v>
      </c>
      <c r="C125" s="4" t="s">
        <v>30</v>
      </c>
      <c r="D125" s="26">
        <v>9</v>
      </c>
      <c r="E125" s="22">
        <v>5</v>
      </c>
      <c r="F125" s="26">
        <v>5.5</v>
      </c>
      <c r="G125" s="26">
        <v>10</v>
      </c>
      <c r="H125" s="26">
        <v>1</v>
      </c>
      <c r="I125" s="81">
        <f t="shared" si="38"/>
        <v>4.8250000000000002</v>
      </c>
      <c r="J125" s="60" t="s">
        <v>29</v>
      </c>
      <c r="K125" s="35" cm="1">
        <f t="array" ref="K125">IF(COUNTIF(D125:H125,"NP")&gt;0,"NP",IF(COUNTIF(D125:H125,"Reconocimiento Créditos")&gt;0,"Reconocimiento Créditos",IF(COUNTIF(D125:H125,"Aprobado en otro curso")&gt;0,"Aprobado en otro curso",IF(COUNTIF(D125:H125,"")&gt;0,"Faltan Calificaciones",AVERAGE((D125:H125-$D$128:$H$128)/$D$130:$H$130)))))</f>
        <v>0.27898256020059486</v>
      </c>
      <c r="L125" s="40">
        <f t="shared" si="23"/>
        <v>0.28199999999999997</v>
      </c>
      <c r="M125" s="43">
        <f t="shared" si="24"/>
        <v>5</v>
      </c>
      <c r="N125" s="35" cm="1">
        <f t="array" ref="N125">IF(COUNTIF(D125:H125,"NP")&gt;0,"NP",IF(COUNTIF(D125:H125,"Reconocimiento Créditos")&gt;0,"Reconocimiento Créditos",IF(COUNTIF(D125:H125,"Aprobado en otro curso")&gt;0,"Aprobado en otro curso",IF(COUNTIF(D125:H125,"")&gt;0,"Faltan Calificaciones",AVERAGE((D125:H125-$D$128:$H$128)*($D$2:$H$2="EXAMEN")/($D$130:$H$130)*($D$2:$H$2="EXAMEN"))))))</f>
        <v>-4.2636485036446903E-2</v>
      </c>
      <c r="O125" s="40">
        <f t="shared" si="25"/>
        <v>0.41299999999999998</v>
      </c>
      <c r="P125" s="43">
        <f t="shared" si="26"/>
        <v>7.75</v>
      </c>
      <c r="Q125" s="35" cm="1">
        <f t="array" ref="Q125">IF(COUNTIF(D125:H125,"NP")&gt;0,"NP",IF(COUNTIF(D125:H125,"Reconocimiento Créditos")&gt;0,"Reconocimiento Créditos",IF(COUNTIF(D125:H125,"Aprobado en otro curso")&gt;0,"Aprobado en otro curso",IF(COUNTIF(D125:H125,"")&gt;0,"Faltan Calificaciones",AVERAGE((D125:H125-$D$128:$H$128)*($D$2:$H$2="Prueba Complementaria")/($D$130:$H$130)*($D$2:$H$2="Prueba Complementaria"))))))</f>
        <v>0.32161904523704182</v>
      </c>
      <c r="R125" s="40">
        <f t="shared" si="27"/>
        <v>0.84699999999999998</v>
      </c>
      <c r="S125" s="42">
        <f t="shared" si="28"/>
        <v>6.1</v>
      </c>
      <c r="T125" s="43">
        <f t="shared" si="29"/>
        <v>2.75</v>
      </c>
      <c r="U125" s="40">
        <f t="shared" si="30"/>
        <v>0.55000000000000004</v>
      </c>
      <c r="V125" s="40" t="str" cm="1">
        <f t="array" ref="V125">IF(COUNTIF(D125:H125,"NP")&gt;0,"NP",IF(COUNTIF(D125:H125,"Reconocimiento Créditos")&gt;0,"Reconocimiento Créditos",IF(COUNTIF(D125:H125,"Aprobado en otro curso")&gt;0,"Aprobado en otro curso",IF(COUNTBLANK(D125:H125)&gt;0,"Faltan Calificaciones",IF((SUMPRODUCT(($D$2:$H$2="EXAMEN")*((D125:H125-$D$128:$H$128)/$D$130:$H$130))/SUMPRODUCT(--($D$2:$H$2="EXAMEN")))-(SUMPRODUCT(($D$2:$H$2="PRUEBA COMPLEMENTARIA")*((D125:H125-$D$128:$H$128)/$D$130:$H$130))/SUMPRODUCT(--($D$2:$H$2="PRUEBA COMPLEMENTARIA")))&gt;0,"Exámenes","Actividades")))))</f>
        <v>Actividades</v>
      </c>
      <c r="W125" s="35">
        <f t="shared" si="31"/>
        <v>5.3920022048580913E-3</v>
      </c>
      <c r="X125" s="35">
        <f t="shared" si="32"/>
        <v>3.2</v>
      </c>
      <c r="Y125" s="71">
        <f t="shared" si="33"/>
        <v>-0.796875</v>
      </c>
      <c r="Z125" s="35" cm="1">
        <f t="array" ref="Z125">IF(COUNTIF(D125:H125,"NP")&gt;0,"NP",IF(COUNTIF(D125:H125,"Reconocimiento Créditos")&gt;0,"Reconocimiento Créditos",IF(COUNTIF(D125:H125,"Aprobado en otro curso")&gt;0,"Aprobado en otro curso",IF(COUNTIF($D$2:$H$2,"Examen")&lt;2,"Faltan Calificaciones",SLOPE(_xlfn._xlws.FILTER(D125:H125,$D$2:$H$2="EXAMEN"),_xlfn.SEQUENCE(1,COUNTIF($D$2:$H$2,"EXAMEN"),1,1))))))</f>
        <v>-4</v>
      </c>
      <c r="AA125" s="35">
        <f t="shared" si="34"/>
        <v>-5.0999999999999996</v>
      </c>
      <c r="AB125" s="35" t="str" cm="1">
        <f t="array" ref="AB125">IF(COUNTIF(D125:H125,"NP")&gt;0,"NP",IF(COUNTIF(D125:H125,"Reconocimiento Créditos")&gt;0,"Reconocimiento Créditos",IF(COUNTIF(D125:H125,"Aprobado en otro curso")&gt;0,"Aprobado en otro curso",IF(COUNTBLANK(D125:H125)=0,"No Procede",IF(COUNTBLANK(D125:H125)&gt;3,"No Procede",IF(100*(5-SUMPRODUCT(D125:H125,$D$4:$H$4)/100)/(100-SUMPRODUCT((D125:H125&lt;&gt;"")*($D$4:$H$4)))&gt;10,"Necesita más de 10",IF(100*(5-SUMPRODUCT(D125:H125,$D$4:$H$4)/100)/(100-SUMPRODUCT((D125:H125&lt;&gt;"")*($D$4:$H$4)))&lt;0,"va bien encaminado",100*(5-SUMPRODUCT(D125:H125,$D$4:$H$4)/100)/(100-SUMPRODUCT((D125:H125&lt;&gt;"")*($D$4:$H$4))))))))))</f>
        <v>No Procede</v>
      </c>
    </row>
    <row r="126" spans="2:45" ht="22" customHeight="1">
      <c r="D126" s="126"/>
      <c r="E126" s="126"/>
      <c r="F126" s="126"/>
      <c r="G126" s="126"/>
      <c r="H126" s="126"/>
      <c r="I126" s="128" t="s">
        <v>29</v>
      </c>
      <c r="K126" s="36"/>
      <c r="L126" s="39"/>
      <c r="M126" s="59"/>
      <c r="N126" s="68"/>
      <c r="O126" s="39"/>
      <c r="Q126" s="68"/>
      <c r="R126" s="39"/>
      <c r="S126" s="16"/>
      <c r="T126" s="16"/>
      <c r="U126" s="16"/>
      <c r="V126" s="16"/>
      <c r="W126" s="16"/>
      <c r="Y126" s="16"/>
      <c r="Z126" s="16"/>
      <c r="AA126" s="16"/>
      <c r="AB126" s="16"/>
    </row>
    <row r="127" spans="2:45" ht="22" customHeight="1">
      <c r="D127" s="127"/>
      <c r="E127" s="130"/>
      <c r="F127" s="130"/>
      <c r="G127" s="130"/>
      <c r="H127" s="130"/>
      <c r="I127" s="129"/>
      <c r="K127" s="36"/>
      <c r="L127" s="72"/>
      <c r="M127" s="72" t="s">
        <v>73</v>
      </c>
      <c r="N127" s="74" t="s">
        <v>74</v>
      </c>
      <c r="O127" s="72" t="s">
        <v>75</v>
      </c>
      <c r="P127" s="72" t="s">
        <v>76</v>
      </c>
      <c r="Q127" s="68"/>
      <c r="R127" s="68"/>
      <c r="S127" s="68"/>
      <c r="T127" s="16"/>
      <c r="U127" s="16"/>
      <c r="V127" s="16"/>
      <c r="W127" s="84">
        <f>AVERAGE(N26:N125)</f>
        <v>-3.7076267672340136E-3</v>
      </c>
      <c r="Y127" s="16"/>
      <c r="Z127" s="16"/>
      <c r="AA127" s="16"/>
      <c r="AB127" s="16"/>
    </row>
    <row r="128" spans="2:45" ht="22" customHeight="1">
      <c r="C128" s="31" t="s">
        <v>32</v>
      </c>
      <c r="D128" s="32">
        <f>IF(COUNTIF(D5:D125,"")&gt;18,"Faltan Calificaciones",AVERAGEIFS(D5:D125,D5:D125,"&lt;=10",D5:D125,"&lt;&gt;"))</f>
        <v>5.2226041666666676</v>
      </c>
      <c r="E128" s="32">
        <f t="shared" ref="E128:G128" si="40">IF(COUNTIF(E5:E125,"")&gt;18,"Faltan Calificaciones",AVERAGEIFS(E5:E125,E5:E125,"&lt;=10",E5:E125,"&lt;&gt;"))</f>
        <v>4.9510526315789454</v>
      </c>
      <c r="F128" s="32">
        <f t="shared" si="40"/>
        <v>5.4078947368421053</v>
      </c>
      <c r="G128" s="32">
        <f t="shared" si="40"/>
        <v>5.7315789473684209</v>
      </c>
      <c r="H128" s="32">
        <f>IF(COUNTIF(H5:H125,"")&gt;19,"Faltan Calificaciones",AVERAGEIFS(H5:H125,H5:H125,"&lt;=10",H5:H125,"&lt;&gt;"))</f>
        <v>5.3813829787234022</v>
      </c>
      <c r="I128" s="32">
        <f>IF(COUNTIF(I5:I125,"")&gt;19,"Faltan Calificaciones",AVERAGEIFS(I5:I125,I5:I125,"&lt;=10",I5:I125,"&lt;&gt;"))</f>
        <v>5.392612903225805</v>
      </c>
      <c r="K128" s="36"/>
      <c r="L128" s="72" t="s">
        <v>72</v>
      </c>
      <c r="M128" s="73">
        <f>AVERAGE(M5:M125)</f>
        <v>5.2188888888888876</v>
      </c>
      <c r="N128" s="75">
        <f>AVERAGE(P5:P125)</f>
        <v>5.6228494623655934</v>
      </c>
      <c r="O128" s="73">
        <f>AVERAGE(S5:S125)</f>
        <v>5.3804731182795704</v>
      </c>
      <c r="P128" s="73">
        <f>AVERAGE(I5:I125)</f>
        <v>5.392612903225805</v>
      </c>
      <c r="Q128" s="68"/>
      <c r="R128" s="68"/>
      <c r="S128" s="68"/>
      <c r="T128" s="16"/>
    </row>
    <row r="129" spans="3:20" ht="22" customHeight="1">
      <c r="C129" s="31" t="s">
        <v>33</v>
      </c>
      <c r="D129" s="32" cm="1">
        <f t="array" ref="D129">IF(COUNTIF(D5:D125,"")&gt;18,"Faltan Calificaciones",MEDIAN(IF((D5:D125&lt;=10)*(ISNUMBER(D5:D125)),D5:D125)))</f>
        <v>5.35</v>
      </c>
      <c r="E129" s="32" cm="1">
        <f t="array" ref="E129">IF(COUNTIF(E5:E125,"")&gt;18,"Faltan Calificaciones",MEDIAN(IF((E5:E125&lt;=10)*(ISNUMBER(E5:E125)),E5:E125)))</f>
        <v>5.05</v>
      </c>
      <c r="F129" s="32" cm="1">
        <f t="array" ref="F129">IF(COUNTIF(F5:F125,"")&gt;18,"Faltan Calificaciones",MEDIAN(IF((F5:F125&lt;=10)*(ISNUMBER(F5:F125)),F5:F125)))</f>
        <v>5.5</v>
      </c>
      <c r="G129" s="32" cm="1">
        <f t="array" ref="G129">IF(COUNTIF(G5:G125,"")&gt;18,"Faltan Calificaciones",MEDIAN(IF((G5:G125&lt;=10)*(ISNUMBER(G5:G125)),G5:G125)))</f>
        <v>6.25</v>
      </c>
      <c r="H129" s="32" cm="1">
        <f t="array" ref="H129">IF(COUNTIF(H5:H125,"")&gt;19,"Faltan Calificaciones",MEDIAN(IF((H5:H125&lt;=10)*(ISNUMBER(H5:H125)),H5:H125)))</f>
        <v>5.95</v>
      </c>
      <c r="I129" s="32" cm="1">
        <f t="array" ref="I129">IF(COUNTIF(I5:I125,"")&gt;19,"Faltan Calificaciones",MEDIAN(IF((I5:I125&lt;=10)*(ISNUMBER(I5:I125)),I5:I125)))</f>
        <v>5.6375000000000002</v>
      </c>
      <c r="K129" s="36"/>
      <c r="L129" s="39"/>
      <c r="M129" s="39"/>
      <c r="N129" s="68"/>
      <c r="O129" s="39"/>
      <c r="Q129" s="68"/>
      <c r="R129" s="39"/>
      <c r="S129" s="16"/>
      <c r="T129" s="16"/>
    </row>
    <row r="130" spans="3:20" ht="22" customHeight="1">
      <c r="C130" s="31" t="s">
        <v>34</v>
      </c>
      <c r="D130" s="32" cm="1">
        <f t="array" ref="D130">IF(COUNTIF(D5:D125,"")&gt;18,"Faltan Calificaciones",_xlfn.STDEV.P(IF((D5:D125&lt;=10)*(ISNUMBER(D5:D125)),D5:D125)))</f>
        <v>2.1477697952331747</v>
      </c>
      <c r="E130" s="32" cm="1">
        <f t="array" ref="E130">IF(COUNTIF(E5:E125,"")&gt;18,"Faltan Calificaciones",_xlfn.STDEV.P(IF((E5:E125&lt;=10)*(ISNUMBER(E5:E125)),E5:E125)))</f>
        <v>2.0848952888936632</v>
      </c>
      <c r="F130" s="32" cm="1">
        <f t="array" ref="F130">IF(COUNTIF(F5:F125,"")&gt;18,"Faltan Calificaciones",_xlfn.STDEV.P(IF((F5:F125&lt;=10)*(ISNUMBER(F5:F125)),F5:F125)))</f>
        <v>2.3891345690269663</v>
      </c>
      <c r="G130" s="32" cm="1">
        <f t="array" ref="G130">IF(COUNTIF(G5:G125,"")&gt;18,"Faltan Calificaciones",_xlfn.STDEV.P(IF((G5:G125&lt;=10)*(ISNUMBER(G5:G125)),G5:G125)))</f>
        <v>2.7195302674076385</v>
      </c>
      <c r="H130" s="32" cm="1">
        <f t="array" ref="H130">IF(COUNTIF(H5:H125,"")&gt;19,"Faltan Calificaciones",_xlfn.STDEV.P(IF((H5:H125&lt;=10)*(ISNUMBER(H5:H125)),H5:H125)))</f>
        <v>2.1957282517322065</v>
      </c>
      <c r="I130" s="32" cm="1">
        <f t="array" ref="I130">IF(COUNTIF(I5:I125,"")&gt;19,"Faltan Calificaciones",_xlfn.STDEV.P(IF((I5:I125&lt;=10)*(ISNUMBER(I5:I125)),I5:I125)))</f>
        <v>1.5603296938089419</v>
      </c>
      <c r="K130" s="36"/>
      <c r="L130" s="39"/>
      <c r="M130" s="39"/>
      <c r="N130" s="68"/>
      <c r="O130" s="39"/>
      <c r="Q130" s="68"/>
      <c r="R130" s="39"/>
      <c r="S130" s="16"/>
      <c r="T130" s="16"/>
    </row>
    <row r="131" spans="3:20" ht="22" customHeight="1">
      <c r="C131" s="31" t="s">
        <v>35</v>
      </c>
      <c r="D131" s="32">
        <f>IF(COUNTIF(D5:D125,"")&gt;18,"Faltan Calificaciones",D130/D128)</f>
        <v>0.41124498941377574</v>
      </c>
      <c r="E131" s="32">
        <f t="shared" ref="E131:G131" si="41">IF(COUNTIF(E5:E125,"")&gt;18,"Faltan Calificaciones",E130/E128)</f>
        <v>0.42110141903879683</v>
      </c>
      <c r="F131" s="32">
        <f t="shared" si="41"/>
        <v>0.44178644098795483</v>
      </c>
      <c r="G131" s="32">
        <f t="shared" si="41"/>
        <v>0.47448186483696175</v>
      </c>
      <c r="H131" s="32">
        <f>IF(COUNTIF(H5:H125,"")&gt;19,"Faltan Calificaciones",H130/H128)</f>
        <v>0.40802304173732823</v>
      </c>
      <c r="I131" s="32">
        <f>IF(COUNTIF(I5:I125,"")&gt;19,"Faltan Calificaciones",I130/I128)</f>
        <v>0.28934576277032031</v>
      </c>
      <c r="K131" s="37"/>
      <c r="L131" s="41"/>
      <c r="M131" s="41"/>
      <c r="N131" s="69"/>
      <c r="O131" s="41"/>
      <c r="P131" s="57"/>
      <c r="Q131" s="69"/>
      <c r="R131" s="41"/>
      <c r="S131" s="30"/>
    </row>
    <row r="132" spans="3:20" ht="22" customHeight="1">
      <c r="C132" s="31" t="s">
        <v>36</v>
      </c>
      <c r="D132" s="32">
        <f>IF(COUNTIF(D5:D125,"")&gt;18,"Faltan Calificaciones",MAX(D5:D125)-MIN(D5:D125))</f>
        <v>8.8000000000000007</v>
      </c>
      <c r="E132" s="32">
        <f t="shared" ref="E132:G132" si="42">IF(COUNTIF(E5:E125,"")&gt;18,"Faltan Calificaciones",MAX(E5:E125)-MIN(E5:E125))</f>
        <v>9.3000000000000007</v>
      </c>
      <c r="F132" s="32">
        <f t="shared" si="42"/>
        <v>9</v>
      </c>
      <c r="G132" s="32">
        <f t="shared" si="42"/>
        <v>10</v>
      </c>
      <c r="H132" s="32">
        <f>IF(COUNTIF(H5:H125,"")&gt;19,"Faltan Calificaciones",MAX(H5:H125)-MIN(H5:H125))</f>
        <v>9.35</v>
      </c>
      <c r="I132" s="32">
        <f>IF(COUNTIF(I5:I125,"")&gt;19,"Faltan Calificaciones",MAX(I5:I125)-MIN(I5:I125))</f>
        <v>8.0200000000000014</v>
      </c>
      <c r="K132" s="37"/>
      <c r="L132" s="41"/>
      <c r="M132" s="41"/>
      <c r="N132" s="69"/>
      <c r="O132" s="41"/>
      <c r="Q132" s="69"/>
      <c r="R132" s="41"/>
      <c r="S132" s="30"/>
    </row>
    <row r="133" spans="3:20" ht="22" customHeight="1">
      <c r="C133" s="31" t="s">
        <v>37</v>
      </c>
      <c r="D133" s="32">
        <f>IF(COUNTIF(D5:D125,"")&gt;18,"Faltan Calificaciones",_xlfn.QUARTILE.EXC(D5:D125,3)-_xlfn.QUARTILE.EXC(D5:D125,1))</f>
        <v>2.7075</v>
      </c>
      <c r="E133" s="32">
        <f t="shared" ref="E133:G133" si="43">IF(COUNTIF(E5:E125,"")&gt;18,"Faltan Calificaciones",_xlfn.QUARTILE.EXC(E5:E125,3)-_xlfn.QUARTILE.EXC(E5:E125,1))</f>
        <v>3.1500000000000004</v>
      </c>
      <c r="F133" s="32">
        <f t="shared" si="43"/>
        <v>4.25</v>
      </c>
      <c r="G133" s="32">
        <f t="shared" si="43"/>
        <v>4.4000000000000004</v>
      </c>
      <c r="H133" s="32">
        <f>IF(COUNTIF(H5:H125,"")&gt;19,"Faltan Calificaciones",_xlfn.QUARTILE.EXC(H5:H125,3)-_xlfn.QUARTILE.EXC(H5:H125,1))</f>
        <v>2.8624999999999998</v>
      </c>
      <c r="I133" s="32">
        <f>IF(COUNTIF(I5:I125,"")&gt;19,"Faltan Calificaciones",_xlfn.QUARTILE.EXC(I5:I125,3)-_xlfn.QUARTILE.EXC(I5:I125,1))</f>
        <v>1.6024999999999991</v>
      </c>
      <c r="K133" s="37"/>
      <c r="L133" s="41"/>
      <c r="M133" s="41"/>
      <c r="N133" s="69"/>
      <c r="O133" s="41"/>
      <c r="Q133" s="69"/>
      <c r="R133" s="41"/>
      <c r="S133" s="30"/>
    </row>
    <row r="134" spans="3:20" ht="22" customHeight="1">
      <c r="C134" s="31" t="s">
        <v>38</v>
      </c>
      <c r="D134" s="32">
        <f>IF(COUNTIF(D5:D125,"")&gt;18,"Faltan Calificaciones",SKEW(D5:D125))</f>
        <v>-0.15858990019763725</v>
      </c>
      <c r="E134" s="32">
        <f t="shared" ref="E134:G134" si="44">IF(COUNTIF(E5:E125,"")&gt;18,"Faltan Calificaciones",SKEW(E5:E125))</f>
        <v>4.3431513800737939E-2</v>
      </c>
      <c r="F134" s="32">
        <f t="shared" si="44"/>
        <v>-0.25557881241097991</v>
      </c>
      <c r="G134" s="32">
        <f t="shared" si="44"/>
        <v>-0.46886243994893295</v>
      </c>
      <c r="H134" s="32">
        <f>IF(COUNTIF(H5:H125,"")&gt;19,"Faltan Calificaciones",SKEW(H5:H125))</f>
        <v>-0.74026569523728714</v>
      </c>
      <c r="I134" s="32">
        <f>IF(COUNTIF(I5:I125,"")&gt;19,"Faltan Calificaciones",SKEW(I5:I125))</f>
        <v>-0.64634194978970416</v>
      </c>
      <c r="K134" s="37"/>
      <c r="L134" s="41"/>
      <c r="M134" s="41"/>
      <c r="N134" s="69"/>
      <c r="O134" s="41"/>
      <c r="Q134" s="69"/>
      <c r="R134" s="41"/>
      <c r="S134" s="30"/>
    </row>
    <row r="135" spans="3:20" ht="22" customHeight="1">
      <c r="C135" s="31" t="s">
        <v>39</v>
      </c>
      <c r="D135" s="32">
        <f>IF(COUNTIF(D5:D125,"")&gt;18,"Faltan Calificaciones",KURT(D5:D125))</f>
        <v>-0.43991829641420077</v>
      </c>
      <c r="E135" s="32">
        <f t="shared" ref="E135:G135" si="45">IF(COUNTIF(E5:E125,"")&gt;18,"Faltan Calificaciones",KURT(E5:E125))</f>
        <v>-0.73677549971671263</v>
      </c>
      <c r="F135" s="32">
        <f t="shared" si="45"/>
        <v>-1.2430692801706946</v>
      </c>
      <c r="G135" s="32">
        <f t="shared" si="45"/>
        <v>-0.79287600926904656</v>
      </c>
      <c r="H135" s="32">
        <f>IF(COUNTIF(H5:H125,"")&gt;19,"Faltan Calificaciones",KURT(H5:H125))</f>
        <v>-0.11794742899148458</v>
      </c>
      <c r="I135" s="32">
        <f>IF(COUNTIF(I5:I125,"")&gt;19,"Faltan Calificaciones",KURT(I5:I125))</f>
        <v>0.66772452396789195</v>
      </c>
      <c r="K135" s="37"/>
      <c r="L135" s="41"/>
      <c r="M135" s="41"/>
      <c r="N135" s="69"/>
      <c r="O135" s="41"/>
      <c r="Q135" s="69"/>
      <c r="R135" s="41"/>
      <c r="S135" s="30"/>
    </row>
    <row r="136" spans="3:20" ht="22" customHeight="1">
      <c r="C136" s="31" t="s">
        <v>46</v>
      </c>
      <c r="D136" s="32">
        <f>IF(COUNTIF(D5:D125,"")&gt;18,"Faltan Calificaciones",_xlfn.QUARTILE.EXC(D5:D125,1))</f>
        <v>3.855</v>
      </c>
      <c r="E136" s="32">
        <f t="shared" ref="E136:G136" si="46">IF(COUNTIF(E5:E125,"")&gt;18,"Faltan Calificaciones",_xlfn.QUARTILE.EXC(E5:E125,1))</f>
        <v>3.3</v>
      </c>
      <c r="F136" s="32">
        <f t="shared" si="46"/>
        <v>3.25</v>
      </c>
      <c r="G136" s="32">
        <f t="shared" si="46"/>
        <v>3.5</v>
      </c>
      <c r="H136" s="32">
        <f>IF(COUNTIF(H5:H125,"")&gt;19,"Faltan Calificaciones",_xlfn.QUARTILE.EXC(H5:H125,1))</f>
        <v>4</v>
      </c>
      <c r="I136" s="32">
        <f>IF(COUNTIF(I5:I125,"")&gt;19,"Faltan Calificaciones",_xlfn.QUARTILE.EXC(I5:I125,1))</f>
        <v>4.6987500000000004</v>
      </c>
      <c r="K136" s="37"/>
      <c r="L136" s="41"/>
      <c r="M136" s="41"/>
      <c r="N136" s="69"/>
      <c r="O136" s="41"/>
      <c r="Q136" s="69"/>
      <c r="R136" s="41"/>
      <c r="S136" s="30"/>
    </row>
    <row r="137" spans="3:20" ht="22" customHeight="1">
      <c r="C137" s="31" t="s">
        <v>47</v>
      </c>
      <c r="D137" s="32">
        <f>IF(COUNTIF(D5:D125,"")&gt;18,"Faltan Calificaciones",_xlfn.QUARTILE.EXC(D5:D125,3))</f>
        <v>6.5625</v>
      </c>
      <c r="E137" s="32">
        <f t="shared" ref="E137:G137" si="47">IF(COUNTIF(E5:E125,"")&gt;18,"Faltan Calificaciones",_xlfn.QUARTILE.EXC(E5:E125,3))</f>
        <v>6.45</v>
      </c>
      <c r="F137" s="32">
        <f t="shared" si="47"/>
        <v>7.5</v>
      </c>
      <c r="G137" s="32">
        <f t="shared" si="47"/>
        <v>7.9</v>
      </c>
      <c r="H137" s="32">
        <f>IF(COUNTIF(H5:H125,"")&gt;19,"Faltan Calificaciones",_xlfn.QUARTILE.EXC(H5:H125,3))</f>
        <v>6.8624999999999998</v>
      </c>
      <c r="I137" s="32">
        <f>IF(COUNTIF(I5:I125,"")&gt;19,"Faltan Calificaciones",_xlfn.QUARTILE.EXC(I5:I125,3))</f>
        <v>6.3012499999999996</v>
      </c>
      <c r="K137" s="37"/>
      <c r="L137" s="41"/>
      <c r="M137" s="41"/>
      <c r="N137" s="69"/>
      <c r="O137" s="41"/>
      <c r="Q137" s="69"/>
      <c r="R137" s="41"/>
      <c r="S137" s="30"/>
    </row>
    <row r="138" spans="3:20" ht="22" customHeight="1">
      <c r="C138" s="31" t="s">
        <v>40</v>
      </c>
      <c r="D138" s="32">
        <f>IF(COUNTIF(D5:D125,"")&gt;18,"Faltan Calificaciones",_xlfn.PERCENTILE.EXC(D5:D125,0.9))</f>
        <v>8.4</v>
      </c>
      <c r="E138" s="32">
        <f t="shared" ref="E138:G138" si="48">IF(COUNTIF(E5:E125,"")&gt;18,"Faltan Calificaciones",_xlfn.PERCENTILE.EXC(E5:E125,0.9))</f>
        <v>7.62</v>
      </c>
      <c r="F138" s="32">
        <f t="shared" si="48"/>
        <v>8.25</v>
      </c>
      <c r="G138" s="32">
        <f t="shared" si="48"/>
        <v>9</v>
      </c>
      <c r="H138" s="32">
        <f>IF(COUNTIF(H5:H125,"")&gt;19,"Faltan Calificaciones",_xlfn.PERCENTILE.EXC(H5:H125,0.9))</f>
        <v>7.9250000000000007</v>
      </c>
      <c r="I138" s="32">
        <f>IF(COUNTIF(I5:I125,"")&gt;19,"Faltan Calificaciones",_xlfn.PERCENTILE.EXC(I5:I125,0.9))</f>
        <v>7.136000000000001</v>
      </c>
      <c r="K138" s="37"/>
      <c r="L138" s="41"/>
      <c r="M138" s="41"/>
      <c r="N138" s="69"/>
      <c r="O138" s="41"/>
      <c r="Q138" s="69"/>
      <c r="R138" s="41"/>
      <c r="S138" s="30"/>
    </row>
    <row r="139" spans="3:20" ht="22" customHeight="1">
      <c r="C139" s="31" t="s">
        <v>42</v>
      </c>
      <c r="D139" s="33">
        <f>IF(COUNTIF(D5:D125,"")&gt;18,"Faltan Calificaciones",COUNTIF(D5:D125,"&gt;"&amp;D138))</f>
        <v>8</v>
      </c>
      <c r="E139" s="33">
        <f t="shared" ref="E139:G139" si="49">IF(COUNTIF(E5:E125,"")&gt;18,"Faltan Calificaciones",COUNTIF(E5:E125,"&gt;"&amp;E138))</f>
        <v>9</v>
      </c>
      <c r="F139" s="33">
        <f t="shared" si="49"/>
        <v>7</v>
      </c>
      <c r="G139" s="33">
        <f t="shared" si="49"/>
        <v>8</v>
      </c>
      <c r="H139" s="33">
        <f>IF(COUNTIF(H5:H125,"")&gt;19,"Faltan Calificaciones",COUNTIF(H5:H125,"&gt;"&amp;H138))</f>
        <v>9</v>
      </c>
      <c r="I139" s="33">
        <f>IF(COUNTIF(I5:I125,"")&gt;19,"Faltan Calificaciones",COUNTIF(I5:I125,"&gt;"&amp;I138))</f>
        <v>9</v>
      </c>
      <c r="K139" s="37"/>
      <c r="L139" s="41"/>
      <c r="M139" s="41"/>
      <c r="N139" s="69"/>
      <c r="O139" s="41"/>
      <c r="Q139" s="69"/>
      <c r="R139" s="41"/>
      <c r="S139" s="30"/>
    </row>
    <row r="140" spans="3:20" ht="22" customHeight="1">
      <c r="C140" s="31" t="s">
        <v>41</v>
      </c>
      <c r="D140" s="33">
        <f>IF(COUNTIF(D5:D125,"")&gt;18,"Faltan Calificaciones",COUNTIF(D5:D125,"&gt;=5"))</f>
        <v>57</v>
      </c>
      <c r="E140" s="33">
        <f>IF(COUNTIF(E5:E125,"")&gt;18,"Faltan Calificaciones",COUNTIF(E5:E125,"&gt;=5"))</f>
        <v>50</v>
      </c>
      <c r="F140" s="33">
        <f>IF(COUNTIF(F5:F125,"")&gt;18,"Faltan Calificaciones",COUNTIF(F5:F125,"&gt;=5"))</f>
        <v>56</v>
      </c>
      <c r="G140" s="33">
        <f>IF(COUNTIF(G5:G125,"")&gt;18,"Faltan Calificaciones",COUNTIF(G5:G125,"&gt;=5"))</f>
        <v>65</v>
      </c>
      <c r="H140" s="33">
        <f>IF(COUNTIF(H5:H125,"")&gt;19,"Faltan Calificaciones",COUNTIF(H5:H125,"&gt;=5"))</f>
        <v>62</v>
      </c>
      <c r="I140" s="33">
        <f>IF(COUNTIF(I5:I125,"")&gt;19,"Faltan Calificaciones",COUNTIF(I5:I125,"&gt;=5"))</f>
        <v>60</v>
      </c>
      <c r="K140" s="36"/>
      <c r="N140" s="68"/>
      <c r="Q140" s="68"/>
    </row>
    <row r="141" spans="3:20" ht="22" customHeight="1">
      <c r="C141" s="31" t="s">
        <v>43</v>
      </c>
      <c r="D141" s="34">
        <f>IF(COUNTIF(D5:D125,"")&gt;18,"Faltan Calificaciones",(D140/COUNTIFS(D5:D125,"&gt;0",D5:D125,"&lt;=10")))</f>
        <v>0.59375</v>
      </c>
      <c r="E141" s="34">
        <f>IF(COUNTIF(E5:E125,"")&gt;18,"Faltan Calificaciones",(E140/COUNTIFS(E5:E125,"&gt;0",E5:E125,"&lt;=10")))</f>
        <v>0.52631578947368418</v>
      </c>
      <c r="F141" s="34">
        <f>IF(COUNTIF(F5:F125,"")&gt;18,"Faltan Calificaciones",(F140/COUNTIFS(F5:F125,"&gt;0",F5:F125,"&lt;=10")))</f>
        <v>0.5957446808510638</v>
      </c>
      <c r="G141" s="34">
        <f>IF(COUNTIF(G5:G125,"")&gt;18,"Faltan Calificaciones",(G140/COUNTIFS(G5:G125,"&gt;0",G5:G125,"&lt;=10")))</f>
        <v>0.69148936170212771</v>
      </c>
      <c r="H141" s="34">
        <f>IF(COUNTIF(H5:H125,"")&gt;19,"Faltan Calificaciones",(H140/COUNTIFS(H5:H125,"&gt;0",H5:H125,"&lt;=10")))</f>
        <v>0.66666666666666663</v>
      </c>
      <c r="I141" s="34">
        <f>IF(COUNTIF(I5:I125,"")&gt;19,"Faltan Calificaciones",(I140/COUNTIFS(I5:I125,"&gt;0",I5:I125,"&lt;=10")))</f>
        <v>0.64516129032258063</v>
      </c>
      <c r="K141" s="36"/>
      <c r="N141" s="68"/>
      <c r="Q141" s="68"/>
    </row>
    <row r="142" spans="3:20" ht="22" customHeight="1">
      <c r="C142" s="31" t="s">
        <v>80</v>
      </c>
      <c r="D142" s="32" cm="1">
        <f t="array" ref="D142">IF(COUNTIF(D5:D125,"")&gt;18,"Faltan Calificaciones",AVERAGE(IF((D5:D125&lt;5)*(D5:D125&lt;&gt;""),D5:D125)))</f>
        <v>3.1030769230769235</v>
      </c>
      <c r="E142" s="32" cm="1">
        <f t="array" ref="E142">IF(COUNTIF(E5:E125,"")&gt;18,"Faltan Calificaciones",AVERAGE(IF((E5:E125&lt;5)*(E5:E125&lt;&gt;""),E5:E125)))</f>
        <v>3.1044444444444457</v>
      </c>
      <c r="F142" s="32" cm="1">
        <f t="array" ref="F142">IF(COUNTIF(F5:F125,"")&gt;18,"Faltan Calificaciones",AVERAGE(IF((F5:F125&lt;5)*(F5:F125&lt;&gt;""),F5:F125)))</f>
        <v>2.8782051282051282</v>
      </c>
      <c r="G142" s="32" cm="1">
        <f t="array" ref="G142">IF(COUNTIF(G5:G125,"")&gt;18,"Faltan Calificaciones",AVERAGE(IF((G5:G125&lt;5)*(G5:G125&lt;&gt;""),G5:G125)))</f>
        <v>2.2849999999999997</v>
      </c>
      <c r="H142" s="32" cm="1">
        <f t="array" ref="H142">IF(COUNTIF(H5:H125,"")&gt;19,"Faltan Calificaciones",AVERAGE(IF((H5:H125&lt;5)*(H5:H125&lt;&gt;""),H5:H125)))</f>
        <v>2.8218750000000004</v>
      </c>
      <c r="I142" s="32" cm="1">
        <f t="array" ref="I142">IF(COUNTIF(I5:I125,"")&gt;19,"Faltan Calificaciones",AVERAGE(IF((I5:I125&lt;5)*(I5:I125&lt;&gt;""),I5:I125)))</f>
        <v>3.7471363636363644</v>
      </c>
      <c r="K142" s="36"/>
      <c r="N142" s="68"/>
      <c r="Q142" s="68"/>
    </row>
    <row r="143" spans="3:20" ht="22" customHeight="1">
      <c r="C143" s="31" t="s">
        <v>44</v>
      </c>
      <c r="D143" s="32">
        <f>IF(COUNTIF(D5:D125,"")&gt;18,"Faltan Calificaciones",_xlfn.T.INV.2T(0.05,COUNT(D5:D125)-1)*_xlfn.STDEV.S(D5:D125)/SQRT(COUNT(D5:D125)))</f>
        <v>0.43746302532343295</v>
      </c>
      <c r="E143" s="32">
        <f t="shared" ref="E143:G143" si="50">IF(COUNTIF(E5:E125,"")&gt;18,"Faltan Calificaciones",_xlfn.T.INV.2T(0.05,COUNT(E5:E125)-1)*_xlfn.STDEV.S(E5:E125)/SQRT(COUNT(E5:E125)))</f>
        <v>0.4269680127084452</v>
      </c>
      <c r="F143" s="32">
        <f t="shared" si="50"/>
        <v>0.48927351146339471</v>
      </c>
      <c r="G143" s="32">
        <f t="shared" si="50"/>
        <v>0.55693561204777053</v>
      </c>
      <c r="H143" s="32">
        <f>IF(COUNTIF(H5:H125,"")&gt;19,"Faltan Calificaciones",_xlfn.T.INV.2T(0.05,COUNT(H5:H125)-1)*_xlfn.STDEV.S(H5:H125)/SQRT(COUNT(H5:H125)))</f>
        <v>0.45214009239497166</v>
      </c>
      <c r="I143" s="32">
        <f>IF(COUNTIF(I5:I125,"")&gt;19,"Faltan Calificaciones",_xlfn.T.INV.2T(0.05,COUNT(I5:I125)-1)*_xlfn.STDEV.S(I5:I125)/SQRT(COUNT(I5:I125)))</f>
        <v>0.32308781488073279</v>
      </c>
      <c r="K143" s="36"/>
      <c r="N143" s="68"/>
      <c r="Q143" s="68"/>
    </row>
    <row r="144" spans="3:20" ht="22" customHeight="1">
      <c r="C144" s="31" t="s">
        <v>45</v>
      </c>
      <c r="D144" s="32">
        <f>IF(COUNTIF(D5:D125,"")&gt;18,"Faltan Calificaciones",TRIMMEAN(D5:D125,0.1))</f>
        <v>5.2473863636363642</v>
      </c>
      <c r="E144" s="32">
        <f t="shared" ref="E144:G144" si="51">IF(COUNTIF(E5:E125,"")&gt;18,"Faltan Calificaciones",TRIMMEAN(E5:E125,0.1))</f>
        <v>4.9373563218390792</v>
      </c>
      <c r="F144" s="32">
        <f t="shared" si="51"/>
        <v>5.4597701149425291</v>
      </c>
      <c r="G144" s="32">
        <f t="shared" si="51"/>
        <v>5.7804597701149429</v>
      </c>
      <c r="H144" s="32">
        <f>IF(COUNTIF(H5:H125,"")&gt;19,"Faltan Calificaciones",TRIMMEAN(H5:H125,0.1))</f>
        <v>5.4499999999999984</v>
      </c>
      <c r="I144" s="32">
        <f>IF(COUNTIF(I5:I125,"")&gt;19,"Faltan Calificaciones",TRIMMEAN(I5:I125,0.1))</f>
        <v>5.4439470588235279</v>
      </c>
      <c r="K144" s="36"/>
      <c r="N144" s="68"/>
      <c r="Q144" s="68"/>
    </row>
    <row r="145" spans="3:17" ht="22" customHeight="1">
      <c r="C145" s="31" t="s">
        <v>48</v>
      </c>
      <c r="D145" s="32">
        <f>IF(COUNTIF(D5:D125,"")&gt;18,"Faltan Calificaciones",(AVERAGEIF(D5:D125,"&gt;"&amp;_xlfn.PERCENTILE.EXC(D5:D125,0.73))-AVERAGEIF(D5:D125,"&lt;"&amp;_xlfn.PERCENTILE.EXC(D5:D125,0.27)))/10)</f>
        <v>0.53183076923076933</v>
      </c>
      <c r="E145" s="32">
        <f t="shared" ref="E145:G145" si="52">IF(COUNTIF(E5:E125,"")&gt;18,"Faltan Calificaciones",(AVERAGEIF(E5:E125,"&gt;"&amp;_xlfn.PERCENTILE.EXC(E5:E125,0.73))-AVERAGEIF(E5:E125,"&lt;"&amp;_xlfn.PERCENTILE.EXC(E5:E125,0.27)))/10)</f>
        <v>0.52359999999999984</v>
      </c>
      <c r="F145" s="32">
        <f t="shared" si="52"/>
        <v>0.59565217391304359</v>
      </c>
      <c r="G145" s="32">
        <f t="shared" si="52"/>
        <v>0.69140000000000013</v>
      </c>
      <c r="H145" s="32">
        <f>IF(COUNTIF(H5:H125,"")&gt;19,"Faltan Calificaciones",(AVERAGEIF(H5:H125,"&gt;"&amp;_xlfn.PERCENTILE.EXC(H5:H125,0.73))-AVERAGEIF(H5:H125,"&lt;"&amp;_xlfn.PERCENTILE.EXC(H5:H125,0.27)))/10)</f>
        <v>0.54075833333333345</v>
      </c>
      <c r="I145" s="32">
        <f>IF(COUNTIF(I5:I125,"")&gt;19,"Faltan Calificaciones",(AVERAGEIF(I5:I125,"&gt;"&amp;_xlfn.PERCENTILE.EXC(I5:I125,0.73))-AVERAGEIF(I5:I125,"&lt;"&amp;_xlfn.PERCENTILE.EXC(I5:I125,0.27)))/10)</f>
        <v>0.37235999999999986</v>
      </c>
      <c r="K145" s="36"/>
      <c r="N145" s="68"/>
      <c r="Q145" s="68"/>
    </row>
    <row r="146" spans="3:17" ht="22" customHeight="1">
      <c r="C146" s="31" t="s">
        <v>49</v>
      </c>
      <c r="D146" s="32">
        <f>IF(COUNTIF(D5:D125,"")&gt;18,"Faltan Calificaciones",D128/10)</f>
        <v>0.52226041666666678</v>
      </c>
      <c r="E146" s="32">
        <f t="shared" ref="E146:G146" si="53">IF(COUNTIF(E5:E125,"")&gt;18,"Faltan Calificaciones",E128/10)</f>
        <v>0.49510526315789455</v>
      </c>
      <c r="F146" s="32">
        <f t="shared" si="53"/>
        <v>0.54078947368421049</v>
      </c>
      <c r="G146" s="32">
        <f t="shared" si="53"/>
        <v>0.57315789473684209</v>
      </c>
      <c r="H146" s="32">
        <f>IF(COUNTIF(H5:H125,"")&gt;19,"Faltan Calificaciones",H128/10)</f>
        <v>0.53813829787234024</v>
      </c>
      <c r="I146" s="32">
        <f>IF(COUNTIF(I5:I125,"")&gt;19,"Faltan Calificaciones",I128/10)</f>
        <v>0.53926129032258052</v>
      </c>
      <c r="K146" s="36"/>
      <c r="N146" s="68"/>
      <c r="Q146" s="68"/>
    </row>
    <row r="147" spans="3:17" ht="22" customHeight="1">
      <c r="K147" s="36"/>
      <c r="N147" s="68"/>
      <c r="Q147" s="68"/>
    </row>
    <row r="148" spans="3:17" ht="22" customHeight="1">
      <c r="K148" s="36"/>
      <c r="N148" s="68"/>
      <c r="Q148" s="68"/>
    </row>
    <row r="149" spans="3:17" ht="22" customHeight="1">
      <c r="K149" s="36"/>
      <c r="N149" s="68"/>
      <c r="Q149" s="68"/>
    </row>
    <row r="150" spans="3:17" ht="22" customHeight="1">
      <c r="K150" s="36"/>
      <c r="N150" s="68"/>
      <c r="Q150" s="68"/>
    </row>
    <row r="151" spans="3:17" ht="22" customHeight="1">
      <c r="K151" s="36"/>
      <c r="N151" s="68"/>
      <c r="Q151" s="68"/>
    </row>
    <row r="152" spans="3:17" ht="22" customHeight="1">
      <c r="K152" s="36"/>
      <c r="N152" s="68"/>
      <c r="Q152" s="68"/>
    </row>
    <row r="153" spans="3:17" ht="22" customHeight="1">
      <c r="K153" s="36"/>
      <c r="N153" s="68"/>
      <c r="Q153" s="68"/>
    </row>
    <row r="154" spans="3:17" ht="22" customHeight="1">
      <c r="K154" s="36"/>
      <c r="N154" s="68"/>
      <c r="Q154" s="68"/>
    </row>
    <row r="155" spans="3:17" ht="22" customHeight="1">
      <c r="K155" s="36"/>
      <c r="N155" s="68"/>
      <c r="Q155" s="68"/>
    </row>
    <row r="156" spans="3:17" ht="22" customHeight="1">
      <c r="K156" s="36"/>
      <c r="N156" s="68"/>
      <c r="Q156" s="68"/>
    </row>
    <row r="157" spans="3:17" ht="22" customHeight="1">
      <c r="K157" s="36"/>
      <c r="N157" s="68"/>
      <c r="Q157" s="68"/>
    </row>
    <row r="158" spans="3:17" ht="22" customHeight="1">
      <c r="K158" s="36"/>
      <c r="N158" s="68"/>
      <c r="Q158" s="68"/>
    </row>
    <row r="159" spans="3:17" ht="22" customHeight="1">
      <c r="K159" s="36"/>
      <c r="N159" s="68"/>
      <c r="Q159" s="68"/>
    </row>
    <row r="160" spans="3:17" ht="22" customHeight="1">
      <c r="K160" s="36"/>
      <c r="N160" s="68"/>
      <c r="Q160" s="68"/>
    </row>
    <row r="161" spans="11:17" ht="22" customHeight="1">
      <c r="K161" s="36"/>
      <c r="N161" s="68"/>
      <c r="Q161" s="68"/>
    </row>
    <row r="162" spans="11:17" ht="22" customHeight="1">
      <c r="K162" s="36"/>
      <c r="N162" s="68"/>
      <c r="Q162" s="68"/>
    </row>
    <row r="163" spans="11:17" ht="22" customHeight="1">
      <c r="K163" s="36"/>
      <c r="N163" s="68"/>
      <c r="Q163" s="68"/>
    </row>
    <row r="164" spans="11:17" ht="22" customHeight="1">
      <c r="K164" s="36"/>
      <c r="N164" s="68"/>
      <c r="Q164" s="68"/>
    </row>
    <row r="165" spans="11:17" ht="22" customHeight="1"/>
    <row r="166" spans="11:17" ht="22" customHeight="1"/>
    <row r="167" spans="11:17" ht="22" customHeight="1"/>
    <row r="168" spans="11:17" ht="22" customHeight="1"/>
    <row r="169" spans="11:17" ht="22" customHeight="1"/>
    <row r="170" spans="11:17" ht="22" customHeight="1"/>
    <row r="171" spans="11:17" ht="22" customHeight="1"/>
    <row r="172" spans="11:17" ht="22" customHeight="1"/>
    <row r="173" spans="11:17" ht="22" customHeight="1"/>
    <row r="174" spans="11:17" ht="22" customHeight="1"/>
    <row r="175" spans="11:17" ht="22" customHeight="1"/>
    <row r="176" spans="11:17" ht="22" customHeight="1"/>
    <row r="177" ht="22" customHeight="1"/>
    <row r="178" ht="22" customHeight="1"/>
    <row r="179" ht="22" customHeight="1"/>
    <row r="180" ht="22" customHeight="1"/>
    <row r="181" ht="22" customHeight="1"/>
    <row r="182" ht="22" customHeight="1"/>
    <row r="183" ht="22" customHeight="1"/>
    <row r="184" ht="22" customHeight="1"/>
    <row r="185" ht="22" customHeight="1"/>
    <row r="186" ht="22" customHeight="1"/>
    <row r="187" ht="22" customHeight="1"/>
    <row r="188" ht="22" customHeight="1"/>
    <row r="189" ht="22" customHeight="1"/>
    <row r="190" ht="22" customHeight="1"/>
    <row r="191" ht="22" customHeight="1"/>
    <row r="192" ht="22" customHeight="1"/>
    <row r="193" ht="22" customHeight="1"/>
    <row r="194" ht="22" customHeight="1"/>
    <row r="195" ht="22" customHeight="1"/>
    <row r="196" ht="22" customHeight="1"/>
    <row r="197" ht="22" customHeight="1"/>
    <row r="198" ht="22" customHeight="1"/>
    <row r="199" ht="22" customHeight="1"/>
    <row r="200" ht="22" customHeight="1"/>
    <row r="201" ht="22" customHeight="1"/>
    <row r="202" ht="22" customHeight="1"/>
    <row r="203" ht="22" customHeight="1"/>
    <row r="204" ht="22" customHeight="1"/>
    <row r="205" ht="22" customHeight="1"/>
    <row r="206" ht="22" customHeight="1"/>
    <row r="207" ht="22" customHeight="1"/>
    <row r="208" ht="22" customHeight="1"/>
    <row r="209" ht="22" customHeight="1"/>
    <row r="210" ht="22" customHeight="1"/>
    <row r="211" ht="22" customHeight="1"/>
    <row r="212" ht="22" customHeight="1"/>
    <row r="213" ht="22" customHeight="1"/>
    <row r="214" ht="22" customHeight="1"/>
    <row r="215" ht="22" customHeight="1"/>
    <row r="216" ht="22" customHeight="1"/>
    <row r="217" ht="22" customHeight="1"/>
    <row r="218" ht="22" customHeight="1"/>
    <row r="219" ht="22" customHeight="1"/>
    <row r="220" ht="22" customHeight="1"/>
    <row r="221" ht="22" customHeight="1"/>
    <row r="222" ht="22" customHeight="1"/>
    <row r="223" ht="22" customHeight="1"/>
    <row r="224" ht="22" customHeight="1"/>
    <row r="225" ht="22" customHeight="1"/>
    <row r="226" ht="22" customHeight="1"/>
    <row r="227" ht="22" customHeight="1"/>
    <row r="228" ht="22" customHeight="1"/>
    <row r="229" ht="22" customHeight="1"/>
    <row r="230" ht="22" customHeight="1"/>
    <row r="231" ht="22" customHeight="1"/>
    <row r="232" ht="22" customHeight="1"/>
    <row r="233" ht="22" customHeight="1"/>
    <row r="234" ht="22" customHeight="1"/>
    <row r="235" ht="22" customHeight="1"/>
    <row r="236" ht="22" customHeight="1"/>
    <row r="237" ht="22" customHeight="1"/>
    <row r="238" ht="22" customHeight="1"/>
    <row r="239" ht="22" customHeight="1"/>
    <row r="240" ht="22" customHeight="1"/>
    <row r="241" ht="22" customHeight="1"/>
    <row r="242" ht="22" customHeight="1"/>
    <row r="243" ht="22" customHeight="1"/>
    <row r="244" ht="22" customHeight="1"/>
    <row r="245" ht="22" customHeight="1"/>
  </sheetData>
  <autoFilter ref="I1:I245" xr:uid="{00000000-0001-0000-0000-000000000000}"/>
  <mergeCells count="6">
    <mergeCell ref="D126:D127"/>
    <mergeCell ref="I126:I127"/>
    <mergeCell ref="E126:E127"/>
    <mergeCell ref="F126:F127"/>
    <mergeCell ref="G126:G127"/>
    <mergeCell ref="H126:H127"/>
  </mergeCells>
  <conditionalFormatting sqref="I96:I99 I109:I110 I101:I107 E89 I91:I94 I112:I125 I6:I89">
    <cfRule type="expression" dxfId="5439" priority="132">
      <formula>E6=""</formula>
    </cfRule>
    <cfRule type="containsText" dxfId="5438" priority="133" operator="containsText" text="NP">
      <formula>NOT(ISERROR(SEARCH("NP",E6)))</formula>
    </cfRule>
    <cfRule type="cellIs" dxfId="5437" priority="136" operator="lessThan">
      <formula>4.95</formula>
    </cfRule>
  </conditionalFormatting>
  <conditionalFormatting sqref="I4">
    <cfRule type="cellIs" dxfId="5436" priority="131" operator="notEqual">
      <formula>100</formula>
    </cfRule>
  </conditionalFormatting>
  <conditionalFormatting sqref="B90 D91:F125 D16:F89 E111:I111">
    <cfRule type="containsText" dxfId="5435" priority="129" operator="containsText" text="NP">
      <formula>NOT(ISERROR(SEARCH("NP",B16)))</formula>
    </cfRule>
    <cfRule type="cellIs" dxfId="5434" priority="130" operator="lessThan">
      <formula>5</formula>
    </cfRule>
  </conditionalFormatting>
  <conditionalFormatting sqref="I22">
    <cfRule type="containsText" dxfId="5433" priority="127" operator="containsText" text="NP">
      <formula>NOT(ISERROR(SEARCH("NP",I22)))</formula>
    </cfRule>
    <cfRule type="cellIs" dxfId="5432" priority="128" operator="lessThan">
      <formula>5</formula>
    </cfRule>
  </conditionalFormatting>
  <conditionalFormatting sqref="I74">
    <cfRule type="containsText" dxfId="5431" priority="125" operator="containsText" text="NP">
      <formula>NOT(ISERROR(SEARCH("NP",I74)))</formula>
    </cfRule>
    <cfRule type="cellIs" dxfId="5430" priority="126" operator="lessThan">
      <formula>5</formula>
    </cfRule>
  </conditionalFormatting>
  <conditionalFormatting sqref="I95">
    <cfRule type="containsText" dxfId="5429" priority="123" operator="containsText" text="NP">
      <formula>NOT(ISERROR(SEARCH("NP",I95)))</formula>
    </cfRule>
    <cfRule type="cellIs" dxfId="5428" priority="124" operator="lessThan">
      <formula>5</formula>
    </cfRule>
  </conditionalFormatting>
  <conditionalFormatting sqref="I100">
    <cfRule type="containsText" dxfId="5427" priority="121" operator="containsText" text="NP">
      <formula>NOT(ISERROR(SEARCH("NP",I100)))</formula>
    </cfRule>
    <cfRule type="cellIs" dxfId="5426" priority="122" operator="lessThan">
      <formula>5</formula>
    </cfRule>
  </conditionalFormatting>
  <conditionalFormatting sqref="I108">
    <cfRule type="containsText" dxfId="5425" priority="119" operator="containsText" text="NP">
      <formula>NOT(ISERROR(SEARCH("NP",I108)))</formula>
    </cfRule>
    <cfRule type="cellIs" dxfId="5424" priority="120" operator="lessThan">
      <formula>5</formula>
    </cfRule>
  </conditionalFormatting>
  <conditionalFormatting sqref="I111">
    <cfRule type="cellIs" dxfId="5423" priority="118" operator="lessThan">
      <formula>5</formula>
    </cfRule>
  </conditionalFormatting>
  <conditionalFormatting sqref="B1:I4 I91:I125 D91:G125 D16:F89 D5:F5 B5:B89 B91:B125 I5:I89 E111:I111">
    <cfRule type="expression" dxfId="5422" priority="116">
      <formula>AND(OR(ROW()=CELL("row"),COLUMN()=CELL("col")),NOT(ISBLANK($C1)),NOT(ISBLANK($B1)),ROW()&gt;2,COLUMN()&gt;1)</formula>
    </cfRule>
  </conditionalFormatting>
  <conditionalFormatting sqref="B4:I4 D91:G125 D5:G5 D45:G88 D16:F44 I91:I125 B5:B89 B91:B125 I5:I89 E111:I111">
    <cfRule type="expression" dxfId="5421" priority="115">
      <formula>SUM(--ISBLANK($B4:$J4))=COLUMNS($B4:$J4)</formula>
    </cfRule>
  </conditionalFormatting>
  <conditionalFormatting sqref="A90:A126 B126:O127 Y126:AB127 H5 Q128:S128 Q126:W127 A1:AB4 D91:F125 D16:F89 D5:F5 A5:B89 B90:B125 E111:I111 I5:AB88 I91:AB125 I89:AD90">
    <cfRule type="containsText" dxfId="5420" priority="117" operator="containsText" text="NP">
      <formula>NOT(ISERROR(SEARCH("NP",A1)))</formula>
    </cfRule>
  </conditionalFormatting>
  <conditionalFormatting sqref="B90 D89:E89">
    <cfRule type="expression" dxfId="5419" priority="1154">
      <formula>AND(OR(ROW()=CELL("row"),COLUMN()=CELL("col")),NOT(ISBLANK(#REF!)),NOT(ISBLANK(#REF!)),ROW()&gt;2,COLUMN()&gt;1)</formula>
    </cfRule>
  </conditionalFormatting>
  <conditionalFormatting sqref="B90">
    <cfRule type="expression" dxfId="5418" priority="1162">
      <formula>SUM(--ISBLANK($B90:$F90))=COLUMNS($B90:$F90)</formula>
    </cfRule>
  </conditionalFormatting>
  <conditionalFormatting sqref="I96:I99 I109:I110 I101:I107 I91:I94 I112:I125 I6:I89">
    <cfRule type="cellIs" dxfId="5417" priority="137" operator="greaterThanOrEqual">
      <formula>4.95</formula>
    </cfRule>
  </conditionalFormatting>
  <conditionalFormatting sqref="E89">
    <cfRule type="expression" dxfId="5416" priority="100">
      <formula>AND(OR(ROW()=CELL("row"),COLUMN()=CELL("col")),NOT(ISBLANK($C90)),NOT(ISBLANK($B90)),ROW()&gt;2,COLUMN()&gt;1)</formula>
    </cfRule>
  </conditionalFormatting>
  <conditionalFormatting sqref="E91">
    <cfRule type="expression" dxfId="5415" priority="98">
      <formula>AND(OR(ROW()=CELL("row"),COLUMN()=CELL("col")),NOT(ISBLANK($C91)),NOT(ISBLANK($B91)),ROW()&gt;2,COLUMN()&gt;1)</formula>
    </cfRule>
  </conditionalFormatting>
  <conditionalFormatting sqref="D89:E89">
    <cfRule type="expression" dxfId="5414" priority="1177">
      <formula>SUM(--ISBLANK($B90:$F90))=COLUMNS($B90:$F90)</formula>
    </cfRule>
  </conditionalFormatting>
  <conditionalFormatting sqref="B4:I4 H5:I5 D16:F125 D5:F5 B5:B125 I6:I125 E111:I111">
    <cfRule type="expression" dxfId="5413" priority="97">
      <formula>ISBLANK(B4)</formula>
    </cfRule>
  </conditionalFormatting>
  <conditionalFormatting sqref="G91:G125 G45:G89">
    <cfRule type="containsText" dxfId="5412" priority="93" operator="containsText" text="NP">
      <formula>NOT(ISERROR(SEARCH("NP",G45)))</formula>
    </cfRule>
    <cfRule type="cellIs" dxfId="5411" priority="94" operator="lessThan">
      <formula>5</formula>
    </cfRule>
  </conditionalFormatting>
  <conditionalFormatting sqref="G5:H5 G45:G89">
    <cfRule type="expression" dxfId="5410" priority="91">
      <formula>AND(OR(ROW()=CELL("row"),COLUMN()=CELL("col")),NOT(ISBLANK($C5)),NOT(ISBLANK($B5)),ROW()&gt;2,COLUMN()&gt;1)</formula>
    </cfRule>
  </conditionalFormatting>
  <conditionalFormatting sqref="G91:G125 G5 G45:G89">
    <cfRule type="containsText" dxfId="5409" priority="92" operator="containsText" text="NP">
      <formula>NOT(ISERROR(SEARCH("NP",G5)))</formula>
    </cfRule>
  </conditionalFormatting>
  <conditionalFormatting sqref="G89">
    <cfRule type="expression" dxfId="5408" priority="88">
      <formula>AND(OR(ROW()=CELL("row"),COLUMN()=CELL("col")),NOT(ISBLANK($C90)),NOT(ISBLANK($B90)),ROW()&gt;2,COLUMN()&gt;1)</formula>
    </cfRule>
  </conditionalFormatting>
  <conditionalFormatting sqref="G5 G45:G125">
    <cfRule type="expression" dxfId="5407" priority="87">
      <formula>ISBLANK(G5)</formula>
    </cfRule>
  </conditionalFormatting>
  <conditionalFormatting sqref="F45:G125 F16:F44 I16:J17 I30:J31 I45:J46 I60:J61 I6:AB15 I18:AB29 I32:AB44 I47:AB59 I62:AB74 I77:AB88 I75:J76 I93:AB103 I106:AB116 I104:J105 I119:AB125 I117:J118 I89:J92 K89:AD90">
    <cfRule type="containsText" dxfId="5406" priority="86" operator="containsText" text="Reconocimiento Créditos">
      <formula>NOT(ISERROR(SEARCH("Reconocimiento Créditos",F6)))</formula>
    </cfRule>
  </conditionalFormatting>
  <conditionalFormatting sqref="H5">
    <cfRule type="expression" dxfId="5405" priority="1185">
      <formula>SUM(--ISBLANK($B5:$J5))=COLUMNS($B5:$J5)</formula>
    </cfRule>
  </conditionalFormatting>
  <conditionalFormatting sqref="D6:F15">
    <cfRule type="containsText" dxfId="5404" priority="82" operator="containsText" text="NP">
      <formula>NOT(ISERROR(SEARCH("NP",D6)))</formula>
    </cfRule>
    <cfRule type="cellIs" dxfId="5403" priority="83" operator="lessThan">
      <formula>5</formula>
    </cfRule>
  </conditionalFormatting>
  <conditionalFormatting sqref="D6:F15">
    <cfRule type="expression" dxfId="5402" priority="80">
      <formula>AND(OR(ROW()=CELL("row"),COLUMN()=CELL("col")),NOT(ISBLANK($C6)),NOT(ISBLANK($B6)),ROW()&gt;2,COLUMN()&gt;1)</formula>
    </cfRule>
  </conditionalFormatting>
  <conditionalFormatting sqref="D6:F15">
    <cfRule type="expression" dxfId="5401" priority="79">
      <formula>SUM(--ISBLANK($B6:$J6))=COLUMNS($B6:$J6)</formula>
    </cfRule>
  </conditionalFormatting>
  <conditionalFormatting sqref="D6:F15">
    <cfRule type="containsText" dxfId="5400" priority="81" operator="containsText" text="NP">
      <formula>NOT(ISERROR(SEARCH("NP",D6)))</formula>
    </cfRule>
  </conditionalFormatting>
  <conditionalFormatting sqref="D6:F15">
    <cfRule type="expression" dxfId="5399" priority="77">
      <formula>ISBLANK(D6)</formula>
    </cfRule>
  </conditionalFormatting>
  <conditionalFormatting sqref="E45:G125 E6:F44 I6:I125">
    <cfRule type="expression" dxfId="5398" priority="72">
      <formula>AND(ISNUMBER(E6), OR(E6&gt;10, E6&lt;0))</formula>
    </cfRule>
  </conditionalFormatting>
  <conditionalFormatting sqref="F6:F15">
    <cfRule type="containsText" dxfId="5397" priority="69" operator="containsText" text="Aprobado en otro curso">
      <formula>NOT(ISERROR(SEARCH("Aprobado en otro curso",F6)))</formula>
    </cfRule>
    <cfRule type="containsText" dxfId="5396" priority="70" operator="containsText" text="Reconocimiento Créditos">
      <formula>NOT(ISERROR(SEARCH("Reconocimiento Créditos",F6)))</formula>
    </cfRule>
  </conditionalFormatting>
  <conditionalFormatting sqref="D6:F15 D18:F29 D32:F44 D47:G59 D62:G74 D77:G88 D93:G103 D106:G116 D119:G125 I32:I44 I6:I15 I119:I125 I106:I116 I93:I103 I77:I88 I47:I59 I18:I29 I62:I74 E111:I111">
    <cfRule type="expression" dxfId="5395" priority="68">
      <formula>AND(NOT(ISNUMBER(D6)), D6&lt;&gt;"NP", D6&lt;&gt;"Reconocimiento Créditos", D6&lt;&gt;"Aprobado en otro curso")</formula>
    </cfRule>
  </conditionalFormatting>
  <conditionalFormatting sqref="G16:G44">
    <cfRule type="expression" dxfId="5394" priority="67">
      <formula>SUM(--ISBLANK($B16:$J16))=COLUMNS($B16:$J16)</formula>
    </cfRule>
  </conditionalFormatting>
  <conditionalFormatting sqref="G16:G44">
    <cfRule type="containsText" dxfId="5393" priority="65" operator="containsText" text="NP">
      <formula>NOT(ISERROR(SEARCH("NP",G16)))</formula>
    </cfRule>
    <cfRule type="cellIs" dxfId="5392" priority="66" operator="lessThan">
      <formula>5</formula>
    </cfRule>
  </conditionalFormatting>
  <conditionalFormatting sqref="G16:G44">
    <cfRule type="expression" dxfId="5391" priority="63">
      <formula>AND(OR(ROW()=CELL("row"),COLUMN()=CELL("col")),NOT(ISBLANK($C16)),NOT(ISBLANK($B16)),ROW()&gt;2,COLUMN()&gt;1)</formula>
    </cfRule>
  </conditionalFormatting>
  <conditionalFormatting sqref="G16:G44">
    <cfRule type="containsText" dxfId="5390" priority="64" operator="containsText" text="NP">
      <formula>NOT(ISERROR(SEARCH("NP",G16)))</formula>
    </cfRule>
  </conditionalFormatting>
  <conditionalFormatting sqref="G16:G44">
    <cfRule type="expression" dxfId="5389" priority="62">
      <formula>ISBLANK(G16)</formula>
    </cfRule>
  </conditionalFormatting>
  <conditionalFormatting sqref="G16:G44">
    <cfRule type="containsText" dxfId="5388" priority="60" operator="containsText" text="Aprobado en otro curso">
      <formula>NOT(ISERROR(SEARCH("Aprobado en otro curso",G16)))</formula>
    </cfRule>
  </conditionalFormatting>
  <conditionalFormatting sqref="G6:G15">
    <cfRule type="expression" dxfId="5387" priority="59">
      <formula>SUM(--ISBLANK($B6:$J6))=COLUMNS($B6:$J6)</formula>
    </cfRule>
  </conditionalFormatting>
  <conditionalFormatting sqref="G6:G15">
    <cfRule type="containsText" dxfId="5386" priority="57" operator="containsText" text="NP">
      <formula>NOT(ISERROR(SEARCH("NP",G6)))</formula>
    </cfRule>
    <cfRule type="cellIs" dxfId="5385" priority="58" operator="lessThan">
      <formula>5</formula>
    </cfRule>
  </conditionalFormatting>
  <conditionalFormatting sqref="G6:G15">
    <cfRule type="expression" dxfId="5384" priority="55">
      <formula>AND(OR(ROW()=CELL("row"),COLUMN()=CELL("col")),NOT(ISBLANK($C6)),NOT(ISBLANK($B6)),ROW()&gt;2,COLUMN()&gt;1)</formula>
    </cfRule>
  </conditionalFormatting>
  <conditionalFormatting sqref="G6:G44">
    <cfRule type="expression" dxfId="5383" priority="54">
      <formula>AND(ISNUMBER(G6), OR(G6&gt;10, G6&lt;0))</formula>
    </cfRule>
  </conditionalFormatting>
  <conditionalFormatting sqref="G6:G15">
    <cfRule type="containsText" dxfId="5382" priority="56" operator="containsText" text="NP">
      <formula>NOT(ISERROR(SEARCH("NP",G6)))</formula>
    </cfRule>
  </conditionalFormatting>
  <conditionalFormatting sqref="G6:G15">
    <cfRule type="expression" dxfId="5381" priority="53">
      <formula>ISBLANK(G6)</formula>
    </cfRule>
  </conditionalFormatting>
  <conditionalFormatting sqref="G6:G15">
    <cfRule type="containsText" dxfId="5380" priority="51" operator="containsText" text="Aprobado en otro curso">
      <formula>NOT(ISERROR(SEARCH("Aprobado en otro curso",G6)))</formula>
    </cfRule>
    <cfRule type="containsText" dxfId="5379" priority="52" operator="containsText" text="Reconocimiento Créditos">
      <formula>NOT(ISERROR(SEARCH("Reconocimiento Créditos",G6)))</formula>
    </cfRule>
  </conditionalFormatting>
  <conditionalFormatting sqref="G6:G15 G18:G29 G32:G44">
    <cfRule type="expression" dxfId="5378" priority="50">
      <formula>AND(NOT(ISNUMBER(G6)), G6&lt;&gt;"NP", G6&lt;&gt;"Reconocimiento Créditos", G6&lt;&gt;"Aprobado en otro curso")</formula>
    </cfRule>
  </conditionalFormatting>
  <conditionalFormatting sqref="H91:H125 H16:H89">
    <cfRule type="containsText" dxfId="5377" priority="47" operator="containsText" text="NP">
      <formula>NOT(ISERROR(SEARCH("NP",H16)))</formula>
    </cfRule>
    <cfRule type="cellIs" dxfId="5376" priority="48" operator="lessThan">
      <formula>5</formula>
    </cfRule>
  </conditionalFormatting>
  <conditionalFormatting sqref="H91:H125">
    <cfRule type="expression" dxfId="5375" priority="45">
      <formula>AND(OR(ROW()=CELL("row"),COLUMN()=CELL("col")),NOT(ISBLANK($C91)),NOT(ISBLANK($B91)),ROW()&gt;2,COLUMN()&gt;1)</formula>
    </cfRule>
  </conditionalFormatting>
  <conditionalFormatting sqref="H91:H125">
    <cfRule type="expression" dxfId="5374" priority="44">
      <formula>SUM(--ISBLANK($B91:$J91))=COLUMNS($B91:$J91)</formula>
    </cfRule>
  </conditionalFormatting>
  <conditionalFormatting sqref="H16:H125">
    <cfRule type="containsText" dxfId="5373" priority="46" operator="containsText" text="NP">
      <formula>NOT(ISERROR(SEARCH("NP",H16)))</formula>
    </cfRule>
  </conditionalFormatting>
  <conditionalFormatting sqref="H16:H125">
    <cfRule type="expression" dxfId="5372" priority="43">
      <formula>ISBLANK(H16)</formula>
    </cfRule>
  </conditionalFormatting>
  <conditionalFormatting sqref="H16:H89">
    <cfRule type="expression" dxfId="5371" priority="42">
      <formula>AND(OR(ROW()=CELL("row"),COLUMN()=CELL("col")),NOT(ISBLANK($C16)),NOT(ISBLANK($B16)),ROW()&gt;2,COLUMN()&gt;1)</formula>
    </cfRule>
  </conditionalFormatting>
  <conditionalFormatting sqref="H16:H125">
    <cfRule type="containsText" dxfId="5370" priority="40" operator="containsText" text="Aprobado en otro curso">
      <formula>NOT(ISERROR(SEARCH("Aprobado en otro curso",H16)))</formula>
    </cfRule>
    <cfRule type="containsText" dxfId="5369" priority="41" operator="containsText" text="Reconocimiento Créditos">
      <formula>NOT(ISERROR(SEARCH("Reconocimiento Créditos",H16)))</formula>
    </cfRule>
  </conditionalFormatting>
  <conditionalFormatting sqref="H16:H89">
    <cfRule type="expression" dxfId="5368" priority="49">
      <formula>SUM(--ISBLANK($B16:$J16))=COLUMNS($B16:$J16)</formula>
    </cfRule>
  </conditionalFormatting>
  <conditionalFormatting sqref="H6:H15">
    <cfRule type="containsText" dxfId="5367" priority="37" operator="containsText" text="NP">
      <formula>NOT(ISERROR(SEARCH("NP",H6)))</formula>
    </cfRule>
    <cfRule type="cellIs" dxfId="5366" priority="38" operator="lessThan">
      <formula>5</formula>
    </cfRule>
  </conditionalFormatting>
  <conditionalFormatting sqref="H6:H15">
    <cfRule type="containsText" dxfId="5365" priority="36" operator="containsText" text="NP">
      <formula>NOT(ISERROR(SEARCH("NP",H6)))</formula>
    </cfRule>
  </conditionalFormatting>
  <conditionalFormatting sqref="H6:H15">
    <cfRule type="expression" dxfId="5364" priority="35">
      <formula>ISBLANK(H6)</formula>
    </cfRule>
  </conditionalFormatting>
  <conditionalFormatting sqref="H6:H15">
    <cfRule type="expression" dxfId="5363" priority="34">
      <formula>AND(OR(ROW()=CELL("row"),COLUMN()=CELL("col")),NOT(ISBLANK($C6)),NOT(ISBLANK($B6)),ROW()&gt;2,COLUMN()&gt;1)</formula>
    </cfRule>
  </conditionalFormatting>
  <conditionalFormatting sqref="H6:H125">
    <cfRule type="expression" dxfId="5362" priority="33">
      <formula>AND(ISNUMBER(H6), OR(H6&gt;10, H6&lt;0))</formula>
    </cfRule>
  </conditionalFormatting>
  <conditionalFormatting sqref="H6:H15">
    <cfRule type="containsText" dxfId="5361" priority="31" operator="containsText" text="Aprobado en otro curso">
      <formula>NOT(ISERROR(SEARCH("Aprobado en otro curso",H6)))</formula>
    </cfRule>
    <cfRule type="containsText" dxfId="5360" priority="32" operator="containsText" text="Reconocimiento Créditos">
      <formula>NOT(ISERROR(SEARCH("Reconocimiento Créditos",H6)))</formula>
    </cfRule>
  </conditionalFormatting>
  <conditionalFormatting sqref="H6:H15">
    <cfRule type="expression" dxfId="5359" priority="39">
      <formula>SUM(--ISBLANK($B6:$J6))=COLUMNS($B6:$J6)</formula>
    </cfRule>
  </conditionalFormatting>
  <conditionalFormatting sqref="H47:H59 H62:H74 H77:H88 H93:H103 H106:H116 H119:H125 H32:H44 H18:H29 H6:H15">
    <cfRule type="expression" dxfId="5358" priority="30">
      <formula>AND(NOT(ISNUMBER(H6)), H6&lt;&gt;"NP", H6&lt;&gt;"Reconocimiento Créditos", H6&lt;&gt;"Aprobado en otro curso")</formula>
    </cfRule>
  </conditionalFormatting>
  <conditionalFormatting sqref="C90">
    <cfRule type="containsText" dxfId="5357" priority="26" operator="containsText" text="NP">
      <formula>NOT(ISERROR(SEARCH("NP",C90)))</formula>
    </cfRule>
    <cfRule type="cellIs" dxfId="5356" priority="27" operator="lessThan">
      <formula>5</formula>
    </cfRule>
  </conditionalFormatting>
  <conditionalFormatting sqref="C91:C125 C5:C89">
    <cfRule type="expression" dxfId="5355" priority="24">
      <formula>AND(OR(ROW()=CELL("row"),COLUMN()=CELL("col")),NOT(ISBLANK($C5)),NOT(ISBLANK($B5)),ROW()&gt;2,COLUMN()&gt;1)</formula>
    </cfRule>
  </conditionalFormatting>
  <conditionalFormatting sqref="C5:C125">
    <cfRule type="expression" dxfId="5354" priority="23">
      <formula>SUM(--ISBLANK($B5:$J5))=COLUMNS($B5:$J5)</formula>
    </cfRule>
  </conditionalFormatting>
  <conditionalFormatting sqref="C5:C125">
    <cfRule type="containsText" dxfId="5353" priority="25" operator="containsText" text="NP">
      <formula>NOT(ISERROR(SEARCH("NP",C5)))</formula>
    </cfRule>
  </conditionalFormatting>
  <conditionalFormatting sqref="C90">
    <cfRule type="expression" dxfId="5352" priority="28">
      <formula>AND(OR(ROW()=CELL("row"),COLUMN()=CELL("col")),NOT(ISBLANK(#REF!)),NOT(ISBLANK(#REF!)),ROW()&gt;2,COLUMN()&gt;1)</formula>
    </cfRule>
  </conditionalFormatting>
  <conditionalFormatting sqref="C90">
    <cfRule type="expression" dxfId="5351" priority="29">
      <formula>SUM(--ISBLANK($B90:$F90))=COLUMNS($B90:$F90)</formula>
    </cfRule>
  </conditionalFormatting>
  <conditionalFormatting sqref="C90">
    <cfRule type="expression" dxfId="5350" priority="22">
      <formula>AND(OR(ROW()=CELL("row"),COLUMN()=CELL("col")),NOT(ISBLANK($C90)),NOT(ISBLANK($B90)),ROW()&gt;2,COLUMN()&gt;1)</formula>
    </cfRule>
  </conditionalFormatting>
  <conditionalFormatting sqref="C5:C125">
    <cfRule type="expression" dxfId="5349" priority="21">
      <formula>ISBLANK(C5)</formula>
    </cfRule>
  </conditionalFormatting>
  <conditionalFormatting sqref="D6:I125">
    <cfRule type="containsText" dxfId="5348" priority="61" operator="containsText" text="Reconocimiento Créditos">
      <formula>NOT(ISERROR(SEARCH("Reconocimiento Créditos",D6)))</formula>
    </cfRule>
  </conditionalFormatting>
  <conditionalFormatting sqref="F16:F17 I16:I17 J16:J125 D18:I12503 I6:AB15 K18:AB29 K32:AB44 K47:AB59 K62:AB74 K77:AB88 K93:AB103 K106:AB116 K119:AB125 K89:AD90">
    <cfRule type="containsText" dxfId="5347" priority="85" operator="containsText" text="Aprobado en otro curso">
      <formula>NOT(ISERROR(SEARCH("Aprobado en otro curso",D6)))</formula>
    </cfRule>
  </conditionalFormatting>
  <conditionalFormatting sqref="I22">
    <cfRule type="containsText" dxfId="5346" priority="18" operator="containsText" text="NP">
      <formula>NOT(ISERROR(SEARCH("NP",I22)))</formula>
    </cfRule>
    <cfRule type="cellIs" dxfId="5345" priority="19" operator="lessThan">
      <formula>5</formula>
    </cfRule>
  </conditionalFormatting>
  <conditionalFormatting sqref="I22">
    <cfRule type="containsText" dxfId="5344" priority="17" operator="containsText" text="NP">
      <formula>NOT(ISERROR(SEARCH("NP",I22)))</formula>
    </cfRule>
  </conditionalFormatting>
  <conditionalFormatting sqref="I22">
    <cfRule type="expression" dxfId="5343" priority="16">
      <formula>ISBLANK(I22)</formula>
    </cfRule>
  </conditionalFormatting>
  <conditionalFormatting sqref="I22">
    <cfRule type="expression" dxfId="5342" priority="15">
      <formula>AND(OR(ROW()=CELL("row"),COLUMN()=CELL("col")),NOT(ISBLANK($C22)),NOT(ISBLANK($B22)),ROW()&gt;2,COLUMN()&gt;1)</formula>
    </cfRule>
  </conditionalFormatting>
  <conditionalFormatting sqref="I22">
    <cfRule type="containsText" dxfId="5341" priority="13" operator="containsText" text="Aprobado en otro curso">
      <formula>NOT(ISERROR(SEARCH("Aprobado en otro curso",I22)))</formula>
    </cfRule>
    <cfRule type="containsText" dxfId="5340" priority="14" operator="containsText" text="Reconocimiento Créditos">
      <formula>NOT(ISERROR(SEARCH("Reconocimiento Créditos",I22)))</formula>
    </cfRule>
  </conditionalFormatting>
  <conditionalFormatting sqref="I22">
    <cfRule type="expression" dxfId="5339" priority="20">
      <formula>SUM(--ISBLANK($B22:$J22))=COLUMNS($B22:$J22)</formula>
    </cfRule>
  </conditionalFormatting>
  <conditionalFormatting sqref="I22">
    <cfRule type="expression" dxfId="5338" priority="12">
      <formula>AND(ISNUMBER(I22), OR(I22&gt;10, I22&lt;0))</formula>
    </cfRule>
  </conditionalFormatting>
  <conditionalFormatting sqref="I22">
    <cfRule type="expression" dxfId="5337" priority="11">
      <formula>AND(NOT(ISNUMBER(I22)), I22&lt;&gt;"NP", I22&lt;&gt;"Reconocimiento Créditos", I22&lt;&gt;"Aprobado en otro curso")</formula>
    </cfRule>
  </conditionalFormatting>
  <conditionalFormatting sqref="I74">
    <cfRule type="containsText" dxfId="5336" priority="8" operator="containsText" text="NP">
      <formula>NOT(ISERROR(SEARCH("NP",I74)))</formula>
    </cfRule>
    <cfRule type="cellIs" dxfId="5335" priority="9" operator="lessThan">
      <formula>5</formula>
    </cfRule>
  </conditionalFormatting>
  <conditionalFormatting sqref="I74">
    <cfRule type="containsText" dxfId="5334" priority="7" operator="containsText" text="NP">
      <formula>NOT(ISERROR(SEARCH("NP",I74)))</formula>
    </cfRule>
  </conditionalFormatting>
  <conditionalFormatting sqref="I74">
    <cfRule type="expression" dxfId="5333" priority="6">
      <formula>ISBLANK(I74)</formula>
    </cfRule>
  </conditionalFormatting>
  <conditionalFormatting sqref="I74">
    <cfRule type="expression" dxfId="5332" priority="5">
      <formula>AND(OR(ROW()=CELL("row"),COLUMN()=CELL("col")),NOT(ISBLANK($C74)),NOT(ISBLANK($B74)),ROW()&gt;2,COLUMN()&gt;1)</formula>
    </cfRule>
  </conditionalFormatting>
  <conditionalFormatting sqref="I74">
    <cfRule type="containsText" dxfId="5331" priority="3" operator="containsText" text="Aprobado en otro curso">
      <formula>NOT(ISERROR(SEARCH("Aprobado en otro curso",I74)))</formula>
    </cfRule>
    <cfRule type="containsText" dxfId="5330" priority="4" operator="containsText" text="Reconocimiento Créditos">
      <formula>NOT(ISERROR(SEARCH("Reconocimiento Créditos",I74)))</formula>
    </cfRule>
  </conditionalFormatting>
  <conditionalFormatting sqref="I74">
    <cfRule type="expression" dxfId="5329" priority="10">
      <formula>SUM(--ISBLANK($B74:$J74))=COLUMNS($B74:$J74)</formula>
    </cfRule>
  </conditionalFormatting>
  <conditionalFormatting sqref="I74">
    <cfRule type="expression" dxfId="5328" priority="2">
      <formula>AND(ISNUMBER(I74), OR(I74&gt;10, I74&lt;0))</formula>
    </cfRule>
  </conditionalFormatting>
  <conditionalFormatting sqref="I74">
    <cfRule type="expression" dxfId="5327" priority="1">
      <formula>AND(NOT(ISNUMBER(I74)), I74&lt;&gt;"NP", I74&lt;&gt;"Reconocimiento Créditos", I74&lt;&gt;"Aprobado en otro curso")</formula>
    </cfRule>
  </conditionalFormatting>
  <dataValidations disablePrompts="1" count="1">
    <dataValidation type="list" allowBlank="1" showInputMessage="1" showErrorMessage="1" sqref="D2:H2" xr:uid="{D7FDC19A-F1C6-45FC-8B7B-CD2A96FBD80E}">
      <formula1>"Examen,Prueba Complementaria"</formula1>
    </dataValidation>
  </dataValidations>
  <pageMargins left="0.25" right="0.25" top="0.75" bottom="0.75" header="0.511811023622047" footer="0.511811023622047"/>
  <pageSetup paperSize="9" scale="10"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19" r:id="rId4" name="Button 23">
              <controlPr defaultSize="0" print="0" autoFill="0" autoPict="0" macro="[0]!BotonInformeExamen">
                <anchor moveWithCells="1" sizeWithCells="1">
                  <from>
                    <xdr:col>5</xdr:col>
                    <xdr:colOff>127000</xdr:colOff>
                    <xdr:row>125</xdr:row>
                    <xdr:rowOff>44450</xdr:rowOff>
                  </from>
                  <to>
                    <xdr:col>5</xdr:col>
                    <xdr:colOff>2540000</xdr:colOff>
                    <xdr:row>126</xdr:row>
                    <xdr:rowOff>247650</xdr:rowOff>
                  </to>
                </anchor>
              </controlPr>
            </control>
          </mc:Choice>
        </mc:AlternateContent>
        <mc:AlternateContent xmlns:mc="http://schemas.openxmlformats.org/markup-compatibility/2006">
          <mc:Choice Requires="x14">
            <control shapeId="4121" r:id="rId5" name="Button 25">
              <controlPr defaultSize="0" print="0" autoFill="0" autoPict="0" macro="[0]!BotonInformeExamen">
                <anchor moveWithCells="1" sizeWithCells="1">
                  <from>
                    <xdr:col>6</xdr:col>
                    <xdr:colOff>95250</xdr:colOff>
                    <xdr:row>125</xdr:row>
                    <xdr:rowOff>50800</xdr:rowOff>
                  </from>
                  <to>
                    <xdr:col>6</xdr:col>
                    <xdr:colOff>2501900</xdr:colOff>
                    <xdr:row>126</xdr:row>
                    <xdr:rowOff>254000</xdr:rowOff>
                  </to>
                </anchor>
              </controlPr>
            </control>
          </mc:Choice>
        </mc:AlternateContent>
        <mc:AlternateContent xmlns:mc="http://schemas.openxmlformats.org/markup-compatibility/2006">
          <mc:Choice Requires="x14">
            <control shapeId="4122" r:id="rId6" name="Button 26">
              <controlPr defaultSize="0" print="0" autoFill="0" autoPict="0" macro="[0]!BotonInformeExamen">
                <anchor moveWithCells="1" sizeWithCells="1">
                  <from>
                    <xdr:col>7</xdr:col>
                    <xdr:colOff>82550</xdr:colOff>
                    <xdr:row>125</xdr:row>
                    <xdr:rowOff>38100</xdr:rowOff>
                  </from>
                  <to>
                    <xdr:col>7</xdr:col>
                    <xdr:colOff>2489200</xdr:colOff>
                    <xdr:row>126</xdr:row>
                    <xdr:rowOff>241300</xdr:rowOff>
                  </to>
                </anchor>
              </controlPr>
            </control>
          </mc:Choice>
        </mc:AlternateContent>
        <mc:AlternateContent xmlns:mc="http://schemas.openxmlformats.org/markup-compatibility/2006">
          <mc:Choice Requires="x14">
            <control shapeId="4123" r:id="rId7" name="Button 27">
              <controlPr defaultSize="0" print="0" autoFill="0" autoPict="0" macro="[0]!BotonInformeExamen">
                <anchor moveWithCells="1" sizeWithCells="1">
                  <from>
                    <xdr:col>4</xdr:col>
                    <xdr:colOff>107950</xdr:colOff>
                    <xdr:row>125</xdr:row>
                    <xdr:rowOff>38100</xdr:rowOff>
                  </from>
                  <to>
                    <xdr:col>4</xdr:col>
                    <xdr:colOff>2514600</xdr:colOff>
                    <xdr:row>126</xdr:row>
                    <xdr:rowOff>241300</xdr:rowOff>
                  </to>
                </anchor>
              </controlPr>
            </control>
          </mc:Choice>
        </mc:AlternateContent>
        <mc:AlternateContent xmlns:mc="http://schemas.openxmlformats.org/markup-compatibility/2006">
          <mc:Choice Requires="x14">
            <control shapeId="4124" r:id="rId8" name="Button 28">
              <controlPr defaultSize="0" print="0" autoFill="0" autoPict="0" macro="[0]!BotonInformeExamen">
                <anchor moveWithCells="1" sizeWithCells="1">
                  <from>
                    <xdr:col>3</xdr:col>
                    <xdr:colOff>114300</xdr:colOff>
                    <xdr:row>125</xdr:row>
                    <xdr:rowOff>44450</xdr:rowOff>
                  </from>
                  <to>
                    <xdr:col>3</xdr:col>
                    <xdr:colOff>2514600</xdr:colOff>
                    <xdr:row>126</xdr:row>
                    <xdr:rowOff>247650</xdr:rowOff>
                  </to>
                </anchor>
              </controlPr>
            </control>
          </mc:Choice>
        </mc:AlternateContent>
        <mc:AlternateContent xmlns:mc="http://schemas.openxmlformats.org/markup-compatibility/2006">
          <mc:Choice Requires="x14">
            <control shapeId="4126" r:id="rId9" name="Button 30">
              <controlPr defaultSize="0" print="0" autoFill="0" autoPict="0" macro="[0]!MacroInformeAlumnoFilaHorizontal">
                <anchor moveWithCells="1" sizeWithCells="1">
                  <from>
                    <xdr:col>9</xdr:col>
                    <xdr:colOff>133350</xdr:colOff>
                    <xdr:row>5</xdr:row>
                    <xdr:rowOff>50800</xdr:rowOff>
                  </from>
                  <to>
                    <xdr:col>9</xdr:col>
                    <xdr:colOff>1708150</xdr:colOff>
                    <xdr:row>5</xdr:row>
                    <xdr:rowOff>241300</xdr:rowOff>
                  </to>
                </anchor>
              </controlPr>
            </control>
          </mc:Choice>
        </mc:AlternateContent>
        <mc:AlternateContent xmlns:mc="http://schemas.openxmlformats.org/markup-compatibility/2006">
          <mc:Choice Requires="x14">
            <control shapeId="4127" r:id="rId10" name="Button 31">
              <controlPr defaultSize="0" print="0" autoFill="0" autoPict="0" macro="[0]!MacroInformeAlumnoFilaHorizontal">
                <anchor moveWithCells="1" sizeWithCells="1">
                  <from>
                    <xdr:col>9</xdr:col>
                    <xdr:colOff>127000</xdr:colOff>
                    <xdr:row>6</xdr:row>
                    <xdr:rowOff>57150</xdr:rowOff>
                  </from>
                  <to>
                    <xdr:col>9</xdr:col>
                    <xdr:colOff>1695450</xdr:colOff>
                    <xdr:row>6</xdr:row>
                    <xdr:rowOff>247650</xdr:rowOff>
                  </to>
                </anchor>
              </controlPr>
            </control>
          </mc:Choice>
        </mc:AlternateContent>
        <mc:AlternateContent xmlns:mc="http://schemas.openxmlformats.org/markup-compatibility/2006">
          <mc:Choice Requires="x14">
            <control shapeId="4128" r:id="rId11" name="Button 32">
              <controlPr defaultSize="0" print="0" autoFill="0" autoPict="0" macro="[0]!MacroInformeAlumnoFilaHorizontal">
                <anchor moveWithCells="1" sizeWithCells="1">
                  <from>
                    <xdr:col>9</xdr:col>
                    <xdr:colOff>127000</xdr:colOff>
                    <xdr:row>7</xdr:row>
                    <xdr:rowOff>44450</xdr:rowOff>
                  </from>
                  <to>
                    <xdr:col>9</xdr:col>
                    <xdr:colOff>1695450</xdr:colOff>
                    <xdr:row>7</xdr:row>
                    <xdr:rowOff>234950</xdr:rowOff>
                  </to>
                </anchor>
              </controlPr>
            </control>
          </mc:Choice>
        </mc:AlternateContent>
        <mc:AlternateContent xmlns:mc="http://schemas.openxmlformats.org/markup-compatibility/2006">
          <mc:Choice Requires="x14">
            <control shapeId="4130" r:id="rId12" name="Button 34">
              <controlPr defaultSize="0" print="0" autoFill="0" autoPict="0" macro="[0]!MacroInformeAlumnoFilaHorizontal">
                <anchor moveWithCells="1" sizeWithCells="1">
                  <from>
                    <xdr:col>9</xdr:col>
                    <xdr:colOff>133350</xdr:colOff>
                    <xdr:row>9</xdr:row>
                    <xdr:rowOff>50800</xdr:rowOff>
                  </from>
                  <to>
                    <xdr:col>9</xdr:col>
                    <xdr:colOff>1708150</xdr:colOff>
                    <xdr:row>9</xdr:row>
                    <xdr:rowOff>241300</xdr:rowOff>
                  </to>
                </anchor>
              </controlPr>
            </control>
          </mc:Choice>
        </mc:AlternateContent>
        <mc:AlternateContent xmlns:mc="http://schemas.openxmlformats.org/markup-compatibility/2006">
          <mc:Choice Requires="x14">
            <control shapeId="4131" r:id="rId13" name="Button 35">
              <controlPr defaultSize="0" print="0" autoFill="0" autoPict="0" macro="[0]!MacroInformeAlumnoFilaHorizontal">
                <anchor moveWithCells="1" sizeWithCells="1">
                  <from>
                    <xdr:col>9</xdr:col>
                    <xdr:colOff>133350</xdr:colOff>
                    <xdr:row>10</xdr:row>
                    <xdr:rowOff>50800</xdr:rowOff>
                  </from>
                  <to>
                    <xdr:col>9</xdr:col>
                    <xdr:colOff>1708150</xdr:colOff>
                    <xdr:row>10</xdr:row>
                    <xdr:rowOff>241300</xdr:rowOff>
                  </to>
                </anchor>
              </controlPr>
            </control>
          </mc:Choice>
        </mc:AlternateContent>
        <mc:AlternateContent xmlns:mc="http://schemas.openxmlformats.org/markup-compatibility/2006">
          <mc:Choice Requires="x14">
            <control shapeId="4132" r:id="rId14" name="Button 36">
              <controlPr defaultSize="0" print="0" autoFill="0" autoPict="0" macro="[0]!MacroInformeAlumnoFilaHorizontal">
                <anchor moveWithCells="1" sizeWithCells="1">
                  <from>
                    <xdr:col>9</xdr:col>
                    <xdr:colOff>133350</xdr:colOff>
                    <xdr:row>11</xdr:row>
                    <xdr:rowOff>50800</xdr:rowOff>
                  </from>
                  <to>
                    <xdr:col>9</xdr:col>
                    <xdr:colOff>1708150</xdr:colOff>
                    <xdr:row>11</xdr:row>
                    <xdr:rowOff>241300</xdr:rowOff>
                  </to>
                </anchor>
              </controlPr>
            </control>
          </mc:Choice>
        </mc:AlternateContent>
        <mc:AlternateContent xmlns:mc="http://schemas.openxmlformats.org/markup-compatibility/2006">
          <mc:Choice Requires="x14">
            <control shapeId="4133" r:id="rId15" name="Button 37">
              <controlPr defaultSize="0" print="0" autoFill="0" autoPict="0" macro="[0]!MacroInformeAlumnoFilaHorizontal">
                <anchor moveWithCells="1" sizeWithCells="1">
                  <from>
                    <xdr:col>9</xdr:col>
                    <xdr:colOff>133350</xdr:colOff>
                    <xdr:row>12</xdr:row>
                    <xdr:rowOff>50800</xdr:rowOff>
                  </from>
                  <to>
                    <xdr:col>9</xdr:col>
                    <xdr:colOff>1708150</xdr:colOff>
                    <xdr:row>12</xdr:row>
                    <xdr:rowOff>241300</xdr:rowOff>
                  </to>
                </anchor>
              </controlPr>
            </control>
          </mc:Choice>
        </mc:AlternateContent>
        <mc:AlternateContent xmlns:mc="http://schemas.openxmlformats.org/markup-compatibility/2006">
          <mc:Choice Requires="x14">
            <control shapeId="4134" r:id="rId16" name="Button 38">
              <controlPr defaultSize="0" print="0" autoFill="0" autoPict="0" macro="[0]!MacroInformeAlumnoFilaHorizontal">
                <anchor moveWithCells="1" sizeWithCells="1">
                  <from>
                    <xdr:col>9</xdr:col>
                    <xdr:colOff>133350</xdr:colOff>
                    <xdr:row>13</xdr:row>
                    <xdr:rowOff>50800</xdr:rowOff>
                  </from>
                  <to>
                    <xdr:col>9</xdr:col>
                    <xdr:colOff>1708150</xdr:colOff>
                    <xdr:row>13</xdr:row>
                    <xdr:rowOff>241300</xdr:rowOff>
                  </to>
                </anchor>
              </controlPr>
            </control>
          </mc:Choice>
        </mc:AlternateContent>
        <mc:AlternateContent xmlns:mc="http://schemas.openxmlformats.org/markup-compatibility/2006">
          <mc:Choice Requires="x14">
            <control shapeId="4135" r:id="rId17" name="Button 39">
              <controlPr defaultSize="0" print="0" autoFill="0" autoPict="0" macro="[0]!MacroInformeAlumnoFilaHorizontal">
                <anchor moveWithCells="1" sizeWithCells="1">
                  <from>
                    <xdr:col>9</xdr:col>
                    <xdr:colOff>133350</xdr:colOff>
                    <xdr:row>14</xdr:row>
                    <xdr:rowOff>50800</xdr:rowOff>
                  </from>
                  <to>
                    <xdr:col>9</xdr:col>
                    <xdr:colOff>1708150</xdr:colOff>
                    <xdr:row>14</xdr:row>
                    <xdr:rowOff>241300</xdr:rowOff>
                  </to>
                </anchor>
              </controlPr>
            </control>
          </mc:Choice>
        </mc:AlternateContent>
        <mc:AlternateContent xmlns:mc="http://schemas.openxmlformats.org/markup-compatibility/2006">
          <mc:Choice Requires="x14">
            <control shapeId="4136" r:id="rId18" name="Button 40">
              <controlPr defaultSize="0" print="0" autoFill="0" autoPict="0" macro="[0]!MacroInformeAlumnoFilaHorizontal">
                <anchor moveWithCells="1" sizeWithCells="1">
                  <from>
                    <xdr:col>9</xdr:col>
                    <xdr:colOff>133350</xdr:colOff>
                    <xdr:row>8</xdr:row>
                    <xdr:rowOff>50800</xdr:rowOff>
                  </from>
                  <to>
                    <xdr:col>9</xdr:col>
                    <xdr:colOff>1708150</xdr:colOff>
                    <xdr:row>8</xdr:row>
                    <xdr:rowOff>241300</xdr:rowOff>
                  </to>
                </anchor>
              </controlPr>
            </control>
          </mc:Choice>
        </mc:AlternateContent>
        <mc:AlternateContent xmlns:mc="http://schemas.openxmlformats.org/markup-compatibility/2006">
          <mc:Choice Requires="x14">
            <control shapeId="4137" r:id="rId19" name="Button 41">
              <controlPr defaultSize="0" print="0" autoFill="0" autoPict="0" macro="[0]!MacroInformeAlumnoFilaHorizontal">
                <anchor moveWithCells="1" sizeWithCells="1">
                  <from>
                    <xdr:col>9</xdr:col>
                    <xdr:colOff>133350</xdr:colOff>
                    <xdr:row>17</xdr:row>
                    <xdr:rowOff>50800</xdr:rowOff>
                  </from>
                  <to>
                    <xdr:col>9</xdr:col>
                    <xdr:colOff>1708150</xdr:colOff>
                    <xdr:row>17</xdr:row>
                    <xdr:rowOff>241300</xdr:rowOff>
                  </to>
                </anchor>
              </controlPr>
            </control>
          </mc:Choice>
        </mc:AlternateContent>
        <mc:AlternateContent xmlns:mc="http://schemas.openxmlformats.org/markup-compatibility/2006">
          <mc:Choice Requires="x14">
            <control shapeId="4138" r:id="rId20" name="Button 42">
              <controlPr defaultSize="0" print="0" autoFill="0" autoPict="0" macro="[0]!MacroInformeAlumnoFilaHorizontal">
                <anchor moveWithCells="1" sizeWithCells="1">
                  <from>
                    <xdr:col>9</xdr:col>
                    <xdr:colOff>133350</xdr:colOff>
                    <xdr:row>18</xdr:row>
                    <xdr:rowOff>50800</xdr:rowOff>
                  </from>
                  <to>
                    <xdr:col>9</xdr:col>
                    <xdr:colOff>1708150</xdr:colOff>
                    <xdr:row>18</xdr:row>
                    <xdr:rowOff>241300</xdr:rowOff>
                  </to>
                </anchor>
              </controlPr>
            </control>
          </mc:Choice>
        </mc:AlternateContent>
        <mc:AlternateContent xmlns:mc="http://schemas.openxmlformats.org/markup-compatibility/2006">
          <mc:Choice Requires="x14">
            <control shapeId="4139" r:id="rId21" name="Button 43">
              <controlPr defaultSize="0" print="0" autoFill="0" autoPict="0" macro="[0]!MacroInformeAlumnoFilaHorizontal">
                <anchor moveWithCells="1" sizeWithCells="1">
                  <from>
                    <xdr:col>9</xdr:col>
                    <xdr:colOff>133350</xdr:colOff>
                    <xdr:row>19</xdr:row>
                    <xdr:rowOff>50800</xdr:rowOff>
                  </from>
                  <to>
                    <xdr:col>9</xdr:col>
                    <xdr:colOff>1708150</xdr:colOff>
                    <xdr:row>19</xdr:row>
                    <xdr:rowOff>241300</xdr:rowOff>
                  </to>
                </anchor>
              </controlPr>
            </control>
          </mc:Choice>
        </mc:AlternateContent>
        <mc:AlternateContent xmlns:mc="http://schemas.openxmlformats.org/markup-compatibility/2006">
          <mc:Choice Requires="x14">
            <control shapeId="4140" r:id="rId22" name="Button 44">
              <controlPr defaultSize="0" print="0" autoFill="0" autoPict="0" macro="[0]!MacroInformeAlumnoFilaHorizontal">
                <anchor moveWithCells="1" sizeWithCells="1">
                  <from>
                    <xdr:col>9</xdr:col>
                    <xdr:colOff>133350</xdr:colOff>
                    <xdr:row>20</xdr:row>
                    <xdr:rowOff>50800</xdr:rowOff>
                  </from>
                  <to>
                    <xdr:col>9</xdr:col>
                    <xdr:colOff>1708150</xdr:colOff>
                    <xdr:row>20</xdr:row>
                    <xdr:rowOff>241300</xdr:rowOff>
                  </to>
                </anchor>
              </controlPr>
            </control>
          </mc:Choice>
        </mc:AlternateContent>
        <mc:AlternateContent xmlns:mc="http://schemas.openxmlformats.org/markup-compatibility/2006">
          <mc:Choice Requires="x14">
            <control shapeId="4141" r:id="rId23" name="Button 45">
              <controlPr defaultSize="0" print="0" autoFill="0" autoPict="0" macro="[0]!MacroInformeAlumnoFilaHorizontal">
                <anchor moveWithCells="1" sizeWithCells="1">
                  <from>
                    <xdr:col>9</xdr:col>
                    <xdr:colOff>133350</xdr:colOff>
                    <xdr:row>21</xdr:row>
                    <xdr:rowOff>50800</xdr:rowOff>
                  </from>
                  <to>
                    <xdr:col>9</xdr:col>
                    <xdr:colOff>1708150</xdr:colOff>
                    <xdr:row>21</xdr:row>
                    <xdr:rowOff>241300</xdr:rowOff>
                  </to>
                </anchor>
              </controlPr>
            </control>
          </mc:Choice>
        </mc:AlternateContent>
        <mc:AlternateContent xmlns:mc="http://schemas.openxmlformats.org/markup-compatibility/2006">
          <mc:Choice Requires="x14">
            <control shapeId="4142" r:id="rId24" name="Button 46">
              <controlPr defaultSize="0" print="0" autoFill="0" autoPict="0" macro="[0]!MacroInformeAlumnoFilaHorizontal">
                <anchor moveWithCells="1" sizeWithCells="1">
                  <from>
                    <xdr:col>9</xdr:col>
                    <xdr:colOff>133350</xdr:colOff>
                    <xdr:row>22</xdr:row>
                    <xdr:rowOff>50800</xdr:rowOff>
                  </from>
                  <to>
                    <xdr:col>9</xdr:col>
                    <xdr:colOff>1708150</xdr:colOff>
                    <xdr:row>22</xdr:row>
                    <xdr:rowOff>241300</xdr:rowOff>
                  </to>
                </anchor>
              </controlPr>
            </control>
          </mc:Choice>
        </mc:AlternateContent>
        <mc:AlternateContent xmlns:mc="http://schemas.openxmlformats.org/markup-compatibility/2006">
          <mc:Choice Requires="x14">
            <control shapeId="4143" r:id="rId25" name="Button 47">
              <controlPr defaultSize="0" print="0" autoFill="0" autoPict="0" macro="[0]!MacroInformeAlumnoFilaHorizontal">
                <anchor moveWithCells="1" sizeWithCells="1">
                  <from>
                    <xdr:col>9</xdr:col>
                    <xdr:colOff>133350</xdr:colOff>
                    <xdr:row>23</xdr:row>
                    <xdr:rowOff>50800</xdr:rowOff>
                  </from>
                  <to>
                    <xdr:col>9</xdr:col>
                    <xdr:colOff>1708150</xdr:colOff>
                    <xdr:row>23</xdr:row>
                    <xdr:rowOff>241300</xdr:rowOff>
                  </to>
                </anchor>
              </controlPr>
            </control>
          </mc:Choice>
        </mc:AlternateContent>
        <mc:AlternateContent xmlns:mc="http://schemas.openxmlformats.org/markup-compatibility/2006">
          <mc:Choice Requires="x14">
            <control shapeId="4144" r:id="rId26" name="Button 48">
              <controlPr defaultSize="0" print="0" autoFill="0" autoPict="0" macro="[0]!MacroInformeAlumnoFilaHorizontal">
                <anchor moveWithCells="1" sizeWithCells="1">
                  <from>
                    <xdr:col>9</xdr:col>
                    <xdr:colOff>133350</xdr:colOff>
                    <xdr:row>24</xdr:row>
                    <xdr:rowOff>50800</xdr:rowOff>
                  </from>
                  <to>
                    <xdr:col>9</xdr:col>
                    <xdr:colOff>1708150</xdr:colOff>
                    <xdr:row>24</xdr:row>
                    <xdr:rowOff>241300</xdr:rowOff>
                  </to>
                </anchor>
              </controlPr>
            </control>
          </mc:Choice>
        </mc:AlternateContent>
        <mc:AlternateContent xmlns:mc="http://schemas.openxmlformats.org/markup-compatibility/2006">
          <mc:Choice Requires="x14">
            <control shapeId="4145" r:id="rId27" name="Button 49">
              <controlPr defaultSize="0" print="0" autoFill="0" autoPict="0" macro="[0]!MacroInformeAlumnoFilaHorizontal">
                <anchor moveWithCells="1" sizeWithCells="1">
                  <from>
                    <xdr:col>9</xdr:col>
                    <xdr:colOff>133350</xdr:colOff>
                    <xdr:row>25</xdr:row>
                    <xdr:rowOff>50800</xdr:rowOff>
                  </from>
                  <to>
                    <xdr:col>9</xdr:col>
                    <xdr:colOff>1708150</xdr:colOff>
                    <xdr:row>25</xdr:row>
                    <xdr:rowOff>241300</xdr:rowOff>
                  </to>
                </anchor>
              </controlPr>
            </control>
          </mc:Choice>
        </mc:AlternateContent>
        <mc:AlternateContent xmlns:mc="http://schemas.openxmlformats.org/markup-compatibility/2006">
          <mc:Choice Requires="x14">
            <control shapeId="4146" r:id="rId28" name="Button 50">
              <controlPr defaultSize="0" print="0" autoFill="0" autoPict="0" macro="[0]!MacroInformeAlumnoFilaHorizontal">
                <anchor moveWithCells="1" sizeWithCells="1">
                  <from>
                    <xdr:col>9</xdr:col>
                    <xdr:colOff>133350</xdr:colOff>
                    <xdr:row>26</xdr:row>
                    <xdr:rowOff>50800</xdr:rowOff>
                  </from>
                  <to>
                    <xdr:col>9</xdr:col>
                    <xdr:colOff>1708150</xdr:colOff>
                    <xdr:row>26</xdr:row>
                    <xdr:rowOff>241300</xdr:rowOff>
                  </to>
                </anchor>
              </controlPr>
            </control>
          </mc:Choice>
        </mc:AlternateContent>
        <mc:AlternateContent xmlns:mc="http://schemas.openxmlformats.org/markup-compatibility/2006">
          <mc:Choice Requires="x14">
            <control shapeId="4147" r:id="rId29" name="Button 51">
              <controlPr defaultSize="0" print="0" autoFill="0" autoPict="0" macro="[0]!MacroInformeAlumnoFilaHorizontal">
                <anchor moveWithCells="1" sizeWithCells="1">
                  <from>
                    <xdr:col>9</xdr:col>
                    <xdr:colOff>133350</xdr:colOff>
                    <xdr:row>27</xdr:row>
                    <xdr:rowOff>50800</xdr:rowOff>
                  </from>
                  <to>
                    <xdr:col>9</xdr:col>
                    <xdr:colOff>1708150</xdr:colOff>
                    <xdr:row>27</xdr:row>
                    <xdr:rowOff>241300</xdr:rowOff>
                  </to>
                </anchor>
              </controlPr>
            </control>
          </mc:Choice>
        </mc:AlternateContent>
        <mc:AlternateContent xmlns:mc="http://schemas.openxmlformats.org/markup-compatibility/2006">
          <mc:Choice Requires="x14">
            <control shapeId="4148" r:id="rId30" name="Button 52">
              <controlPr defaultSize="0" print="0" autoFill="0" autoPict="0" macro="[0]!MacroInformeAlumnoFilaHorizontal">
                <anchor moveWithCells="1" sizeWithCells="1">
                  <from>
                    <xdr:col>9</xdr:col>
                    <xdr:colOff>133350</xdr:colOff>
                    <xdr:row>28</xdr:row>
                    <xdr:rowOff>50800</xdr:rowOff>
                  </from>
                  <to>
                    <xdr:col>9</xdr:col>
                    <xdr:colOff>1708150</xdr:colOff>
                    <xdr:row>28</xdr:row>
                    <xdr:rowOff>241300</xdr:rowOff>
                  </to>
                </anchor>
              </controlPr>
            </control>
          </mc:Choice>
        </mc:AlternateContent>
        <mc:AlternateContent xmlns:mc="http://schemas.openxmlformats.org/markup-compatibility/2006">
          <mc:Choice Requires="x14">
            <control shapeId="4149" r:id="rId31" name="Button 53">
              <controlPr defaultSize="0" print="0" autoFill="0" autoPict="0" macro="[0]!MacroInformeAlumnoFilaHorizontal">
                <anchor moveWithCells="1" sizeWithCells="1">
                  <from>
                    <xdr:col>9</xdr:col>
                    <xdr:colOff>133350</xdr:colOff>
                    <xdr:row>31</xdr:row>
                    <xdr:rowOff>50800</xdr:rowOff>
                  </from>
                  <to>
                    <xdr:col>9</xdr:col>
                    <xdr:colOff>1708150</xdr:colOff>
                    <xdr:row>31</xdr:row>
                    <xdr:rowOff>241300</xdr:rowOff>
                  </to>
                </anchor>
              </controlPr>
            </control>
          </mc:Choice>
        </mc:AlternateContent>
        <mc:AlternateContent xmlns:mc="http://schemas.openxmlformats.org/markup-compatibility/2006">
          <mc:Choice Requires="x14">
            <control shapeId="4150" r:id="rId32" name="Button 54">
              <controlPr defaultSize="0" print="0" autoFill="0" autoPict="0" macro="[0]!MacroInformeAlumnoFilaHorizontal">
                <anchor moveWithCells="1" sizeWithCells="1">
                  <from>
                    <xdr:col>9</xdr:col>
                    <xdr:colOff>133350</xdr:colOff>
                    <xdr:row>32</xdr:row>
                    <xdr:rowOff>50800</xdr:rowOff>
                  </from>
                  <to>
                    <xdr:col>9</xdr:col>
                    <xdr:colOff>1708150</xdr:colOff>
                    <xdr:row>32</xdr:row>
                    <xdr:rowOff>241300</xdr:rowOff>
                  </to>
                </anchor>
              </controlPr>
            </control>
          </mc:Choice>
        </mc:AlternateContent>
        <mc:AlternateContent xmlns:mc="http://schemas.openxmlformats.org/markup-compatibility/2006">
          <mc:Choice Requires="x14">
            <control shapeId="4151" r:id="rId33" name="Button 55">
              <controlPr defaultSize="0" print="0" autoFill="0" autoPict="0" macro="[0]!MacroInformeAlumnoFilaHorizontal">
                <anchor moveWithCells="1" sizeWithCells="1">
                  <from>
                    <xdr:col>9</xdr:col>
                    <xdr:colOff>133350</xdr:colOff>
                    <xdr:row>33</xdr:row>
                    <xdr:rowOff>50800</xdr:rowOff>
                  </from>
                  <to>
                    <xdr:col>9</xdr:col>
                    <xdr:colOff>1708150</xdr:colOff>
                    <xdr:row>33</xdr:row>
                    <xdr:rowOff>241300</xdr:rowOff>
                  </to>
                </anchor>
              </controlPr>
            </control>
          </mc:Choice>
        </mc:AlternateContent>
        <mc:AlternateContent xmlns:mc="http://schemas.openxmlformats.org/markup-compatibility/2006">
          <mc:Choice Requires="x14">
            <control shapeId="4152" r:id="rId34" name="Button 56">
              <controlPr defaultSize="0" print="0" autoFill="0" autoPict="0" macro="[0]!MacroInformeAlumnoFilaHorizontal">
                <anchor moveWithCells="1" sizeWithCells="1">
                  <from>
                    <xdr:col>9</xdr:col>
                    <xdr:colOff>133350</xdr:colOff>
                    <xdr:row>34</xdr:row>
                    <xdr:rowOff>50800</xdr:rowOff>
                  </from>
                  <to>
                    <xdr:col>9</xdr:col>
                    <xdr:colOff>1708150</xdr:colOff>
                    <xdr:row>34</xdr:row>
                    <xdr:rowOff>241300</xdr:rowOff>
                  </to>
                </anchor>
              </controlPr>
            </control>
          </mc:Choice>
        </mc:AlternateContent>
        <mc:AlternateContent xmlns:mc="http://schemas.openxmlformats.org/markup-compatibility/2006">
          <mc:Choice Requires="x14">
            <control shapeId="4153" r:id="rId35" name="Button 57">
              <controlPr defaultSize="0" print="0" autoFill="0" autoPict="0" macro="[0]!MacroInformeAlumnoFilaHorizontal">
                <anchor moveWithCells="1" sizeWithCells="1">
                  <from>
                    <xdr:col>9</xdr:col>
                    <xdr:colOff>133350</xdr:colOff>
                    <xdr:row>35</xdr:row>
                    <xdr:rowOff>50800</xdr:rowOff>
                  </from>
                  <to>
                    <xdr:col>9</xdr:col>
                    <xdr:colOff>1708150</xdr:colOff>
                    <xdr:row>35</xdr:row>
                    <xdr:rowOff>241300</xdr:rowOff>
                  </to>
                </anchor>
              </controlPr>
            </control>
          </mc:Choice>
        </mc:AlternateContent>
        <mc:AlternateContent xmlns:mc="http://schemas.openxmlformats.org/markup-compatibility/2006">
          <mc:Choice Requires="x14">
            <control shapeId="4154" r:id="rId36" name="Button 58">
              <controlPr defaultSize="0" print="0" autoFill="0" autoPict="0" macro="[0]!MacroInformeAlumnoFilaHorizontal">
                <anchor moveWithCells="1" sizeWithCells="1">
                  <from>
                    <xdr:col>9</xdr:col>
                    <xdr:colOff>133350</xdr:colOff>
                    <xdr:row>36</xdr:row>
                    <xdr:rowOff>50800</xdr:rowOff>
                  </from>
                  <to>
                    <xdr:col>9</xdr:col>
                    <xdr:colOff>1708150</xdr:colOff>
                    <xdr:row>36</xdr:row>
                    <xdr:rowOff>241300</xdr:rowOff>
                  </to>
                </anchor>
              </controlPr>
            </control>
          </mc:Choice>
        </mc:AlternateContent>
        <mc:AlternateContent xmlns:mc="http://schemas.openxmlformats.org/markup-compatibility/2006">
          <mc:Choice Requires="x14">
            <control shapeId="4155" r:id="rId37" name="Button 59">
              <controlPr defaultSize="0" print="0" autoFill="0" autoPict="0" macro="[0]!MacroInformeAlumnoFilaHorizontal">
                <anchor moveWithCells="1" sizeWithCells="1">
                  <from>
                    <xdr:col>9</xdr:col>
                    <xdr:colOff>133350</xdr:colOff>
                    <xdr:row>37</xdr:row>
                    <xdr:rowOff>50800</xdr:rowOff>
                  </from>
                  <to>
                    <xdr:col>9</xdr:col>
                    <xdr:colOff>1708150</xdr:colOff>
                    <xdr:row>37</xdr:row>
                    <xdr:rowOff>241300</xdr:rowOff>
                  </to>
                </anchor>
              </controlPr>
            </control>
          </mc:Choice>
        </mc:AlternateContent>
        <mc:AlternateContent xmlns:mc="http://schemas.openxmlformats.org/markup-compatibility/2006">
          <mc:Choice Requires="x14">
            <control shapeId="4156" r:id="rId38" name="Button 60">
              <controlPr defaultSize="0" print="0" autoFill="0" autoPict="0" macro="[0]!MacroInformeAlumnoFilaHorizontal">
                <anchor moveWithCells="1" sizeWithCells="1">
                  <from>
                    <xdr:col>9</xdr:col>
                    <xdr:colOff>133350</xdr:colOff>
                    <xdr:row>38</xdr:row>
                    <xdr:rowOff>50800</xdr:rowOff>
                  </from>
                  <to>
                    <xdr:col>9</xdr:col>
                    <xdr:colOff>1708150</xdr:colOff>
                    <xdr:row>38</xdr:row>
                    <xdr:rowOff>241300</xdr:rowOff>
                  </to>
                </anchor>
              </controlPr>
            </control>
          </mc:Choice>
        </mc:AlternateContent>
        <mc:AlternateContent xmlns:mc="http://schemas.openxmlformats.org/markup-compatibility/2006">
          <mc:Choice Requires="x14">
            <control shapeId="4157" r:id="rId39" name="Button 61">
              <controlPr defaultSize="0" print="0" autoFill="0" autoPict="0" macro="[0]!MacroInformeAlumnoFilaHorizontal">
                <anchor moveWithCells="1" sizeWithCells="1">
                  <from>
                    <xdr:col>9</xdr:col>
                    <xdr:colOff>133350</xdr:colOff>
                    <xdr:row>39</xdr:row>
                    <xdr:rowOff>50800</xdr:rowOff>
                  </from>
                  <to>
                    <xdr:col>9</xdr:col>
                    <xdr:colOff>1708150</xdr:colOff>
                    <xdr:row>39</xdr:row>
                    <xdr:rowOff>241300</xdr:rowOff>
                  </to>
                </anchor>
              </controlPr>
            </control>
          </mc:Choice>
        </mc:AlternateContent>
        <mc:AlternateContent xmlns:mc="http://schemas.openxmlformats.org/markup-compatibility/2006">
          <mc:Choice Requires="x14">
            <control shapeId="4158" r:id="rId40" name="Button 62">
              <controlPr defaultSize="0" print="0" autoFill="0" autoPict="0" macro="[0]!MacroInformeAlumnoFilaHorizontal">
                <anchor moveWithCells="1" sizeWithCells="1">
                  <from>
                    <xdr:col>9</xdr:col>
                    <xdr:colOff>133350</xdr:colOff>
                    <xdr:row>40</xdr:row>
                    <xdr:rowOff>50800</xdr:rowOff>
                  </from>
                  <to>
                    <xdr:col>9</xdr:col>
                    <xdr:colOff>1708150</xdr:colOff>
                    <xdr:row>40</xdr:row>
                    <xdr:rowOff>241300</xdr:rowOff>
                  </to>
                </anchor>
              </controlPr>
            </control>
          </mc:Choice>
        </mc:AlternateContent>
        <mc:AlternateContent xmlns:mc="http://schemas.openxmlformats.org/markup-compatibility/2006">
          <mc:Choice Requires="x14">
            <control shapeId="4159" r:id="rId41" name="Button 63">
              <controlPr defaultSize="0" print="0" autoFill="0" autoPict="0" macro="[0]!MacroInformeAlumnoFilaHorizontal">
                <anchor moveWithCells="1" sizeWithCells="1">
                  <from>
                    <xdr:col>9</xdr:col>
                    <xdr:colOff>133350</xdr:colOff>
                    <xdr:row>41</xdr:row>
                    <xdr:rowOff>50800</xdr:rowOff>
                  </from>
                  <to>
                    <xdr:col>9</xdr:col>
                    <xdr:colOff>1708150</xdr:colOff>
                    <xdr:row>41</xdr:row>
                    <xdr:rowOff>241300</xdr:rowOff>
                  </to>
                </anchor>
              </controlPr>
            </control>
          </mc:Choice>
        </mc:AlternateContent>
        <mc:AlternateContent xmlns:mc="http://schemas.openxmlformats.org/markup-compatibility/2006">
          <mc:Choice Requires="x14">
            <control shapeId="4160" r:id="rId42" name="Button 64">
              <controlPr defaultSize="0" print="0" autoFill="0" autoPict="0" macro="[0]!MacroInformeAlumnoFilaHorizontal">
                <anchor moveWithCells="1" sizeWithCells="1">
                  <from>
                    <xdr:col>9</xdr:col>
                    <xdr:colOff>133350</xdr:colOff>
                    <xdr:row>42</xdr:row>
                    <xdr:rowOff>50800</xdr:rowOff>
                  </from>
                  <to>
                    <xdr:col>9</xdr:col>
                    <xdr:colOff>1708150</xdr:colOff>
                    <xdr:row>42</xdr:row>
                    <xdr:rowOff>241300</xdr:rowOff>
                  </to>
                </anchor>
              </controlPr>
            </control>
          </mc:Choice>
        </mc:AlternateContent>
        <mc:AlternateContent xmlns:mc="http://schemas.openxmlformats.org/markup-compatibility/2006">
          <mc:Choice Requires="x14">
            <control shapeId="4161" r:id="rId43" name="Button 65">
              <controlPr defaultSize="0" print="0" autoFill="0" autoPict="0" macro="[0]!MacroInformeAlumnoFilaHorizontal">
                <anchor moveWithCells="1" sizeWithCells="1">
                  <from>
                    <xdr:col>9</xdr:col>
                    <xdr:colOff>133350</xdr:colOff>
                    <xdr:row>43</xdr:row>
                    <xdr:rowOff>50800</xdr:rowOff>
                  </from>
                  <to>
                    <xdr:col>9</xdr:col>
                    <xdr:colOff>1708150</xdr:colOff>
                    <xdr:row>43</xdr:row>
                    <xdr:rowOff>241300</xdr:rowOff>
                  </to>
                </anchor>
              </controlPr>
            </control>
          </mc:Choice>
        </mc:AlternateContent>
        <mc:AlternateContent xmlns:mc="http://schemas.openxmlformats.org/markup-compatibility/2006">
          <mc:Choice Requires="x14">
            <control shapeId="4162" r:id="rId44" name="Button 66">
              <controlPr defaultSize="0" print="0" autoFill="0" autoPict="0" macro="[0]!MacroInformeAlumnoFilaHorizontal">
                <anchor moveWithCells="1" sizeWithCells="1">
                  <from>
                    <xdr:col>9</xdr:col>
                    <xdr:colOff>133350</xdr:colOff>
                    <xdr:row>46</xdr:row>
                    <xdr:rowOff>50800</xdr:rowOff>
                  </from>
                  <to>
                    <xdr:col>9</xdr:col>
                    <xdr:colOff>1708150</xdr:colOff>
                    <xdr:row>46</xdr:row>
                    <xdr:rowOff>241300</xdr:rowOff>
                  </to>
                </anchor>
              </controlPr>
            </control>
          </mc:Choice>
        </mc:AlternateContent>
        <mc:AlternateContent xmlns:mc="http://schemas.openxmlformats.org/markup-compatibility/2006">
          <mc:Choice Requires="x14">
            <control shapeId="4163" r:id="rId45" name="Button 67">
              <controlPr defaultSize="0" print="0" autoFill="0" autoPict="0" macro="[0]!MacroInformeAlumnoFilaHorizontal">
                <anchor moveWithCells="1" sizeWithCells="1">
                  <from>
                    <xdr:col>9</xdr:col>
                    <xdr:colOff>133350</xdr:colOff>
                    <xdr:row>47</xdr:row>
                    <xdr:rowOff>50800</xdr:rowOff>
                  </from>
                  <to>
                    <xdr:col>9</xdr:col>
                    <xdr:colOff>1708150</xdr:colOff>
                    <xdr:row>47</xdr:row>
                    <xdr:rowOff>241300</xdr:rowOff>
                  </to>
                </anchor>
              </controlPr>
            </control>
          </mc:Choice>
        </mc:AlternateContent>
        <mc:AlternateContent xmlns:mc="http://schemas.openxmlformats.org/markup-compatibility/2006">
          <mc:Choice Requires="x14">
            <control shapeId="4164" r:id="rId46" name="Button 68">
              <controlPr defaultSize="0" print="0" autoFill="0" autoPict="0" macro="[0]!MacroInformeAlumnoFilaHorizontal">
                <anchor moveWithCells="1" sizeWithCells="1">
                  <from>
                    <xdr:col>9</xdr:col>
                    <xdr:colOff>133350</xdr:colOff>
                    <xdr:row>48</xdr:row>
                    <xdr:rowOff>50800</xdr:rowOff>
                  </from>
                  <to>
                    <xdr:col>9</xdr:col>
                    <xdr:colOff>1708150</xdr:colOff>
                    <xdr:row>48</xdr:row>
                    <xdr:rowOff>241300</xdr:rowOff>
                  </to>
                </anchor>
              </controlPr>
            </control>
          </mc:Choice>
        </mc:AlternateContent>
        <mc:AlternateContent xmlns:mc="http://schemas.openxmlformats.org/markup-compatibility/2006">
          <mc:Choice Requires="x14">
            <control shapeId="4165" r:id="rId47" name="Button 69">
              <controlPr defaultSize="0" print="0" autoFill="0" autoPict="0" macro="[0]!MacroInformeAlumnoFilaHorizontal">
                <anchor moveWithCells="1" sizeWithCells="1">
                  <from>
                    <xdr:col>9</xdr:col>
                    <xdr:colOff>133350</xdr:colOff>
                    <xdr:row>50</xdr:row>
                    <xdr:rowOff>50800</xdr:rowOff>
                  </from>
                  <to>
                    <xdr:col>9</xdr:col>
                    <xdr:colOff>1708150</xdr:colOff>
                    <xdr:row>50</xdr:row>
                    <xdr:rowOff>241300</xdr:rowOff>
                  </to>
                </anchor>
              </controlPr>
            </control>
          </mc:Choice>
        </mc:AlternateContent>
        <mc:AlternateContent xmlns:mc="http://schemas.openxmlformats.org/markup-compatibility/2006">
          <mc:Choice Requires="x14">
            <control shapeId="4166" r:id="rId48" name="Button 70">
              <controlPr defaultSize="0" print="0" autoFill="0" autoPict="0" macro="[0]!MacroInformeAlumnoFilaHorizontal">
                <anchor moveWithCells="1" sizeWithCells="1">
                  <from>
                    <xdr:col>9</xdr:col>
                    <xdr:colOff>133350</xdr:colOff>
                    <xdr:row>49</xdr:row>
                    <xdr:rowOff>50800</xdr:rowOff>
                  </from>
                  <to>
                    <xdr:col>9</xdr:col>
                    <xdr:colOff>1708150</xdr:colOff>
                    <xdr:row>49</xdr:row>
                    <xdr:rowOff>241300</xdr:rowOff>
                  </to>
                </anchor>
              </controlPr>
            </control>
          </mc:Choice>
        </mc:AlternateContent>
        <mc:AlternateContent xmlns:mc="http://schemas.openxmlformats.org/markup-compatibility/2006">
          <mc:Choice Requires="x14">
            <control shapeId="4167" r:id="rId49" name="Button 71">
              <controlPr defaultSize="0" print="0" autoFill="0" autoPict="0" macro="[0]!MacroInformeAlumnoFilaHorizontal">
                <anchor moveWithCells="1" sizeWithCells="1">
                  <from>
                    <xdr:col>9</xdr:col>
                    <xdr:colOff>133350</xdr:colOff>
                    <xdr:row>51</xdr:row>
                    <xdr:rowOff>50800</xdr:rowOff>
                  </from>
                  <to>
                    <xdr:col>9</xdr:col>
                    <xdr:colOff>1708150</xdr:colOff>
                    <xdr:row>51</xdr:row>
                    <xdr:rowOff>241300</xdr:rowOff>
                  </to>
                </anchor>
              </controlPr>
            </control>
          </mc:Choice>
        </mc:AlternateContent>
        <mc:AlternateContent xmlns:mc="http://schemas.openxmlformats.org/markup-compatibility/2006">
          <mc:Choice Requires="x14">
            <control shapeId="4168" r:id="rId50" name="Button 72">
              <controlPr defaultSize="0" print="0" autoFill="0" autoPict="0" macro="[0]!MacroInformeAlumnoFilaHorizontal">
                <anchor moveWithCells="1" sizeWithCells="1">
                  <from>
                    <xdr:col>9</xdr:col>
                    <xdr:colOff>133350</xdr:colOff>
                    <xdr:row>52</xdr:row>
                    <xdr:rowOff>50800</xdr:rowOff>
                  </from>
                  <to>
                    <xdr:col>9</xdr:col>
                    <xdr:colOff>1708150</xdr:colOff>
                    <xdr:row>52</xdr:row>
                    <xdr:rowOff>241300</xdr:rowOff>
                  </to>
                </anchor>
              </controlPr>
            </control>
          </mc:Choice>
        </mc:AlternateContent>
        <mc:AlternateContent xmlns:mc="http://schemas.openxmlformats.org/markup-compatibility/2006">
          <mc:Choice Requires="x14">
            <control shapeId="4169" r:id="rId51" name="Button 73">
              <controlPr defaultSize="0" print="0" autoFill="0" autoPict="0" macro="[0]!MacroInformeAlumnoFilaHorizontal">
                <anchor moveWithCells="1" sizeWithCells="1">
                  <from>
                    <xdr:col>9</xdr:col>
                    <xdr:colOff>133350</xdr:colOff>
                    <xdr:row>53</xdr:row>
                    <xdr:rowOff>50800</xdr:rowOff>
                  </from>
                  <to>
                    <xdr:col>9</xdr:col>
                    <xdr:colOff>1708150</xdr:colOff>
                    <xdr:row>53</xdr:row>
                    <xdr:rowOff>241300</xdr:rowOff>
                  </to>
                </anchor>
              </controlPr>
            </control>
          </mc:Choice>
        </mc:AlternateContent>
        <mc:AlternateContent xmlns:mc="http://schemas.openxmlformats.org/markup-compatibility/2006">
          <mc:Choice Requires="x14">
            <control shapeId="4170" r:id="rId52" name="Button 74">
              <controlPr defaultSize="0" print="0" autoFill="0" autoPict="0" macro="[0]!MacroInformeAlumnoFilaHorizontal">
                <anchor moveWithCells="1" sizeWithCells="1">
                  <from>
                    <xdr:col>9</xdr:col>
                    <xdr:colOff>133350</xdr:colOff>
                    <xdr:row>54</xdr:row>
                    <xdr:rowOff>50800</xdr:rowOff>
                  </from>
                  <to>
                    <xdr:col>9</xdr:col>
                    <xdr:colOff>1708150</xdr:colOff>
                    <xdr:row>54</xdr:row>
                    <xdr:rowOff>241300</xdr:rowOff>
                  </to>
                </anchor>
              </controlPr>
            </control>
          </mc:Choice>
        </mc:AlternateContent>
        <mc:AlternateContent xmlns:mc="http://schemas.openxmlformats.org/markup-compatibility/2006">
          <mc:Choice Requires="x14">
            <control shapeId="4171" r:id="rId53" name="Button 75">
              <controlPr defaultSize="0" print="0" autoFill="0" autoPict="0" macro="[0]!MacroInformeAlumnoFilaHorizontal">
                <anchor moveWithCells="1" sizeWithCells="1">
                  <from>
                    <xdr:col>9</xdr:col>
                    <xdr:colOff>133350</xdr:colOff>
                    <xdr:row>55</xdr:row>
                    <xdr:rowOff>50800</xdr:rowOff>
                  </from>
                  <to>
                    <xdr:col>9</xdr:col>
                    <xdr:colOff>1708150</xdr:colOff>
                    <xdr:row>55</xdr:row>
                    <xdr:rowOff>241300</xdr:rowOff>
                  </to>
                </anchor>
              </controlPr>
            </control>
          </mc:Choice>
        </mc:AlternateContent>
        <mc:AlternateContent xmlns:mc="http://schemas.openxmlformats.org/markup-compatibility/2006">
          <mc:Choice Requires="x14">
            <control shapeId="4172" r:id="rId54" name="Button 76">
              <controlPr defaultSize="0" print="0" autoFill="0" autoPict="0" macro="[0]!MacroInformeAlumnoFilaHorizontal">
                <anchor moveWithCells="1" sizeWithCells="1">
                  <from>
                    <xdr:col>9</xdr:col>
                    <xdr:colOff>133350</xdr:colOff>
                    <xdr:row>56</xdr:row>
                    <xdr:rowOff>50800</xdr:rowOff>
                  </from>
                  <to>
                    <xdr:col>9</xdr:col>
                    <xdr:colOff>1708150</xdr:colOff>
                    <xdr:row>56</xdr:row>
                    <xdr:rowOff>241300</xdr:rowOff>
                  </to>
                </anchor>
              </controlPr>
            </control>
          </mc:Choice>
        </mc:AlternateContent>
        <mc:AlternateContent xmlns:mc="http://schemas.openxmlformats.org/markup-compatibility/2006">
          <mc:Choice Requires="x14">
            <control shapeId="4173" r:id="rId55" name="Button 77">
              <controlPr defaultSize="0" print="0" autoFill="0" autoPict="0" macro="[0]!MacroInformeAlumnoFilaHorizontal">
                <anchor moveWithCells="1" sizeWithCells="1">
                  <from>
                    <xdr:col>9</xdr:col>
                    <xdr:colOff>133350</xdr:colOff>
                    <xdr:row>57</xdr:row>
                    <xdr:rowOff>50800</xdr:rowOff>
                  </from>
                  <to>
                    <xdr:col>9</xdr:col>
                    <xdr:colOff>1708150</xdr:colOff>
                    <xdr:row>57</xdr:row>
                    <xdr:rowOff>241300</xdr:rowOff>
                  </to>
                </anchor>
              </controlPr>
            </control>
          </mc:Choice>
        </mc:AlternateContent>
        <mc:AlternateContent xmlns:mc="http://schemas.openxmlformats.org/markup-compatibility/2006">
          <mc:Choice Requires="x14">
            <control shapeId="4174" r:id="rId56" name="Button 78">
              <controlPr defaultSize="0" print="0" autoFill="0" autoPict="0" macro="[0]!MacroInformeAlumnoFilaHorizontal">
                <anchor moveWithCells="1" sizeWithCells="1">
                  <from>
                    <xdr:col>9</xdr:col>
                    <xdr:colOff>133350</xdr:colOff>
                    <xdr:row>58</xdr:row>
                    <xdr:rowOff>50800</xdr:rowOff>
                  </from>
                  <to>
                    <xdr:col>9</xdr:col>
                    <xdr:colOff>1708150</xdr:colOff>
                    <xdr:row>58</xdr:row>
                    <xdr:rowOff>241300</xdr:rowOff>
                  </to>
                </anchor>
              </controlPr>
            </control>
          </mc:Choice>
        </mc:AlternateContent>
        <mc:AlternateContent xmlns:mc="http://schemas.openxmlformats.org/markup-compatibility/2006">
          <mc:Choice Requires="x14">
            <control shapeId="4175" r:id="rId57" name="Button 79">
              <controlPr defaultSize="0" print="0" autoFill="0" autoPict="0" macro="[0]!MacroInformeAlumnoFilaHorizontal">
                <anchor moveWithCells="1" sizeWithCells="1">
                  <from>
                    <xdr:col>9</xdr:col>
                    <xdr:colOff>133350</xdr:colOff>
                    <xdr:row>61</xdr:row>
                    <xdr:rowOff>50800</xdr:rowOff>
                  </from>
                  <to>
                    <xdr:col>9</xdr:col>
                    <xdr:colOff>1708150</xdr:colOff>
                    <xdr:row>61</xdr:row>
                    <xdr:rowOff>241300</xdr:rowOff>
                  </to>
                </anchor>
              </controlPr>
            </control>
          </mc:Choice>
        </mc:AlternateContent>
        <mc:AlternateContent xmlns:mc="http://schemas.openxmlformats.org/markup-compatibility/2006">
          <mc:Choice Requires="x14">
            <control shapeId="4176" r:id="rId58" name="Button 80">
              <controlPr defaultSize="0" print="0" autoFill="0" autoPict="0" macro="[0]!MacroInformeAlumnoFilaHorizontal">
                <anchor moveWithCells="1" sizeWithCells="1">
                  <from>
                    <xdr:col>9</xdr:col>
                    <xdr:colOff>133350</xdr:colOff>
                    <xdr:row>62</xdr:row>
                    <xdr:rowOff>50800</xdr:rowOff>
                  </from>
                  <to>
                    <xdr:col>9</xdr:col>
                    <xdr:colOff>1708150</xdr:colOff>
                    <xdr:row>62</xdr:row>
                    <xdr:rowOff>241300</xdr:rowOff>
                  </to>
                </anchor>
              </controlPr>
            </control>
          </mc:Choice>
        </mc:AlternateContent>
        <mc:AlternateContent xmlns:mc="http://schemas.openxmlformats.org/markup-compatibility/2006">
          <mc:Choice Requires="x14">
            <control shapeId="4177" r:id="rId59" name="Button 81">
              <controlPr defaultSize="0" print="0" autoFill="0" autoPict="0" macro="[0]!MacroInformeAlumnoFilaHorizontal">
                <anchor moveWithCells="1" sizeWithCells="1">
                  <from>
                    <xdr:col>9</xdr:col>
                    <xdr:colOff>133350</xdr:colOff>
                    <xdr:row>63</xdr:row>
                    <xdr:rowOff>50800</xdr:rowOff>
                  </from>
                  <to>
                    <xdr:col>9</xdr:col>
                    <xdr:colOff>1708150</xdr:colOff>
                    <xdr:row>63</xdr:row>
                    <xdr:rowOff>241300</xdr:rowOff>
                  </to>
                </anchor>
              </controlPr>
            </control>
          </mc:Choice>
        </mc:AlternateContent>
        <mc:AlternateContent xmlns:mc="http://schemas.openxmlformats.org/markup-compatibility/2006">
          <mc:Choice Requires="x14">
            <control shapeId="4178" r:id="rId60" name="Button 82">
              <controlPr defaultSize="0" print="0" autoFill="0" autoPict="0" macro="[0]!MacroInformeAlumnoFilaHorizontal">
                <anchor moveWithCells="1" sizeWithCells="1">
                  <from>
                    <xdr:col>9</xdr:col>
                    <xdr:colOff>133350</xdr:colOff>
                    <xdr:row>64</xdr:row>
                    <xdr:rowOff>50800</xdr:rowOff>
                  </from>
                  <to>
                    <xdr:col>9</xdr:col>
                    <xdr:colOff>1708150</xdr:colOff>
                    <xdr:row>64</xdr:row>
                    <xdr:rowOff>241300</xdr:rowOff>
                  </to>
                </anchor>
              </controlPr>
            </control>
          </mc:Choice>
        </mc:AlternateContent>
        <mc:AlternateContent xmlns:mc="http://schemas.openxmlformats.org/markup-compatibility/2006">
          <mc:Choice Requires="x14">
            <control shapeId="4179" r:id="rId61" name="Button 83">
              <controlPr defaultSize="0" print="0" autoFill="0" autoPict="0" macro="[0]!MacroInformeAlumnoFilaHorizontal">
                <anchor moveWithCells="1" sizeWithCells="1">
                  <from>
                    <xdr:col>9</xdr:col>
                    <xdr:colOff>133350</xdr:colOff>
                    <xdr:row>65</xdr:row>
                    <xdr:rowOff>50800</xdr:rowOff>
                  </from>
                  <to>
                    <xdr:col>9</xdr:col>
                    <xdr:colOff>1708150</xdr:colOff>
                    <xdr:row>65</xdr:row>
                    <xdr:rowOff>241300</xdr:rowOff>
                  </to>
                </anchor>
              </controlPr>
            </control>
          </mc:Choice>
        </mc:AlternateContent>
        <mc:AlternateContent xmlns:mc="http://schemas.openxmlformats.org/markup-compatibility/2006">
          <mc:Choice Requires="x14">
            <control shapeId="4180" r:id="rId62" name="Button 84">
              <controlPr defaultSize="0" print="0" autoFill="0" autoPict="0" macro="[0]!MacroInformeAlumnoFilaHorizontal">
                <anchor moveWithCells="1" sizeWithCells="1">
                  <from>
                    <xdr:col>9</xdr:col>
                    <xdr:colOff>133350</xdr:colOff>
                    <xdr:row>66</xdr:row>
                    <xdr:rowOff>50800</xdr:rowOff>
                  </from>
                  <to>
                    <xdr:col>9</xdr:col>
                    <xdr:colOff>1708150</xdr:colOff>
                    <xdr:row>66</xdr:row>
                    <xdr:rowOff>241300</xdr:rowOff>
                  </to>
                </anchor>
              </controlPr>
            </control>
          </mc:Choice>
        </mc:AlternateContent>
        <mc:AlternateContent xmlns:mc="http://schemas.openxmlformats.org/markup-compatibility/2006">
          <mc:Choice Requires="x14">
            <control shapeId="4181" r:id="rId63" name="Button 85">
              <controlPr defaultSize="0" print="0" autoFill="0" autoPict="0" macro="[0]!MacroInformeAlumnoFilaHorizontal">
                <anchor moveWithCells="1" sizeWithCells="1">
                  <from>
                    <xdr:col>9</xdr:col>
                    <xdr:colOff>133350</xdr:colOff>
                    <xdr:row>67</xdr:row>
                    <xdr:rowOff>50800</xdr:rowOff>
                  </from>
                  <to>
                    <xdr:col>9</xdr:col>
                    <xdr:colOff>1708150</xdr:colOff>
                    <xdr:row>67</xdr:row>
                    <xdr:rowOff>241300</xdr:rowOff>
                  </to>
                </anchor>
              </controlPr>
            </control>
          </mc:Choice>
        </mc:AlternateContent>
        <mc:AlternateContent xmlns:mc="http://schemas.openxmlformats.org/markup-compatibility/2006">
          <mc:Choice Requires="x14">
            <control shapeId="4182" r:id="rId64" name="Button 86">
              <controlPr defaultSize="0" print="0" autoFill="0" autoPict="0" macro="[0]!MacroInformeAlumnoFilaHorizontal">
                <anchor moveWithCells="1" sizeWithCells="1">
                  <from>
                    <xdr:col>9</xdr:col>
                    <xdr:colOff>133350</xdr:colOff>
                    <xdr:row>68</xdr:row>
                    <xdr:rowOff>50800</xdr:rowOff>
                  </from>
                  <to>
                    <xdr:col>9</xdr:col>
                    <xdr:colOff>1708150</xdr:colOff>
                    <xdr:row>68</xdr:row>
                    <xdr:rowOff>241300</xdr:rowOff>
                  </to>
                </anchor>
              </controlPr>
            </control>
          </mc:Choice>
        </mc:AlternateContent>
        <mc:AlternateContent xmlns:mc="http://schemas.openxmlformats.org/markup-compatibility/2006">
          <mc:Choice Requires="x14">
            <control shapeId="4183" r:id="rId65" name="Button 87">
              <controlPr defaultSize="0" print="0" autoFill="0" autoPict="0" macro="[0]!MacroInformeAlumnoFilaHorizontal">
                <anchor moveWithCells="1" sizeWithCells="1">
                  <from>
                    <xdr:col>9</xdr:col>
                    <xdr:colOff>133350</xdr:colOff>
                    <xdr:row>69</xdr:row>
                    <xdr:rowOff>50800</xdr:rowOff>
                  </from>
                  <to>
                    <xdr:col>9</xdr:col>
                    <xdr:colOff>1708150</xdr:colOff>
                    <xdr:row>69</xdr:row>
                    <xdr:rowOff>241300</xdr:rowOff>
                  </to>
                </anchor>
              </controlPr>
            </control>
          </mc:Choice>
        </mc:AlternateContent>
        <mc:AlternateContent xmlns:mc="http://schemas.openxmlformats.org/markup-compatibility/2006">
          <mc:Choice Requires="x14">
            <control shapeId="4184" r:id="rId66" name="Button 88">
              <controlPr defaultSize="0" print="0" autoFill="0" autoPict="0" macro="[0]!MacroInformeAlumnoFilaHorizontal">
                <anchor moveWithCells="1" sizeWithCells="1">
                  <from>
                    <xdr:col>9</xdr:col>
                    <xdr:colOff>133350</xdr:colOff>
                    <xdr:row>70</xdr:row>
                    <xdr:rowOff>50800</xdr:rowOff>
                  </from>
                  <to>
                    <xdr:col>9</xdr:col>
                    <xdr:colOff>1708150</xdr:colOff>
                    <xdr:row>70</xdr:row>
                    <xdr:rowOff>241300</xdr:rowOff>
                  </to>
                </anchor>
              </controlPr>
            </control>
          </mc:Choice>
        </mc:AlternateContent>
        <mc:AlternateContent xmlns:mc="http://schemas.openxmlformats.org/markup-compatibility/2006">
          <mc:Choice Requires="x14">
            <control shapeId="4185" r:id="rId67" name="Button 89">
              <controlPr defaultSize="0" print="0" autoFill="0" autoPict="0" macro="[0]!MacroInformeAlumnoFilaHorizontal">
                <anchor moveWithCells="1" sizeWithCells="1">
                  <from>
                    <xdr:col>9</xdr:col>
                    <xdr:colOff>133350</xdr:colOff>
                    <xdr:row>71</xdr:row>
                    <xdr:rowOff>50800</xdr:rowOff>
                  </from>
                  <to>
                    <xdr:col>9</xdr:col>
                    <xdr:colOff>1708150</xdr:colOff>
                    <xdr:row>71</xdr:row>
                    <xdr:rowOff>241300</xdr:rowOff>
                  </to>
                </anchor>
              </controlPr>
            </control>
          </mc:Choice>
        </mc:AlternateContent>
        <mc:AlternateContent xmlns:mc="http://schemas.openxmlformats.org/markup-compatibility/2006">
          <mc:Choice Requires="x14">
            <control shapeId="4186" r:id="rId68" name="Button 90">
              <controlPr defaultSize="0" print="0" autoFill="0" autoPict="0" macro="[0]!MacroInformeAlumnoFilaHorizontal">
                <anchor moveWithCells="1" sizeWithCells="1">
                  <from>
                    <xdr:col>9</xdr:col>
                    <xdr:colOff>133350</xdr:colOff>
                    <xdr:row>72</xdr:row>
                    <xdr:rowOff>50800</xdr:rowOff>
                  </from>
                  <to>
                    <xdr:col>9</xdr:col>
                    <xdr:colOff>1708150</xdr:colOff>
                    <xdr:row>72</xdr:row>
                    <xdr:rowOff>241300</xdr:rowOff>
                  </to>
                </anchor>
              </controlPr>
            </control>
          </mc:Choice>
        </mc:AlternateContent>
        <mc:AlternateContent xmlns:mc="http://schemas.openxmlformats.org/markup-compatibility/2006">
          <mc:Choice Requires="x14">
            <control shapeId="4187" r:id="rId69" name="Button 91">
              <controlPr defaultSize="0" print="0" autoFill="0" autoPict="0" macro="[0]!MacroInformeAlumnoFilaHorizontal">
                <anchor moveWithCells="1" sizeWithCells="1">
                  <from>
                    <xdr:col>9</xdr:col>
                    <xdr:colOff>133350</xdr:colOff>
                    <xdr:row>73</xdr:row>
                    <xdr:rowOff>50800</xdr:rowOff>
                  </from>
                  <to>
                    <xdr:col>9</xdr:col>
                    <xdr:colOff>1708150</xdr:colOff>
                    <xdr:row>73</xdr:row>
                    <xdr:rowOff>241300</xdr:rowOff>
                  </to>
                </anchor>
              </controlPr>
            </control>
          </mc:Choice>
        </mc:AlternateContent>
        <mc:AlternateContent xmlns:mc="http://schemas.openxmlformats.org/markup-compatibility/2006">
          <mc:Choice Requires="x14">
            <control shapeId="4188" r:id="rId70" name="Button 92">
              <controlPr defaultSize="0" print="0" autoFill="0" autoPict="0" macro="[0]!MacroInformeAlumnoFilaHorizontal">
                <anchor moveWithCells="1" sizeWithCells="1">
                  <from>
                    <xdr:col>9</xdr:col>
                    <xdr:colOff>133350</xdr:colOff>
                    <xdr:row>76</xdr:row>
                    <xdr:rowOff>50800</xdr:rowOff>
                  </from>
                  <to>
                    <xdr:col>9</xdr:col>
                    <xdr:colOff>1708150</xdr:colOff>
                    <xdr:row>76</xdr:row>
                    <xdr:rowOff>241300</xdr:rowOff>
                  </to>
                </anchor>
              </controlPr>
            </control>
          </mc:Choice>
        </mc:AlternateContent>
        <mc:AlternateContent xmlns:mc="http://schemas.openxmlformats.org/markup-compatibility/2006">
          <mc:Choice Requires="x14">
            <control shapeId="4189" r:id="rId71" name="Button 93">
              <controlPr defaultSize="0" print="0" autoFill="0" autoPict="0" macro="[0]!MacroInformeAlumnoFilaHorizontal">
                <anchor moveWithCells="1" sizeWithCells="1">
                  <from>
                    <xdr:col>9</xdr:col>
                    <xdr:colOff>133350</xdr:colOff>
                    <xdr:row>77</xdr:row>
                    <xdr:rowOff>50800</xdr:rowOff>
                  </from>
                  <to>
                    <xdr:col>9</xdr:col>
                    <xdr:colOff>1708150</xdr:colOff>
                    <xdr:row>77</xdr:row>
                    <xdr:rowOff>241300</xdr:rowOff>
                  </to>
                </anchor>
              </controlPr>
            </control>
          </mc:Choice>
        </mc:AlternateContent>
        <mc:AlternateContent xmlns:mc="http://schemas.openxmlformats.org/markup-compatibility/2006">
          <mc:Choice Requires="x14">
            <control shapeId="4190" r:id="rId72" name="Button 94">
              <controlPr defaultSize="0" print="0" autoFill="0" autoPict="0" macro="[0]!MacroInformeAlumnoFilaHorizontal">
                <anchor moveWithCells="1" sizeWithCells="1">
                  <from>
                    <xdr:col>9</xdr:col>
                    <xdr:colOff>133350</xdr:colOff>
                    <xdr:row>78</xdr:row>
                    <xdr:rowOff>50800</xdr:rowOff>
                  </from>
                  <to>
                    <xdr:col>9</xdr:col>
                    <xdr:colOff>1708150</xdr:colOff>
                    <xdr:row>78</xdr:row>
                    <xdr:rowOff>241300</xdr:rowOff>
                  </to>
                </anchor>
              </controlPr>
            </control>
          </mc:Choice>
        </mc:AlternateContent>
        <mc:AlternateContent xmlns:mc="http://schemas.openxmlformats.org/markup-compatibility/2006">
          <mc:Choice Requires="x14">
            <control shapeId="4191" r:id="rId73" name="Button 95">
              <controlPr defaultSize="0" print="0" autoFill="0" autoPict="0" macro="[0]!MacroInformeAlumnoFilaHorizontal">
                <anchor moveWithCells="1" sizeWithCells="1">
                  <from>
                    <xdr:col>9</xdr:col>
                    <xdr:colOff>133350</xdr:colOff>
                    <xdr:row>79</xdr:row>
                    <xdr:rowOff>50800</xdr:rowOff>
                  </from>
                  <to>
                    <xdr:col>9</xdr:col>
                    <xdr:colOff>1708150</xdr:colOff>
                    <xdr:row>79</xdr:row>
                    <xdr:rowOff>241300</xdr:rowOff>
                  </to>
                </anchor>
              </controlPr>
            </control>
          </mc:Choice>
        </mc:AlternateContent>
        <mc:AlternateContent xmlns:mc="http://schemas.openxmlformats.org/markup-compatibility/2006">
          <mc:Choice Requires="x14">
            <control shapeId="4192" r:id="rId74" name="Button 96">
              <controlPr defaultSize="0" print="0" autoFill="0" autoPict="0" macro="[0]!MacroInformeAlumnoFilaHorizontal">
                <anchor moveWithCells="1" sizeWithCells="1">
                  <from>
                    <xdr:col>9</xdr:col>
                    <xdr:colOff>133350</xdr:colOff>
                    <xdr:row>80</xdr:row>
                    <xdr:rowOff>50800</xdr:rowOff>
                  </from>
                  <to>
                    <xdr:col>9</xdr:col>
                    <xdr:colOff>1708150</xdr:colOff>
                    <xdr:row>80</xdr:row>
                    <xdr:rowOff>241300</xdr:rowOff>
                  </to>
                </anchor>
              </controlPr>
            </control>
          </mc:Choice>
        </mc:AlternateContent>
        <mc:AlternateContent xmlns:mc="http://schemas.openxmlformats.org/markup-compatibility/2006">
          <mc:Choice Requires="x14">
            <control shapeId="4193" r:id="rId75" name="Button 97">
              <controlPr defaultSize="0" print="0" autoFill="0" autoPict="0" macro="[0]!MacroInformeAlumnoFilaHorizontal">
                <anchor moveWithCells="1" sizeWithCells="1">
                  <from>
                    <xdr:col>9</xdr:col>
                    <xdr:colOff>133350</xdr:colOff>
                    <xdr:row>81</xdr:row>
                    <xdr:rowOff>50800</xdr:rowOff>
                  </from>
                  <to>
                    <xdr:col>9</xdr:col>
                    <xdr:colOff>1708150</xdr:colOff>
                    <xdr:row>81</xdr:row>
                    <xdr:rowOff>241300</xdr:rowOff>
                  </to>
                </anchor>
              </controlPr>
            </control>
          </mc:Choice>
        </mc:AlternateContent>
        <mc:AlternateContent xmlns:mc="http://schemas.openxmlformats.org/markup-compatibility/2006">
          <mc:Choice Requires="x14">
            <control shapeId="4194" r:id="rId76" name="Button 98">
              <controlPr defaultSize="0" print="0" autoFill="0" autoPict="0" macro="[0]!MacroInformeAlumnoFilaHorizontal">
                <anchor moveWithCells="1" sizeWithCells="1">
                  <from>
                    <xdr:col>9</xdr:col>
                    <xdr:colOff>133350</xdr:colOff>
                    <xdr:row>82</xdr:row>
                    <xdr:rowOff>50800</xdr:rowOff>
                  </from>
                  <to>
                    <xdr:col>9</xdr:col>
                    <xdr:colOff>1708150</xdr:colOff>
                    <xdr:row>82</xdr:row>
                    <xdr:rowOff>241300</xdr:rowOff>
                  </to>
                </anchor>
              </controlPr>
            </control>
          </mc:Choice>
        </mc:AlternateContent>
        <mc:AlternateContent xmlns:mc="http://schemas.openxmlformats.org/markup-compatibility/2006">
          <mc:Choice Requires="x14">
            <control shapeId="4195" r:id="rId77" name="Button 99">
              <controlPr defaultSize="0" print="0" autoFill="0" autoPict="0" macro="[0]!MacroInformeAlumnoFilaHorizontal">
                <anchor moveWithCells="1" sizeWithCells="1">
                  <from>
                    <xdr:col>9</xdr:col>
                    <xdr:colOff>133350</xdr:colOff>
                    <xdr:row>83</xdr:row>
                    <xdr:rowOff>50800</xdr:rowOff>
                  </from>
                  <to>
                    <xdr:col>9</xdr:col>
                    <xdr:colOff>1708150</xdr:colOff>
                    <xdr:row>83</xdr:row>
                    <xdr:rowOff>241300</xdr:rowOff>
                  </to>
                </anchor>
              </controlPr>
            </control>
          </mc:Choice>
        </mc:AlternateContent>
        <mc:AlternateContent xmlns:mc="http://schemas.openxmlformats.org/markup-compatibility/2006">
          <mc:Choice Requires="x14">
            <control shapeId="4196" r:id="rId78" name="Button 100">
              <controlPr defaultSize="0" print="0" autoFill="0" autoPict="0" macro="[0]!MacroInformeAlumnoFilaHorizontal">
                <anchor moveWithCells="1" sizeWithCells="1">
                  <from>
                    <xdr:col>9</xdr:col>
                    <xdr:colOff>133350</xdr:colOff>
                    <xdr:row>84</xdr:row>
                    <xdr:rowOff>50800</xdr:rowOff>
                  </from>
                  <to>
                    <xdr:col>9</xdr:col>
                    <xdr:colOff>1708150</xdr:colOff>
                    <xdr:row>84</xdr:row>
                    <xdr:rowOff>241300</xdr:rowOff>
                  </to>
                </anchor>
              </controlPr>
            </control>
          </mc:Choice>
        </mc:AlternateContent>
        <mc:AlternateContent xmlns:mc="http://schemas.openxmlformats.org/markup-compatibility/2006">
          <mc:Choice Requires="x14">
            <control shapeId="4197" r:id="rId79" name="Button 101">
              <controlPr defaultSize="0" print="0" autoFill="0" autoPict="0" macro="[0]!MacroInformeAlumnoFilaHorizontal">
                <anchor moveWithCells="1" sizeWithCells="1">
                  <from>
                    <xdr:col>9</xdr:col>
                    <xdr:colOff>133350</xdr:colOff>
                    <xdr:row>85</xdr:row>
                    <xdr:rowOff>50800</xdr:rowOff>
                  </from>
                  <to>
                    <xdr:col>9</xdr:col>
                    <xdr:colOff>1708150</xdr:colOff>
                    <xdr:row>85</xdr:row>
                    <xdr:rowOff>241300</xdr:rowOff>
                  </to>
                </anchor>
              </controlPr>
            </control>
          </mc:Choice>
        </mc:AlternateContent>
        <mc:AlternateContent xmlns:mc="http://schemas.openxmlformats.org/markup-compatibility/2006">
          <mc:Choice Requires="x14">
            <control shapeId="4199" r:id="rId80" name="Button 103">
              <controlPr defaultSize="0" print="0" autoFill="0" autoPict="0" macro="[0]!MacroInformeAlumnoFilaHorizontal">
                <anchor moveWithCells="1" sizeWithCells="1">
                  <from>
                    <xdr:col>9</xdr:col>
                    <xdr:colOff>133350</xdr:colOff>
                    <xdr:row>86</xdr:row>
                    <xdr:rowOff>50800</xdr:rowOff>
                  </from>
                  <to>
                    <xdr:col>9</xdr:col>
                    <xdr:colOff>1708150</xdr:colOff>
                    <xdr:row>86</xdr:row>
                    <xdr:rowOff>241300</xdr:rowOff>
                  </to>
                </anchor>
              </controlPr>
            </control>
          </mc:Choice>
        </mc:AlternateContent>
        <mc:AlternateContent xmlns:mc="http://schemas.openxmlformats.org/markup-compatibility/2006">
          <mc:Choice Requires="x14">
            <control shapeId="4200" r:id="rId81" name="Button 104">
              <controlPr defaultSize="0" print="0" autoFill="0" autoPict="0" macro="[0]!MacroInformeAlumnoFilaHorizontal">
                <anchor moveWithCells="1" sizeWithCells="1">
                  <from>
                    <xdr:col>9</xdr:col>
                    <xdr:colOff>133350</xdr:colOff>
                    <xdr:row>87</xdr:row>
                    <xdr:rowOff>50800</xdr:rowOff>
                  </from>
                  <to>
                    <xdr:col>9</xdr:col>
                    <xdr:colOff>1708150</xdr:colOff>
                    <xdr:row>87</xdr:row>
                    <xdr:rowOff>241300</xdr:rowOff>
                  </to>
                </anchor>
              </controlPr>
            </control>
          </mc:Choice>
        </mc:AlternateContent>
        <mc:AlternateContent xmlns:mc="http://schemas.openxmlformats.org/markup-compatibility/2006">
          <mc:Choice Requires="x14">
            <control shapeId="4201" r:id="rId82" name="Button 105">
              <controlPr defaultSize="0" print="0" autoFill="0" autoPict="0" macro="[0]!MacroInformeAlumnoFilaHorizontal">
                <anchor moveWithCells="1" sizeWithCells="1">
                  <from>
                    <xdr:col>9</xdr:col>
                    <xdr:colOff>133350</xdr:colOff>
                    <xdr:row>92</xdr:row>
                    <xdr:rowOff>50800</xdr:rowOff>
                  </from>
                  <to>
                    <xdr:col>9</xdr:col>
                    <xdr:colOff>1708150</xdr:colOff>
                    <xdr:row>92</xdr:row>
                    <xdr:rowOff>241300</xdr:rowOff>
                  </to>
                </anchor>
              </controlPr>
            </control>
          </mc:Choice>
        </mc:AlternateContent>
        <mc:AlternateContent xmlns:mc="http://schemas.openxmlformats.org/markup-compatibility/2006">
          <mc:Choice Requires="x14">
            <control shapeId="4202" r:id="rId83" name="Button 106">
              <controlPr defaultSize="0" print="0" autoFill="0" autoPict="0" macro="[0]!MacroInformeAlumnoFilaHorizontal">
                <anchor moveWithCells="1" sizeWithCells="1">
                  <from>
                    <xdr:col>9</xdr:col>
                    <xdr:colOff>133350</xdr:colOff>
                    <xdr:row>93</xdr:row>
                    <xdr:rowOff>50800</xdr:rowOff>
                  </from>
                  <to>
                    <xdr:col>9</xdr:col>
                    <xdr:colOff>1708150</xdr:colOff>
                    <xdr:row>93</xdr:row>
                    <xdr:rowOff>241300</xdr:rowOff>
                  </to>
                </anchor>
              </controlPr>
            </control>
          </mc:Choice>
        </mc:AlternateContent>
        <mc:AlternateContent xmlns:mc="http://schemas.openxmlformats.org/markup-compatibility/2006">
          <mc:Choice Requires="x14">
            <control shapeId="4203" r:id="rId84" name="Button 107">
              <controlPr defaultSize="0" print="0" autoFill="0" autoPict="0" macro="[0]!MacroInformeAlumnoFilaHorizontal">
                <anchor moveWithCells="1" sizeWithCells="1">
                  <from>
                    <xdr:col>9</xdr:col>
                    <xdr:colOff>133350</xdr:colOff>
                    <xdr:row>94</xdr:row>
                    <xdr:rowOff>50800</xdr:rowOff>
                  </from>
                  <to>
                    <xdr:col>9</xdr:col>
                    <xdr:colOff>1708150</xdr:colOff>
                    <xdr:row>94</xdr:row>
                    <xdr:rowOff>241300</xdr:rowOff>
                  </to>
                </anchor>
              </controlPr>
            </control>
          </mc:Choice>
        </mc:AlternateContent>
        <mc:AlternateContent xmlns:mc="http://schemas.openxmlformats.org/markup-compatibility/2006">
          <mc:Choice Requires="x14">
            <control shapeId="4204" r:id="rId85" name="Button 108">
              <controlPr defaultSize="0" print="0" autoFill="0" autoPict="0" macro="[0]!MacroInformeAlumnoFilaHorizontal">
                <anchor moveWithCells="1" sizeWithCells="1">
                  <from>
                    <xdr:col>9</xdr:col>
                    <xdr:colOff>133350</xdr:colOff>
                    <xdr:row>95</xdr:row>
                    <xdr:rowOff>50800</xdr:rowOff>
                  </from>
                  <to>
                    <xdr:col>9</xdr:col>
                    <xdr:colOff>1708150</xdr:colOff>
                    <xdr:row>95</xdr:row>
                    <xdr:rowOff>241300</xdr:rowOff>
                  </to>
                </anchor>
              </controlPr>
            </control>
          </mc:Choice>
        </mc:AlternateContent>
        <mc:AlternateContent xmlns:mc="http://schemas.openxmlformats.org/markup-compatibility/2006">
          <mc:Choice Requires="x14">
            <control shapeId="4205" r:id="rId86" name="Button 109">
              <controlPr defaultSize="0" print="0" autoFill="0" autoPict="0" macro="[0]!MacroInformeAlumnoFilaHorizontal">
                <anchor moveWithCells="1" sizeWithCells="1">
                  <from>
                    <xdr:col>9</xdr:col>
                    <xdr:colOff>133350</xdr:colOff>
                    <xdr:row>96</xdr:row>
                    <xdr:rowOff>50800</xdr:rowOff>
                  </from>
                  <to>
                    <xdr:col>9</xdr:col>
                    <xdr:colOff>1708150</xdr:colOff>
                    <xdr:row>96</xdr:row>
                    <xdr:rowOff>241300</xdr:rowOff>
                  </to>
                </anchor>
              </controlPr>
            </control>
          </mc:Choice>
        </mc:AlternateContent>
        <mc:AlternateContent xmlns:mc="http://schemas.openxmlformats.org/markup-compatibility/2006">
          <mc:Choice Requires="x14">
            <control shapeId="4206" r:id="rId87" name="Button 110">
              <controlPr defaultSize="0" print="0" autoFill="0" autoPict="0" macro="[0]!MacroInformeAlumnoFilaHorizontal">
                <anchor moveWithCells="1" sizeWithCells="1">
                  <from>
                    <xdr:col>9</xdr:col>
                    <xdr:colOff>133350</xdr:colOff>
                    <xdr:row>97</xdr:row>
                    <xdr:rowOff>50800</xdr:rowOff>
                  </from>
                  <to>
                    <xdr:col>9</xdr:col>
                    <xdr:colOff>1708150</xdr:colOff>
                    <xdr:row>97</xdr:row>
                    <xdr:rowOff>241300</xdr:rowOff>
                  </to>
                </anchor>
              </controlPr>
            </control>
          </mc:Choice>
        </mc:AlternateContent>
        <mc:AlternateContent xmlns:mc="http://schemas.openxmlformats.org/markup-compatibility/2006">
          <mc:Choice Requires="x14">
            <control shapeId="4207" r:id="rId88" name="Button 111">
              <controlPr defaultSize="0" print="0" autoFill="0" autoPict="0" macro="[0]!MacroInformeAlumnoFilaHorizontal">
                <anchor moveWithCells="1" sizeWithCells="1">
                  <from>
                    <xdr:col>9</xdr:col>
                    <xdr:colOff>133350</xdr:colOff>
                    <xdr:row>98</xdr:row>
                    <xdr:rowOff>50800</xdr:rowOff>
                  </from>
                  <to>
                    <xdr:col>9</xdr:col>
                    <xdr:colOff>1708150</xdr:colOff>
                    <xdr:row>98</xdr:row>
                    <xdr:rowOff>241300</xdr:rowOff>
                  </to>
                </anchor>
              </controlPr>
            </control>
          </mc:Choice>
        </mc:AlternateContent>
        <mc:AlternateContent xmlns:mc="http://schemas.openxmlformats.org/markup-compatibility/2006">
          <mc:Choice Requires="x14">
            <control shapeId="4208" r:id="rId89" name="Button 112">
              <controlPr defaultSize="0" print="0" autoFill="0" autoPict="0" macro="[0]!MacroInformeAlumnoFilaHorizontal">
                <anchor moveWithCells="1" sizeWithCells="1">
                  <from>
                    <xdr:col>9</xdr:col>
                    <xdr:colOff>133350</xdr:colOff>
                    <xdr:row>99</xdr:row>
                    <xdr:rowOff>50800</xdr:rowOff>
                  </from>
                  <to>
                    <xdr:col>9</xdr:col>
                    <xdr:colOff>1708150</xdr:colOff>
                    <xdr:row>99</xdr:row>
                    <xdr:rowOff>241300</xdr:rowOff>
                  </to>
                </anchor>
              </controlPr>
            </control>
          </mc:Choice>
        </mc:AlternateContent>
        <mc:AlternateContent xmlns:mc="http://schemas.openxmlformats.org/markup-compatibility/2006">
          <mc:Choice Requires="x14">
            <control shapeId="4209" r:id="rId90" name="Button 113">
              <controlPr defaultSize="0" print="0" autoFill="0" autoPict="0" macro="[0]!MacroInformeAlumnoFilaHorizontal">
                <anchor moveWithCells="1" sizeWithCells="1">
                  <from>
                    <xdr:col>9</xdr:col>
                    <xdr:colOff>133350</xdr:colOff>
                    <xdr:row>100</xdr:row>
                    <xdr:rowOff>50800</xdr:rowOff>
                  </from>
                  <to>
                    <xdr:col>9</xdr:col>
                    <xdr:colOff>1708150</xdr:colOff>
                    <xdr:row>100</xdr:row>
                    <xdr:rowOff>241300</xdr:rowOff>
                  </to>
                </anchor>
              </controlPr>
            </control>
          </mc:Choice>
        </mc:AlternateContent>
        <mc:AlternateContent xmlns:mc="http://schemas.openxmlformats.org/markup-compatibility/2006">
          <mc:Choice Requires="x14">
            <control shapeId="4210" r:id="rId91" name="Button 114">
              <controlPr defaultSize="0" print="0" autoFill="0" autoPict="0" macro="[0]!MacroInformeAlumnoFilaHorizontal">
                <anchor moveWithCells="1" sizeWithCells="1">
                  <from>
                    <xdr:col>9</xdr:col>
                    <xdr:colOff>133350</xdr:colOff>
                    <xdr:row>101</xdr:row>
                    <xdr:rowOff>50800</xdr:rowOff>
                  </from>
                  <to>
                    <xdr:col>9</xdr:col>
                    <xdr:colOff>1708150</xdr:colOff>
                    <xdr:row>101</xdr:row>
                    <xdr:rowOff>241300</xdr:rowOff>
                  </to>
                </anchor>
              </controlPr>
            </control>
          </mc:Choice>
        </mc:AlternateContent>
        <mc:AlternateContent xmlns:mc="http://schemas.openxmlformats.org/markup-compatibility/2006">
          <mc:Choice Requires="x14">
            <control shapeId="4211" r:id="rId92" name="Button 115">
              <controlPr defaultSize="0" print="0" autoFill="0" autoPict="0" macro="[0]!MacroInformeAlumnoFilaHorizontal">
                <anchor moveWithCells="1" sizeWithCells="1">
                  <from>
                    <xdr:col>9</xdr:col>
                    <xdr:colOff>133350</xdr:colOff>
                    <xdr:row>102</xdr:row>
                    <xdr:rowOff>50800</xdr:rowOff>
                  </from>
                  <to>
                    <xdr:col>9</xdr:col>
                    <xdr:colOff>1708150</xdr:colOff>
                    <xdr:row>102</xdr:row>
                    <xdr:rowOff>241300</xdr:rowOff>
                  </to>
                </anchor>
              </controlPr>
            </control>
          </mc:Choice>
        </mc:AlternateContent>
        <mc:AlternateContent xmlns:mc="http://schemas.openxmlformats.org/markup-compatibility/2006">
          <mc:Choice Requires="x14">
            <control shapeId="4212" r:id="rId93" name="Button 116">
              <controlPr defaultSize="0" print="0" autoFill="0" autoPict="0" macro="[0]!MacroInformeAlumnoFilaHorizontal">
                <anchor moveWithCells="1" sizeWithCells="1">
                  <from>
                    <xdr:col>9</xdr:col>
                    <xdr:colOff>133350</xdr:colOff>
                    <xdr:row>105</xdr:row>
                    <xdr:rowOff>50800</xdr:rowOff>
                  </from>
                  <to>
                    <xdr:col>9</xdr:col>
                    <xdr:colOff>1708150</xdr:colOff>
                    <xdr:row>105</xdr:row>
                    <xdr:rowOff>241300</xdr:rowOff>
                  </to>
                </anchor>
              </controlPr>
            </control>
          </mc:Choice>
        </mc:AlternateContent>
        <mc:AlternateContent xmlns:mc="http://schemas.openxmlformats.org/markup-compatibility/2006">
          <mc:Choice Requires="x14">
            <control shapeId="4213" r:id="rId94" name="Button 117">
              <controlPr defaultSize="0" print="0" autoFill="0" autoPict="0" macro="[0]!MacroInformeAlumnoFilaHorizontal">
                <anchor moveWithCells="1" sizeWithCells="1">
                  <from>
                    <xdr:col>9</xdr:col>
                    <xdr:colOff>133350</xdr:colOff>
                    <xdr:row>106</xdr:row>
                    <xdr:rowOff>50800</xdr:rowOff>
                  </from>
                  <to>
                    <xdr:col>9</xdr:col>
                    <xdr:colOff>1708150</xdr:colOff>
                    <xdr:row>106</xdr:row>
                    <xdr:rowOff>241300</xdr:rowOff>
                  </to>
                </anchor>
              </controlPr>
            </control>
          </mc:Choice>
        </mc:AlternateContent>
        <mc:AlternateContent xmlns:mc="http://schemas.openxmlformats.org/markup-compatibility/2006">
          <mc:Choice Requires="x14">
            <control shapeId="4214" r:id="rId95" name="Button 118">
              <controlPr defaultSize="0" print="0" autoFill="0" autoPict="0" macro="[0]!MacroInformeAlumnoFilaHorizontal">
                <anchor moveWithCells="1" sizeWithCells="1">
                  <from>
                    <xdr:col>9</xdr:col>
                    <xdr:colOff>133350</xdr:colOff>
                    <xdr:row>107</xdr:row>
                    <xdr:rowOff>50800</xdr:rowOff>
                  </from>
                  <to>
                    <xdr:col>9</xdr:col>
                    <xdr:colOff>1708150</xdr:colOff>
                    <xdr:row>107</xdr:row>
                    <xdr:rowOff>241300</xdr:rowOff>
                  </to>
                </anchor>
              </controlPr>
            </control>
          </mc:Choice>
        </mc:AlternateContent>
        <mc:AlternateContent xmlns:mc="http://schemas.openxmlformats.org/markup-compatibility/2006">
          <mc:Choice Requires="x14">
            <control shapeId="4215" r:id="rId96" name="Button 119">
              <controlPr defaultSize="0" print="0" autoFill="0" autoPict="0" macro="[0]!MacroInformeAlumnoFilaHorizontal">
                <anchor moveWithCells="1" sizeWithCells="1">
                  <from>
                    <xdr:col>9</xdr:col>
                    <xdr:colOff>133350</xdr:colOff>
                    <xdr:row>108</xdr:row>
                    <xdr:rowOff>50800</xdr:rowOff>
                  </from>
                  <to>
                    <xdr:col>9</xdr:col>
                    <xdr:colOff>1708150</xdr:colOff>
                    <xdr:row>108</xdr:row>
                    <xdr:rowOff>241300</xdr:rowOff>
                  </to>
                </anchor>
              </controlPr>
            </control>
          </mc:Choice>
        </mc:AlternateContent>
        <mc:AlternateContent xmlns:mc="http://schemas.openxmlformats.org/markup-compatibility/2006">
          <mc:Choice Requires="x14">
            <control shapeId="4216" r:id="rId97" name="Button 120">
              <controlPr defaultSize="0" print="0" autoFill="0" autoPict="0" macro="[0]!MacroInformeAlumnoFilaHorizontal">
                <anchor moveWithCells="1" sizeWithCells="1">
                  <from>
                    <xdr:col>9</xdr:col>
                    <xdr:colOff>133350</xdr:colOff>
                    <xdr:row>109</xdr:row>
                    <xdr:rowOff>50800</xdr:rowOff>
                  </from>
                  <to>
                    <xdr:col>9</xdr:col>
                    <xdr:colOff>1708150</xdr:colOff>
                    <xdr:row>109</xdr:row>
                    <xdr:rowOff>241300</xdr:rowOff>
                  </to>
                </anchor>
              </controlPr>
            </control>
          </mc:Choice>
        </mc:AlternateContent>
        <mc:AlternateContent xmlns:mc="http://schemas.openxmlformats.org/markup-compatibility/2006">
          <mc:Choice Requires="x14">
            <control shapeId="4217" r:id="rId98" name="Button 121">
              <controlPr defaultSize="0" print="0" autoFill="0" autoPict="0" macro="[0]!MacroInformeAlumnoFilaHorizontal">
                <anchor moveWithCells="1" sizeWithCells="1">
                  <from>
                    <xdr:col>9</xdr:col>
                    <xdr:colOff>133350</xdr:colOff>
                    <xdr:row>110</xdr:row>
                    <xdr:rowOff>50800</xdr:rowOff>
                  </from>
                  <to>
                    <xdr:col>9</xdr:col>
                    <xdr:colOff>1708150</xdr:colOff>
                    <xdr:row>110</xdr:row>
                    <xdr:rowOff>241300</xdr:rowOff>
                  </to>
                </anchor>
              </controlPr>
            </control>
          </mc:Choice>
        </mc:AlternateContent>
        <mc:AlternateContent xmlns:mc="http://schemas.openxmlformats.org/markup-compatibility/2006">
          <mc:Choice Requires="x14">
            <control shapeId="4218" r:id="rId99" name="Button 122">
              <controlPr defaultSize="0" print="0" autoFill="0" autoPict="0" macro="[0]!MacroInformeAlumnoFilaHorizontal">
                <anchor moveWithCells="1" sizeWithCells="1">
                  <from>
                    <xdr:col>9</xdr:col>
                    <xdr:colOff>133350</xdr:colOff>
                    <xdr:row>111</xdr:row>
                    <xdr:rowOff>50800</xdr:rowOff>
                  </from>
                  <to>
                    <xdr:col>9</xdr:col>
                    <xdr:colOff>1708150</xdr:colOff>
                    <xdr:row>111</xdr:row>
                    <xdr:rowOff>241300</xdr:rowOff>
                  </to>
                </anchor>
              </controlPr>
            </control>
          </mc:Choice>
        </mc:AlternateContent>
        <mc:AlternateContent xmlns:mc="http://schemas.openxmlformats.org/markup-compatibility/2006">
          <mc:Choice Requires="x14">
            <control shapeId="4220" r:id="rId100" name="Button 124">
              <controlPr defaultSize="0" print="0" autoFill="0" autoPict="0" macro="[0]!MacroInformeAlumnoFilaHorizontal">
                <anchor moveWithCells="1" sizeWithCells="1">
                  <from>
                    <xdr:col>9</xdr:col>
                    <xdr:colOff>133350</xdr:colOff>
                    <xdr:row>112</xdr:row>
                    <xdr:rowOff>50800</xdr:rowOff>
                  </from>
                  <to>
                    <xdr:col>9</xdr:col>
                    <xdr:colOff>1708150</xdr:colOff>
                    <xdr:row>112</xdr:row>
                    <xdr:rowOff>241300</xdr:rowOff>
                  </to>
                </anchor>
              </controlPr>
            </control>
          </mc:Choice>
        </mc:AlternateContent>
        <mc:AlternateContent xmlns:mc="http://schemas.openxmlformats.org/markup-compatibility/2006">
          <mc:Choice Requires="x14">
            <control shapeId="4221" r:id="rId101" name="Button 125">
              <controlPr defaultSize="0" print="0" autoFill="0" autoPict="0" macro="[0]!MacroInformeAlumnoFilaHorizontal">
                <anchor moveWithCells="1" sizeWithCells="1">
                  <from>
                    <xdr:col>9</xdr:col>
                    <xdr:colOff>133350</xdr:colOff>
                    <xdr:row>113</xdr:row>
                    <xdr:rowOff>50800</xdr:rowOff>
                  </from>
                  <to>
                    <xdr:col>9</xdr:col>
                    <xdr:colOff>1708150</xdr:colOff>
                    <xdr:row>113</xdr:row>
                    <xdr:rowOff>241300</xdr:rowOff>
                  </to>
                </anchor>
              </controlPr>
            </control>
          </mc:Choice>
        </mc:AlternateContent>
        <mc:AlternateContent xmlns:mc="http://schemas.openxmlformats.org/markup-compatibility/2006">
          <mc:Choice Requires="x14">
            <control shapeId="4222" r:id="rId102" name="Button 126">
              <controlPr defaultSize="0" print="0" autoFill="0" autoPict="0" macro="[0]!MacroInformeAlumnoFilaHorizontal">
                <anchor moveWithCells="1" sizeWithCells="1">
                  <from>
                    <xdr:col>9</xdr:col>
                    <xdr:colOff>133350</xdr:colOff>
                    <xdr:row>114</xdr:row>
                    <xdr:rowOff>50800</xdr:rowOff>
                  </from>
                  <to>
                    <xdr:col>9</xdr:col>
                    <xdr:colOff>1708150</xdr:colOff>
                    <xdr:row>114</xdr:row>
                    <xdr:rowOff>241300</xdr:rowOff>
                  </to>
                </anchor>
              </controlPr>
            </control>
          </mc:Choice>
        </mc:AlternateContent>
        <mc:AlternateContent xmlns:mc="http://schemas.openxmlformats.org/markup-compatibility/2006">
          <mc:Choice Requires="x14">
            <control shapeId="4224" r:id="rId103" name="Button 128">
              <controlPr defaultSize="0" print="0" autoFill="0" autoPict="0" macro="[0]!MacroInformeAlumnoFilaHorizontal">
                <anchor moveWithCells="1" sizeWithCells="1">
                  <from>
                    <xdr:col>9</xdr:col>
                    <xdr:colOff>133350</xdr:colOff>
                    <xdr:row>115</xdr:row>
                    <xdr:rowOff>50800</xdr:rowOff>
                  </from>
                  <to>
                    <xdr:col>9</xdr:col>
                    <xdr:colOff>1708150</xdr:colOff>
                    <xdr:row>115</xdr:row>
                    <xdr:rowOff>241300</xdr:rowOff>
                  </to>
                </anchor>
              </controlPr>
            </control>
          </mc:Choice>
        </mc:AlternateContent>
        <mc:AlternateContent xmlns:mc="http://schemas.openxmlformats.org/markup-compatibility/2006">
          <mc:Choice Requires="x14">
            <control shapeId="4225" r:id="rId104" name="Button 129">
              <controlPr defaultSize="0" print="0" autoFill="0" autoPict="0" macro="[0]!MacroInformeAlumnoFilaHorizontal">
                <anchor moveWithCells="1" sizeWithCells="1">
                  <from>
                    <xdr:col>9</xdr:col>
                    <xdr:colOff>133350</xdr:colOff>
                    <xdr:row>118</xdr:row>
                    <xdr:rowOff>50800</xdr:rowOff>
                  </from>
                  <to>
                    <xdr:col>9</xdr:col>
                    <xdr:colOff>1708150</xdr:colOff>
                    <xdr:row>118</xdr:row>
                    <xdr:rowOff>241300</xdr:rowOff>
                  </to>
                </anchor>
              </controlPr>
            </control>
          </mc:Choice>
        </mc:AlternateContent>
        <mc:AlternateContent xmlns:mc="http://schemas.openxmlformats.org/markup-compatibility/2006">
          <mc:Choice Requires="x14">
            <control shapeId="4226" r:id="rId105" name="Button 130">
              <controlPr defaultSize="0" print="0" autoFill="0" autoPict="0" macro="[0]!MacroInformeAlumnoFilaHorizontal">
                <anchor moveWithCells="1" sizeWithCells="1">
                  <from>
                    <xdr:col>9</xdr:col>
                    <xdr:colOff>133350</xdr:colOff>
                    <xdr:row>119</xdr:row>
                    <xdr:rowOff>50800</xdr:rowOff>
                  </from>
                  <to>
                    <xdr:col>9</xdr:col>
                    <xdr:colOff>1708150</xdr:colOff>
                    <xdr:row>119</xdr:row>
                    <xdr:rowOff>241300</xdr:rowOff>
                  </to>
                </anchor>
              </controlPr>
            </control>
          </mc:Choice>
        </mc:AlternateContent>
        <mc:AlternateContent xmlns:mc="http://schemas.openxmlformats.org/markup-compatibility/2006">
          <mc:Choice Requires="x14">
            <control shapeId="4227" r:id="rId106" name="Button 131">
              <controlPr defaultSize="0" print="0" autoFill="0" autoPict="0" macro="[0]!MacroInformeAlumnoFilaHorizontal">
                <anchor moveWithCells="1" sizeWithCells="1">
                  <from>
                    <xdr:col>9</xdr:col>
                    <xdr:colOff>133350</xdr:colOff>
                    <xdr:row>120</xdr:row>
                    <xdr:rowOff>50800</xdr:rowOff>
                  </from>
                  <to>
                    <xdr:col>9</xdr:col>
                    <xdr:colOff>1708150</xdr:colOff>
                    <xdr:row>120</xdr:row>
                    <xdr:rowOff>241300</xdr:rowOff>
                  </to>
                </anchor>
              </controlPr>
            </control>
          </mc:Choice>
        </mc:AlternateContent>
        <mc:AlternateContent xmlns:mc="http://schemas.openxmlformats.org/markup-compatibility/2006">
          <mc:Choice Requires="x14">
            <control shapeId="4228" r:id="rId107" name="Button 132">
              <controlPr defaultSize="0" print="0" autoFill="0" autoPict="0" macro="[0]!MacroInformeAlumnoFilaHorizontal">
                <anchor moveWithCells="1" sizeWithCells="1">
                  <from>
                    <xdr:col>9</xdr:col>
                    <xdr:colOff>133350</xdr:colOff>
                    <xdr:row>121</xdr:row>
                    <xdr:rowOff>50800</xdr:rowOff>
                  </from>
                  <to>
                    <xdr:col>9</xdr:col>
                    <xdr:colOff>1708150</xdr:colOff>
                    <xdr:row>121</xdr:row>
                    <xdr:rowOff>241300</xdr:rowOff>
                  </to>
                </anchor>
              </controlPr>
            </control>
          </mc:Choice>
        </mc:AlternateContent>
        <mc:AlternateContent xmlns:mc="http://schemas.openxmlformats.org/markup-compatibility/2006">
          <mc:Choice Requires="x14">
            <control shapeId="4229" r:id="rId108" name="Button 133">
              <controlPr defaultSize="0" print="0" autoFill="0" autoPict="0" macro="[0]!MacroInformeAlumnoFilaHorizontal">
                <anchor moveWithCells="1" sizeWithCells="1">
                  <from>
                    <xdr:col>9</xdr:col>
                    <xdr:colOff>133350</xdr:colOff>
                    <xdr:row>122</xdr:row>
                    <xdr:rowOff>50800</xdr:rowOff>
                  </from>
                  <to>
                    <xdr:col>9</xdr:col>
                    <xdr:colOff>1708150</xdr:colOff>
                    <xdr:row>122</xdr:row>
                    <xdr:rowOff>241300</xdr:rowOff>
                  </to>
                </anchor>
              </controlPr>
            </control>
          </mc:Choice>
        </mc:AlternateContent>
        <mc:AlternateContent xmlns:mc="http://schemas.openxmlformats.org/markup-compatibility/2006">
          <mc:Choice Requires="x14">
            <control shapeId="4230" r:id="rId109" name="Button 134">
              <controlPr defaultSize="0" print="0" autoFill="0" autoPict="0" macro="[0]!MacroInformeAlumnoFilaHorizontal">
                <anchor moveWithCells="1" sizeWithCells="1">
                  <from>
                    <xdr:col>9</xdr:col>
                    <xdr:colOff>133350</xdr:colOff>
                    <xdr:row>123</xdr:row>
                    <xdr:rowOff>50800</xdr:rowOff>
                  </from>
                  <to>
                    <xdr:col>9</xdr:col>
                    <xdr:colOff>1708150</xdr:colOff>
                    <xdr:row>123</xdr:row>
                    <xdr:rowOff>241300</xdr:rowOff>
                  </to>
                </anchor>
              </controlPr>
            </control>
          </mc:Choice>
        </mc:AlternateContent>
        <mc:AlternateContent xmlns:mc="http://schemas.openxmlformats.org/markup-compatibility/2006">
          <mc:Choice Requires="x14">
            <control shapeId="4231" r:id="rId110" name="Button 135">
              <controlPr defaultSize="0" print="0" autoFill="0" autoPict="0" macro="[0]!MacroInformeAlumnoFilaHorizontal">
                <anchor moveWithCells="1" sizeWithCells="1">
                  <from>
                    <xdr:col>9</xdr:col>
                    <xdr:colOff>133350</xdr:colOff>
                    <xdr:row>124</xdr:row>
                    <xdr:rowOff>50800</xdr:rowOff>
                  </from>
                  <to>
                    <xdr:col>9</xdr:col>
                    <xdr:colOff>1708150</xdr:colOff>
                    <xdr:row>124</xdr:row>
                    <xdr:rowOff>241300</xdr:rowOff>
                  </to>
                </anchor>
              </controlPr>
            </control>
          </mc:Choice>
        </mc:AlternateContent>
        <mc:AlternateContent xmlns:mc="http://schemas.openxmlformats.org/markup-compatibility/2006">
          <mc:Choice Requires="x14">
            <control shapeId="4305" r:id="rId111" name="Button 209">
              <controlPr defaultSize="0" print="0" autoFill="0" autoPict="0" macro="[0]!BotonInformeFinal">
                <anchor moveWithCells="1" sizeWithCells="1">
                  <from>
                    <xdr:col>8</xdr:col>
                    <xdr:colOff>82550</xdr:colOff>
                    <xdr:row>125</xdr:row>
                    <xdr:rowOff>50800</xdr:rowOff>
                  </from>
                  <to>
                    <xdr:col>8</xdr:col>
                    <xdr:colOff>2921000</xdr:colOff>
                    <xdr:row>126</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ABFDE-8AA1-4B2E-9385-43C680A70DB4}">
  <sheetPr codeName="Hoja36">
    <pageSetUpPr fitToPage="1"/>
  </sheetPr>
  <dimension ref="A1:AQ119"/>
  <sheetViews>
    <sheetView tabSelected="1" topLeftCell="C1" zoomScale="35" zoomScaleNormal="35" workbookViewId="0"/>
  </sheetViews>
  <sheetFormatPr baseColWidth="10" defaultRowHeight="14.5"/>
  <cols>
    <col min="1" max="1" width="47.54296875" hidden="1" customWidth="1"/>
    <col min="2" max="2" width="35.1796875" hidden="1" customWidth="1"/>
    <col min="37" max="37" width="35.90625" bestFit="1" customWidth="1"/>
    <col min="38" max="39" width="15.54296875" bestFit="1" customWidth="1"/>
    <col min="40" max="41" width="22.453125" bestFit="1" customWidth="1"/>
    <col min="42" max="42" width="13.36328125" bestFit="1" customWidth="1"/>
  </cols>
  <sheetData>
    <row r="1" spans="1:43" ht="28" customHeight="1">
      <c r="Z1" s="96">
        <v>9</v>
      </c>
    </row>
    <row r="2" spans="1:43">
      <c r="AK2" s="191"/>
      <c r="AL2" s="191" t="s">
        <v>54</v>
      </c>
      <c r="AM2" s="191" t="s">
        <v>54</v>
      </c>
      <c r="AN2" s="191" t="s">
        <v>55</v>
      </c>
      <c r="AO2" s="191" t="s">
        <v>55</v>
      </c>
      <c r="AP2" s="191" t="s">
        <v>54</v>
      </c>
      <c r="AQ2" s="192"/>
    </row>
    <row r="3" spans="1:43" ht="18.5">
      <c r="B3" s="77"/>
      <c r="AK3" s="191"/>
      <c r="AL3" s="191" t="s">
        <v>9</v>
      </c>
      <c r="AM3" s="191" t="s">
        <v>10</v>
      </c>
      <c r="AN3" s="191" t="s">
        <v>11</v>
      </c>
      <c r="AO3" s="191" t="s">
        <v>12</v>
      </c>
      <c r="AP3" s="191" t="s">
        <v>13</v>
      </c>
      <c r="AQ3" s="192" t="s">
        <v>14</v>
      </c>
    </row>
    <row r="4" spans="1:43" ht="18.5" thickBot="1">
      <c r="B4" s="78" t="s">
        <v>14</v>
      </c>
      <c r="G4" s="148"/>
      <c r="AK4" s="193" t="s">
        <v>32</v>
      </c>
      <c r="AL4" s="194">
        <v>5.2226041666666676</v>
      </c>
      <c r="AM4" s="194">
        <v>4.9510526315789454</v>
      </c>
      <c r="AN4" s="194">
        <v>5.4078947368421053</v>
      </c>
      <c r="AO4" s="194">
        <v>5.7315789473684209</v>
      </c>
      <c r="AP4" s="194">
        <v>5.3813829787234022</v>
      </c>
      <c r="AQ4" s="194">
        <v>5.392612903225805</v>
      </c>
    </row>
    <row r="5" spans="1:43" ht="18">
      <c r="B5" s="79">
        <v>100</v>
      </c>
      <c r="D5" s="159" t="s">
        <v>101</v>
      </c>
      <c r="E5" s="160"/>
      <c r="F5" s="161"/>
      <c r="G5" s="148"/>
      <c r="H5" s="153" t="s">
        <v>81</v>
      </c>
      <c r="I5" s="154"/>
      <c r="J5" s="149" t="s">
        <v>82</v>
      </c>
      <c r="K5" s="122"/>
      <c r="L5" s="116" t="s">
        <v>84</v>
      </c>
      <c r="M5" s="117"/>
      <c r="AK5" s="193" t="s">
        <v>33</v>
      </c>
      <c r="AL5" s="194">
        <v>5.35</v>
      </c>
      <c r="AM5" s="194">
        <v>5.05</v>
      </c>
      <c r="AN5" s="194">
        <v>5.5</v>
      </c>
      <c r="AO5" s="194">
        <v>6.25</v>
      </c>
      <c r="AP5" s="194">
        <v>5.95</v>
      </c>
      <c r="AQ5" s="194">
        <v>5.6375000000000002</v>
      </c>
    </row>
    <row r="6" spans="1:43" ht="18">
      <c r="A6" s="51" t="s">
        <v>15</v>
      </c>
      <c r="B6" s="80"/>
      <c r="D6" s="162"/>
      <c r="E6" s="152"/>
      <c r="F6" s="163"/>
      <c r="G6" s="148"/>
      <c r="H6" s="155"/>
      <c r="I6" s="156"/>
      <c r="J6" s="150"/>
      <c r="K6" s="123"/>
      <c r="L6" s="118"/>
      <c r="M6" s="119"/>
      <c r="AK6" s="193" t="s">
        <v>34</v>
      </c>
      <c r="AL6" s="194">
        <v>2.1477697952331747</v>
      </c>
      <c r="AM6" s="194">
        <v>2.0848952888936632</v>
      </c>
      <c r="AN6" s="194">
        <v>2.3891345690269663</v>
      </c>
      <c r="AO6" s="194">
        <v>2.7195302674076385</v>
      </c>
      <c r="AP6" s="194">
        <v>2.1957282517322065</v>
      </c>
      <c r="AQ6" s="194">
        <v>1.5603296938089419</v>
      </c>
    </row>
    <row r="7" spans="1:43" ht="18.5" thickBot="1">
      <c r="A7" s="4" t="s">
        <v>30</v>
      </c>
      <c r="B7" s="81">
        <v>8.8350000000000009</v>
      </c>
      <c r="D7" s="162"/>
      <c r="E7" s="152"/>
      <c r="F7" s="163"/>
      <c r="G7" s="148"/>
      <c r="H7" s="155"/>
      <c r="I7" s="156"/>
      <c r="J7" s="151"/>
      <c r="K7" s="124"/>
      <c r="L7" s="118"/>
      <c r="M7" s="119"/>
      <c r="AK7" s="193" t="s">
        <v>35</v>
      </c>
      <c r="AL7" s="194">
        <v>0.41124498941377574</v>
      </c>
      <c r="AM7" s="194">
        <v>0.42110141903879683</v>
      </c>
      <c r="AN7" s="194">
        <v>0.44178644098795483</v>
      </c>
      <c r="AO7" s="194">
        <v>0.47448186483696175</v>
      </c>
      <c r="AP7" s="194">
        <v>0.40802304173732823</v>
      </c>
      <c r="AQ7" s="194">
        <v>0.28934576277032031</v>
      </c>
    </row>
    <row r="8" spans="1:43" ht="18">
      <c r="A8" s="4" t="s">
        <v>30</v>
      </c>
      <c r="B8" s="81">
        <v>3.3050000000000002</v>
      </c>
      <c r="D8" s="162"/>
      <c r="E8" s="152"/>
      <c r="F8" s="163"/>
      <c r="G8" s="148"/>
      <c r="H8" s="155"/>
      <c r="I8" s="156"/>
      <c r="J8" s="149" t="s">
        <v>83</v>
      </c>
      <c r="K8" s="122"/>
      <c r="L8" s="118"/>
      <c r="M8" s="119"/>
      <c r="AK8" s="193" t="s">
        <v>36</v>
      </c>
      <c r="AL8" s="194">
        <v>8.8000000000000007</v>
      </c>
      <c r="AM8" s="194">
        <v>9.3000000000000007</v>
      </c>
      <c r="AN8" s="194">
        <v>9</v>
      </c>
      <c r="AO8" s="194">
        <v>10</v>
      </c>
      <c r="AP8" s="194">
        <v>9.35</v>
      </c>
      <c r="AQ8" s="194">
        <v>8.0200000000000014</v>
      </c>
    </row>
    <row r="9" spans="1:43" ht="18.5" thickBot="1">
      <c r="A9" s="4" t="s">
        <v>30</v>
      </c>
      <c r="B9" s="81">
        <v>4.7149999999999999</v>
      </c>
      <c r="D9" s="164"/>
      <c r="E9" s="165"/>
      <c r="F9" s="166"/>
      <c r="G9" s="148"/>
      <c r="H9" s="157"/>
      <c r="I9" s="158"/>
      <c r="J9" s="151"/>
      <c r="K9" s="124"/>
      <c r="L9" s="120"/>
      <c r="M9" s="121"/>
      <c r="AK9" s="193" t="s">
        <v>37</v>
      </c>
      <c r="AL9" s="194">
        <v>2.7075</v>
      </c>
      <c r="AM9" s="194">
        <v>3.1500000000000004</v>
      </c>
      <c r="AN9" s="194">
        <v>4.25</v>
      </c>
      <c r="AO9" s="194">
        <v>4.4000000000000004</v>
      </c>
      <c r="AP9" s="194">
        <v>2.8624999999999998</v>
      </c>
      <c r="AQ9" s="194">
        <v>1.6024999999999991</v>
      </c>
    </row>
    <row r="10" spans="1:43" ht="18">
      <c r="A10" s="4" t="s">
        <v>30</v>
      </c>
      <c r="B10" s="81" t="s">
        <v>16</v>
      </c>
      <c r="G10" s="148"/>
      <c r="AK10" s="193" t="s">
        <v>38</v>
      </c>
      <c r="AL10" s="194">
        <v>-0.15858990019763725</v>
      </c>
      <c r="AM10" s="194">
        <v>4.3431513800737939E-2</v>
      </c>
      <c r="AN10" s="194">
        <v>-0.25557881241097991</v>
      </c>
      <c r="AO10" s="194">
        <v>-0.46886243994893295</v>
      </c>
      <c r="AP10" s="194">
        <v>-0.74026569523728714</v>
      </c>
      <c r="AQ10" s="194">
        <v>-0.64634194978970416</v>
      </c>
    </row>
    <row r="11" spans="1:43" ht="18">
      <c r="A11" s="4" t="s">
        <v>30</v>
      </c>
      <c r="B11" s="81">
        <v>5.625</v>
      </c>
      <c r="AK11" s="193" t="s">
        <v>39</v>
      </c>
      <c r="AL11" s="194">
        <v>-0.43991829641420077</v>
      </c>
      <c r="AM11" s="194">
        <v>-0.73677549971671263</v>
      </c>
      <c r="AN11" s="194">
        <v>-1.2430692801706946</v>
      </c>
      <c r="AO11" s="194">
        <v>-0.79287600926904656</v>
      </c>
      <c r="AP11" s="194">
        <v>-0.11794742899148458</v>
      </c>
      <c r="AQ11" s="194">
        <v>0.66772452396789195</v>
      </c>
    </row>
    <row r="12" spans="1:43" ht="18">
      <c r="A12" s="4" t="s">
        <v>30</v>
      </c>
      <c r="B12" s="81">
        <v>6.125</v>
      </c>
      <c r="AK12" s="193" t="s">
        <v>46</v>
      </c>
      <c r="AL12" s="194">
        <v>3.855</v>
      </c>
      <c r="AM12" s="194">
        <v>3.3</v>
      </c>
      <c r="AN12" s="194">
        <v>3.25</v>
      </c>
      <c r="AO12" s="194">
        <v>3.5</v>
      </c>
      <c r="AP12" s="194">
        <v>4</v>
      </c>
      <c r="AQ12" s="194">
        <v>4.6987500000000004</v>
      </c>
    </row>
    <row r="13" spans="1:43" ht="18">
      <c r="A13" s="4" t="s">
        <v>30</v>
      </c>
      <c r="B13" s="81">
        <v>6.125</v>
      </c>
      <c r="AK13" s="193" t="s">
        <v>47</v>
      </c>
      <c r="AL13" s="194">
        <v>6.5625</v>
      </c>
      <c r="AM13" s="194">
        <v>6.45</v>
      </c>
      <c r="AN13" s="194">
        <v>7.5</v>
      </c>
      <c r="AO13" s="194">
        <v>7.9</v>
      </c>
      <c r="AP13" s="194">
        <v>6.8624999999999998</v>
      </c>
      <c r="AQ13" s="194">
        <v>6.3012499999999996</v>
      </c>
    </row>
    <row r="14" spans="1:43" ht="18">
      <c r="A14" s="4" t="s">
        <v>30</v>
      </c>
      <c r="B14" s="81">
        <v>4.8449999999999998</v>
      </c>
      <c r="AK14" s="193" t="s">
        <v>40</v>
      </c>
      <c r="AL14" s="194">
        <v>8.4</v>
      </c>
      <c r="AM14" s="194">
        <v>7.62</v>
      </c>
      <c r="AN14" s="194">
        <v>8.25</v>
      </c>
      <c r="AO14" s="194">
        <v>9</v>
      </c>
      <c r="AP14" s="194">
        <v>7.9250000000000007</v>
      </c>
      <c r="AQ14" s="194">
        <v>7.136000000000001</v>
      </c>
    </row>
    <row r="15" spans="1:43" ht="18">
      <c r="A15" s="4" t="s">
        <v>30</v>
      </c>
      <c r="B15" s="81">
        <v>3.51</v>
      </c>
      <c r="AK15" s="193" t="s">
        <v>42</v>
      </c>
      <c r="AL15" s="195">
        <v>8</v>
      </c>
      <c r="AM15" s="195">
        <v>9</v>
      </c>
      <c r="AN15" s="195">
        <v>7</v>
      </c>
      <c r="AO15" s="195">
        <v>8</v>
      </c>
      <c r="AP15" s="195">
        <v>9</v>
      </c>
      <c r="AQ15" s="195">
        <v>9</v>
      </c>
    </row>
    <row r="16" spans="1:43" ht="18">
      <c r="A16" s="4" t="s">
        <v>30</v>
      </c>
      <c r="B16" s="81">
        <v>4.6825000000000001</v>
      </c>
      <c r="AK16" s="193" t="s">
        <v>41</v>
      </c>
      <c r="AL16" s="195">
        <v>57</v>
      </c>
      <c r="AM16" s="195">
        <v>50</v>
      </c>
      <c r="AN16" s="195">
        <v>56</v>
      </c>
      <c r="AO16" s="195">
        <v>65</v>
      </c>
      <c r="AP16" s="195">
        <v>62</v>
      </c>
      <c r="AQ16" s="195">
        <v>60</v>
      </c>
    </row>
    <row r="17" spans="1:43" ht="18">
      <c r="A17" s="51" t="s">
        <v>17</v>
      </c>
      <c r="B17" s="82"/>
      <c r="AK17" s="193" t="s">
        <v>43</v>
      </c>
      <c r="AL17" s="196">
        <v>0.59375</v>
      </c>
      <c r="AM17" s="196">
        <v>0.52631578947368418</v>
      </c>
      <c r="AN17" s="196">
        <v>0.5957446808510638</v>
      </c>
      <c r="AO17" s="196">
        <v>0.69148936170212771</v>
      </c>
      <c r="AP17" s="196">
        <v>0.66666666666666663</v>
      </c>
      <c r="AQ17" s="196">
        <v>0.64516129032258063</v>
      </c>
    </row>
    <row r="18" spans="1:43" ht="18">
      <c r="A18" s="4" t="s">
        <v>30</v>
      </c>
      <c r="B18" s="81">
        <v>3.915</v>
      </c>
      <c r="AK18" s="193" t="s">
        <v>80</v>
      </c>
      <c r="AL18" s="194">
        <v>3.1030769230769235</v>
      </c>
      <c r="AM18" s="194">
        <v>3.1044444444444457</v>
      </c>
      <c r="AN18" s="194">
        <v>2.8782051282051282</v>
      </c>
      <c r="AO18" s="194">
        <v>2.2849999999999997</v>
      </c>
      <c r="AP18" s="194">
        <v>2.8218750000000004</v>
      </c>
      <c r="AQ18" s="194">
        <v>3.7471363636363644</v>
      </c>
    </row>
    <row r="19" spans="1:43" ht="18">
      <c r="A19" s="4" t="s">
        <v>30</v>
      </c>
      <c r="B19" s="81">
        <v>4.9950000000000001</v>
      </c>
      <c r="AK19" s="193" t="s">
        <v>44</v>
      </c>
      <c r="AL19" s="194">
        <v>0.43746302532343295</v>
      </c>
      <c r="AM19" s="194">
        <v>0.4269680127084452</v>
      </c>
      <c r="AN19" s="194">
        <v>0.48927351146339471</v>
      </c>
      <c r="AO19" s="194">
        <v>0.55693561204777053</v>
      </c>
      <c r="AP19" s="194">
        <v>0.45214009239497166</v>
      </c>
      <c r="AQ19" s="194">
        <v>0.32308781488073279</v>
      </c>
    </row>
    <row r="20" spans="1:43" ht="18">
      <c r="A20" s="4" t="s">
        <v>30</v>
      </c>
      <c r="B20" s="81">
        <v>5.08</v>
      </c>
      <c r="AK20" s="193" t="s">
        <v>45</v>
      </c>
      <c r="AL20" s="194">
        <v>5.2473863636363642</v>
      </c>
      <c r="AM20" s="194">
        <v>4.9373563218390792</v>
      </c>
      <c r="AN20" s="194">
        <v>5.4597701149425291</v>
      </c>
      <c r="AO20" s="194">
        <v>5.7804597701149429</v>
      </c>
      <c r="AP20" s="194">
        <v>5.4499999999999984</v>
      </c>
      <c r="AQ20" s="194">
        <v>5.4439470588235279</v>
      </c>
    </row>
    <row r="21" spans="1:43" ht="18">
      <c r="A21" s="4" t="s">
        <v>30</v>
      </c>
      <c r="B21" s="81">
        <v>6.77</v>
      </c>
      <c r="AK21" s="193" t="s">
        <v>48</v>
      </c>
      <c r="AL21" s="194">
        <v>0.53183076923076933</v>
      </c>
      <c r="AM21" s="194">
        <v>0.52359999999999984</v>
      </c>
      <c r="AN21" s="194">
        <v>0.59565217391304359</v>
      </c>
      <c r="AO21" s="194">
        <v>0.69140000000000013</v>
      </c>
      <c r="AP21" s="194">
        <v>0.54075833333333345</v>
      </c>
      <c r="AQ21" s="194">
        <v>0.37235999999999986</v>
      </c>
    </row>
    <row r="22" spans="1:43" ht="18">
      <c r="A22" s="4" t="s">
        <v>30</v>
      </c>
      <c r="B22" s="70" t="s">
        <v>18</v>
      </c>
      <c r="AK22" s="193" t="s">
        <v>49</v>
      </c>
      <c r="AL22" s="194">
        <v>0.52226041666666678</v>
      </c>
      <c r="AM22" s="194">
        <v>0.49510526315789455</v>
      </c>
      <c r="AN22" s="194">
        <v>0.54078947368421049</v>
      </c>
      <c r="AO22" s="194">
        <v>0.57315789473684209</v>
      </c>
      <c r="AP22" s="194">
        <v>0.53813829787234024</v>
      </c>
      <c r="AQ22" s="194">
        <v>0.53926129032258052</v>
      </c>
    </row>
    <row r="23" spans="1:43" ht="18">
      <c r="A23" s="4" t="s">
        <v>30</v>
      </c>
      <c r="B23" s="81">
        <v>4.8075000000000001</v>
      </c>
      <c r="AQ23" s="108"/>
    </row>
    <row r="24" spans="1:43" ht="18">
      <c r="A24" s="4" t="s">
        <v>30</v>
      </c>
      <c r="B24" s="81">
        <v>6.8449999999999998</v>
      </c>
      <c r="AQ24" s="108"/>
    </row>
    <row r="25" spans="1:43" ht="18">
      <c r="A25" s="4" t="s">
        <v>30</v>
      </c>
      <c r="B25" s="81">
        <v>5.6</v>
      </c>
    </row>
    <row r="26" spans="1:43" ht="18">
      <c r="A26" s="4" t="s">
        <v>30</v>
      </c>
      <c r="B26" s="81">
        <v>3.7875000000000001</v>
      </c>
    </row>
    <row r="27" spans="1:43" ht="18">
      <c r="A27" s="4" t="s">
        <v>30</v>
      </c>
      <c r="B27" s="81">
        <v>4.4725000000000001</v>
      </c>
    </row>
    <row r="28" spans="1:43" ht="18">
      <c r="A28" s="4" t="s">
        <v>30</v>
      </c>
      <c r="B28" s="81">
        <v>0.81499999999999995</v>
      </c>
    </row>
    <row r="29" spans="1:43" ht="18">
      <c r="A29" s="4" t="s">
        <v>30</v>
      </c>
      <c r="B29" s="81">
        <v>5.2225000000000001</v>
      </c>
    </row>
    <row r="30" spans="1:43" ht="18">
      <c r="A30" s="51" t="s">
        <v>19</v>
      </c>
      <c r="B30" s="82"/>
    </row>
    <row r="31" spans="1:43" ht="18">
      <c r="A31" s="4" t="s">
        <v>30</v>
      </c>
      <c r="B31" s="81">
        <v>5.9749999999999996</v>
      </c>
    </row>
    <row r="32" spans="1:43" ht="18">
      <c r="A32" s="4" t="s">
        <v>30</v>
      </c>
      <c r="B32" s="81">
        <v>5.6375000000000002</v>
      </c>
    </row>
    <row r="33" spans="1:13" ht="18">
      <c r="A33" s="4" t="s">
        <v>30</v>
      </c>
      <c r="B33" s="81">
        <v>6.7050000000000001</v>
      </c>
    </row>
    <row r="34" spans="1:13" ht="18">
      <c r="A34" s="4" t="s">
        <v>30</v>
      </c>
      <c r="B34" s="81">
        <v>6.82</v>
      </c>
    </row>
    <row r="35" spans="1:13" ht="18">
      <c r="A35" s="4" t="s">
        <v>30</v>
      </c>
      <c r="B35" s="81">
        <v>7.0049999999999999</v>
      </c>
      <c r="I35" s="125" t="s">
        <v>98</v>
      </c>
      <c r="J35" s="125"/>
      <c r="K35" s="125"/>
      <c r="L35" s="125"/>
      <c r="M35" s="125"/>
    </row>
    <row r="36" spans="1:13" ht="18">
      <c r="A36" s="4" t="s">
        <v>30</v>
      </c>
      <c r="B36" s="81">
        <v>6.78</v>
      </c>
      <c r="I36" s="125"/>
      <c r="J36" s="125"/>
      <c r="K36" s="125"/>
      <c r="L36" s="125"/>
      <c r="M36" s="125"/>
    </row>
    <row r="37" spans="1:13" ht="18">
      <c r="A37" s="4" t="s">
        <v>30</v>
      </c>
      <c r="B37" s="81">
        <v>5.1924999999999999</v>
      </c>
      <c r="I37" s="114" t="s">
        <v>30</v>
      </c>
      <c r="J37" s="114"/>
      <c r="K37" s="114"/>
      <c r="L37" s="114"/>
      <c r="M37" s="109">
        <v>8.8350000000000009</v>
      </c>
    </row>
    <row r="38" spans="1:13" ht="18">
      <c r="A38" s="4" t="s">
        <v>30</v>
      </c>
      <c r="B38" s="81">
        <v>5.6124999999999998</v>
      </c>
      <c r="I38" s="114" t="s">
        <v>30</v>
      </c>
      <c r="J38" s="114"/>
      <c r="K38" s="114"/>
      <c r="L38" s="114"/>
      <c r="M38" s="109">
        <v>8.5474999999999994</v>
      </c>
    </row>
    <row r="39" spans="1:13" ht="18">
      <c r="A39" s="4" t="s">
        <v>30</v>
      </c>
      <c r="B39" s="81">
        <v>6.2374999999999998</v>
      </c>
      <c r="I39" s="114" t="s">
        <v>30</v>
      </c>
      <c r="J39" s="114"/>
      <c r="K39" s="114"/>
      <c r="L39" s="114"/>
      <c r="M39" s="109">
        <v>8.1549999999999994</v>
      </c>
    </row>
    <row r="40" spans="1:13" ht="18">
      <c r="A40" s="4" t="s">
        <v>30</v>
      </c>
      <c r="B40" s="81">
        <v>6.8775000000000004</v>
      </c>
      <c r="I40" s="114" t="s">
        <v>30</v>
      </c>
      <c r="J40" s="114"/>
      <c r="K40" s="114"/>
      <c r="L40" s="114"/>
      <c r="M40" s="109">
        <v>7.9225000000000003</v>
      </c>
    </row>
    <row r="41" spans="1:13" ht="18">
      <c r="A41" s="4" t="s">
        <v>30</v>
      </c>
      <c r="B41" s="81">
        <v>7.18</v>
      </c>
      <c r="I41" s="114" t="s">
        <v>30</v>
      </c>
      <c r="J41" s="114"/>
      <c r="K41" s="114"/>
      <c r="L41" s="114"/>
      <c r="M41" s="109">
        <v>7.85</v>
      </c>
    </row>
    <row r="42" spans="1:13" ht="18">
      <c r="A42" s="4" t="s">
        <v>30</v>
      </c>
      <c r="B42" s="81">
        <v>5.64</v>
      </c>
      <c r="I42" s="167"/>
      <c r="J42" s="167"/>
      <c r="K42" s="167"/>
      <c r="L42" s="167"/>
      <c r="M42" s="167"/>
    </row>
    <row r="43" spans="1:13" ht="18">
      <c r="A43" s="4" t="s">
        <v>30</v>
      </c>
      <c r="B43" s="81">
        <v>1.1775</v>
      </c>
      <c r="I43" s="167"/>
      <c r="J43" s="167"/>
      <c r="K43" s="167"/>
      <c r="L43" s="167"/>
      <c r="M43" s="167"/>
    </row>
    <row r="44" spans="1:13" ht="18">
      <c r="A44" s="51" t="s">
        <v>20</v>
      </c>
      <c r="B44" s="82"/>
      <c r="I44" s="115" t="s">
        <v>99</v>
      </c>
      <c r="J44" s="115"/>
      <c r="K44" s="115"/>
      <c r="L44" s="115"/>
      <c r="M44" s="115"/>
    </row>
    <row r="45" spans="1:13" ht="18">
      <c r="A45" s="4" t="s">
        <v>30</v>
      </c>
      <c r="B45" s="81">
        <v>7.18</v>
      </c>
      <c r="I45" s="115"/>
      <c r="J45" s="115"/>
      <c r="K45" s="115"/>
      <c r="L45" s="115"/>
      <c r="M45" s="115"/>
    </row>
    <row r="46" spans="1:13" ht="18">
      <c r="A46" s="4" t="s">
        <v>30</v>
      </c>
      <c r="B46" s="81">
        <v>4.2975000000000003</v>
      </c>
      <c r="I46" s="113" t="s">
        <v>30</v>
      </c>
      <c r="J46" s="113"/>
      <c r="K46" s="113"/>
      <c r="L46" s="113"/>
      <c r="M46" s="110">
        <v>0.81499999999999995</v>
      </c>
    </row>
    <row r="47" spans="1:13" ht="18">
      <c r="A47" s="4" t="s">
        <v>30</v>
      </c>
      <c r="B47" s="81">
        <v>3.7425000000000002</v>
      </c>
      <c r="I47" s="113" t="s">
        <v>30</v>
      </c>
      <c r="J47" s="113"/>
      <c r="K47" s="113"/>
      <c r="L47" s="113"/>
      <c r="M47" s="110">
        <v>1.1775</v>
      </c>
    </row>
    <row r="48" spans="1:13" ht="18">
      <c r="A48" s="4" t="s">
        <v>30</v>
      </c>
      <c r="B48" s="81">
        <v>2.4849999999999999</v>
      </c>
      <c r="I48" s="113" t="s">
        <v>30</v>
      </c>
      <c r="J48" s="113"/>
      <c r="K48" s="113"/>
      <c r="L48" s="113"/>
      <c r="M48" s="110">
        <v>1.4824999999999999</v>
      </c>
    </row>
    <row r="49" spans="1:13" ht="18">
      <c r="A49" s="4" t="s">
        <v>30</v>
      </c>
      <c r="B49" s="81">
        <v>8.5474999999999994</v>
      </c>
      <c r="I49" s="113" t="s">
        <v>30</v>
      </c>
      <c r="J49" s="113"/>
      <c r="K49" s="113"/>
      <c r="L49" s="113"/>
      <c r="M49" s="110">
        <v>1.8425</v>
      </c>
    </row>
    <row r="50" spans="1:13" ht="18">
      <c r="A50" s="4" t="s">
        <v>30</v>
      </c>
      <c r="B50" s="81">
        <v>5.6375000000000002</v>
      </c>
      <c r="I50" s="113" t="s">
        <v>30</v>
      </c>
      <c r="J50" s="113"/>
      <c r="K50" s="113"/>
      <c r="L50" s="113"/>
      <c r="M50" s="110">
        <v>2.375</v>
      </c>
    </row>
    <row r="51" spans="1:13" ht="18">
      <c r="A51" s="4" t="s">
        <v>30</v>
      </c>
      <c r="B51" s="81">
        <v>7.9225000000000003</v>
      </c>
      <c r="I51" s="111"/>
      <c r="J51" s="111"/>
      <c r="K51" s="111"/>
      <c r="L51" s="111"/>
      <c r="M51" s="111"/>
    </row>
    <row r="52" spans="1:13" ht="18">
      <c r="A52" s="4" t="s">
        <v>30</v>
      </c>
      <c r="B52" s="81">
        <v>5.3975</v>
      </c>
      <c r="I52" s="111"/>
      <c r="J52" s="111"/>
      <c r="K52" s="111"/>
      <c r="L52" s="111"/>
      <c r="M52" s="111"/>
    </row>
    <row r="53" spans="1:13" ht="18">
      <c r="A53" s="4" t="s">
        <v>30</v>
      </c>
      <c r="B53" s="81">
        <v>6.2350000000000003</v>
      </c>
      <c r="I53" s="111"/>
      <c r="J53" s="111"/>
      <c r="K53" s="111"/>
      <c r="L53" s="111"/>
      <c r="M53" s="111"/>
    </row>
    <row r="54" spans="1:13" ht="18">
      <c r="A54" s="4" t="s">
        <v>30</v>
      </c>
      <c r="B54" s="81">
        <v>6.0724999999999998</v>
      </c>
      <c r="I54" s="111"/>
      <c r="J54" s="111"/>
      <c r="K54" s="111"/>
      <c r="L54" s="111"/>
      <c r="M54" s="111"/>
    </row>
    <row r="55" spans="1:13" ht="18">
      <c r="A55" s="4" t="s">
        <v>30</v>
      </c>
      <c r="B55" s="81">
        <v>5.7424999999999997</v>
      </c>
      <c r="I55" s="111"/>
      <c r="J55" s="111"/>
      <c r="K55" s="111"/>
      <c r="L55" s="111"/>
      <c r="M55" s="111"/>
    </row>
    <row r="56" spans="1:13" ht="18">
      <c r="A56" s="4" t="s">
        <v>30</v>
      </c>
      <c r="B56" s="81">
        <v>4.8475000000000001</v>
      </c>
      <c r="I56" s="111"/>
      <c r="J56" s="111"/>
      <c r="K56" s="111"/>
      <c r="L56" s="111"/>
      <c r="M56" s="111"/>
    </row>
    <row r="57" spans="1:13" ht="18">
      <c r="A57" s="4" t="s">
        <v>30</v>
      </c>
      <c r="B57" s="81">
        <v>7.85</v>
      </c>
      <c r="I57" s="111"/>
      <c r="J57" s="111"/>
      <c r="K57" s="111"/>
      <c r="L57" s="111"/>
      <c r="M57" s="111"/>
    </row>
    <row r="58" spans="1:13" ht="18">
      <c r="A58" s="51" t="s">
        <v>21</v>
      </c>
      <c r="B58" s="82"/>
      <c r="I58" s="111"/>
      <c r="J58" s="111"/>
      <c r="K58" s="111"/>
      <c r="L58" s="111"/>
      <c r="M58" s="111"/>
    </row>
    <row r="59" spans="1:13" ht="18">
      <c r="A59" s="4" t="s">
        <v>30</v>
      </c>
      <c r="B59" s="81">
        <v>5.42</v>
      </c>
      <c r="I59" s="111"/>
      <c r="J59" s="111"/>
      <c r="K59" s="111"/>
      <c r="L59" s="111"/>
      <c r="M59" s="111"/>
    </row>
    <row r="60" spans="1:13" ht="18">
      <c r="A60" s="4" t="s">
        <v>30</v>
      </c>
      <c r="B60" s="81">
        <v>2.6274999999999999</v>
      </c>
      <c r="I60" s="111"/>
      <c r="J60" s="111"/>
      <c r="K60" s="111"/>
      <c r="L60" s="111"/>
      <c r="M60" s="111"/>
    </row>
    <row r="61" spans="1:13" ht="18">
      <c r="A61" s="4" t="s">
        <v>30</v>
      </c>
      <c r="B61" s="81">
        <v>5.9450000000000003</v>
      </c>
      <c r="I61" s="111"/>
      <c r="J61" s="111"/>
      <c r="K61" s="111"/>
      <c r="L61" s="111"/>
      <c r="M61" s="111"/>
    </row>
    <row r="62" spans="1:13" ht="18">
      <c r="A62" s="4" t="s">
        <v>30</v>
      </c>
      <c r="B62" s="81">
        <v>6.1349999999999998</v>
      </c>
      <c r="I62" s="111"/>
      <c r="J62" s="111"/>
      <c r="K62" s="111"/>
      <c r="L62" s="111"/>
      <c r="M62" s="111"/>
    </row>
    <row r="63" spans="1:13" ht="18">
      <c r="A63" s="4" t="s">
        <v>30</v>
      </c>
      <c r="B63" s="81">
        <v>5.6375000000000002</v>
      </c>
      <c r="I63" s="111"/>
      <c r="J63" s="111"/>
      <c r="K63" s="111"/>
      <c r="L63" s="111"/>
      <c r="M63" s="111"/>
    </row>
    <row r="64" spans="1:13" ht="18">
      <c r="A64" s="4" t="s">
        <v>30</v>
      </c>
      <c r="B64" s="81">
        <v>6.7424999999999997</v>
      </c>
      <c r="I64" s="111"/>
      <c r="J64" s="111"/>
      <c r="K64" s="111"/>
      <c r="L64" s="111"/>
      <c r="M64" s="111"/>
    </row>
    <row r="65" spans="1:13" ht="18">
      <c r="A65" s="4" t="s">
        <v>30</v>
      </c>
      <c r="B65" s="81" t="s">
        <v>16</v>
      </c>
      <c r="I65" s="111"/>
      <c r="J65" s="111"/>
      <c r="K65" s="111"/>
      <c r="L65" s="111"/>
      <c r="M65" s="111"/>
    </row>
    <row r="66" spans="1:13" ht="18">
      <c r="A66" s="4" t="s">
        <v>30</v>
      </c>
      <c r="B66" s="81">
        <v>6.1074999999999999</v>
      </c>
      <c r="I66" s="111"/>
      <c r="J66" s="111"/>
      <c r="K66" s="111"/>
      <c r="L66" s="111"/>
      <c r="M66" s="111"/>
    </row>
    <row r="67" spans="1:13" ht="18">
      <c r="A67" s="4" t="s">
        <v>30</v>
      </c>
      <c r="B67" s="81">
        <v>1.8425</v>
      </c>
      <c r="I67" s="111"/>
      <c r="J67" s="111"/>
      <c r="K67" s="111"/>
      <c r="L67" s="111"/>
      <c r="M67" s="111"/>
    </row>
    <row r="68" spans="1:13" ht="18">
      <c r="A68" s="4" t="s">
        <v>30</v>
      </c>
      <c r="B68" s="81">
        <v>5.0199999999999996</v>
      </c>
      <c r="I68" s="111"/>
      <c r="J68" s="111"/>
      <c r="K68" s="111"/>
      <c r="L68" s="111"/>
      <c r="M68" s="111"/>
    </row>
    <row r="69" spans="1:13" ht="18">
      <c r="A69" s="4" t="s">
        <v>30</v>
      </c>
      <c r="B69" s="81">
        <v>4.0075000000000003</v>
      </c>
      <c r="I69" s="111"/>
      <c r="J69" s="111"/>
      <c r="K69" s="111"/>
      <c r="L69" s="111"/>
      <c r="M69" s="111"/>
    </row>
    <row r="70" spans="1:13" ht="18">
      <c r="A70" s="4" t="s">
        <v>30</v>
      </c>
      <c r="B70" s="81">
        <v>4.9550000000000001</v>
      </c>
      <c r="I70" s="111"/>
      <c r="J70" s="111"/>
      <c r="K70" s="111"/>
      <c r="L70" s="111"/>
      <c r="M70" s="111"/>
    </row>
    <row r="71" spans="1:13" ht="18">
      <c r="A71" s="4" t="s">
        <v>30</v>
      </c>
      <c r="B71" s="70" t="s">
        <v>18</v>
      </c>
    </row>
    <row r="72" spans="1:13" ht="18">
      <c r="A72" s="51" t="s">
        <v>22</v>
      </c>
      <c r="B72" s="82"/>
    </row>
    <row r="73" spans="1:13" ht="18">
      <c r="A73" s="4" t="s">
        <v>30</v>
      </c>
      <c r="B73" s="81">
        <v>3.88</v>
      </c>
    </row>
    <row r="74" spans="1:13" ht="18">
      <c r="A74" s="4" t="s">
        <v>30</v>
      </c>
      <c r="B74" s="81">
        <v>4.7275</v>
      </c>
    </row>
    <row r="75" spans="1:13" ht="18">
      <c r="A75" s="4" t="s">
        <v>30</v>
      </c>
      <c r="B75" s="81" t="s">
        <v>16</v>
      </c>
    </row>
    <row r="76" spans="1:13" ht="18">
      <c r="A76" s="4" t="s">
        <v>30</v>
      </c>
      <c r="B76" s="81">
        <v>5.5125000000000002</v>
      </c>
    </row>
    <row r="77" spans="1:13" ht="18">
      <c r="A77" s="4" t="s">
        <v>30</v>
      </c>
      <c r="B77" s="81">
        <v>5.1449999999999996</v>
      </c>
    </row>
    <row r="78" spans="1:13" ht="18">
      <c r="A78" s="4" t="s">
        <v>30</v>
      </c>
      <c r="B78" s="81">
        <v>3.5975000000000001</v>
      </c>
    </row>
    <row r="79" spans="1:13" ht="18">
      <c r="A79" s="4" t="s">
        <v>30</v>
      </c>
      <c r="B79" s="81">
        <v>5.91</v>
      </c>
    </row>
    <row r="80" spans="1:13" ht="18">
      <c r="A80" s="4" t="s">
        <v>30</v>
      </c>
      <c r="B80" s="81">
        <v>5.125</v>
      </c>
    </row>
    <row r="81" spans="1:2" ht="18">
      <c r="A81" s="4" t="s">
        <v>30</v>
      </c>
      <c r="B81" s="81">
        <v>7.07</v>
      </c>
    </row>
    <row r="82" spans="1:2" ht="18">
      <c r="A82" s="4" t="s">
        <v>30</v>
      </c>
      <c r="B82" s="81">
        <v>5.7149999999999999</v>
      </c>
    </row>
    <row r="83" spans="1:2" ht="18">
      <c r="A83" s="4" t="s">
        <v>30</v>
      </c>
      <c r="B83" s="81">
        <v>2.375</v>
      </c>
    </row>
    <row r="84" spans="1:2" ht="18">
      <c r="A84" s="4" t="s">
        <v>30</v>
      </c>
      <c r="B84" s="81">
        <v>4.9675000000000002</v>
      </c>
    </row>
    <row r="85" spans="1:2" ht="19" thickBot="1">
      <c r="A85" s="54" t="s">
        <v>23</v>
      </c>
      <c r="B85" s="83"/>
    </row>
    <row r="86" spans="1:2" ht="18.5" thickBot="1">
      <c r="A86" s="53" t="s">
        <v>8</v>
      </c>
      <c r="B86" s="82"/>
    </row>
    <row r="87" spans="1:2" ht="18">
      <c r="A87" s="52" t="s">
        <v>61</v>
      </c>
      <c r="B87" s="82"/>
    </row>
    <row r="88" spans="1:2" ht="18">
      <c r="A88" s="4" t="s">
        <v>30</v>
      </c>
      <c r="B88" s="81">
        <v>6.1</v>
      </c>
    </row>
    <row r="89" spans="1:2" ht="18">
      <c r="A89" s="4" t="s">
        <v>30</v>
      </c>
      <c r="B89" s="81">
        <v>4.6825000000000001</v>
      </c>
    </row>
    <row r="90" spans="1:2" ht="18">
      <c r="A90" s="4" t="s">
        <v>30</v>
      </c>
      <c r="B90" s="23" t="s">
        <v>18</v>
      </c>
    </row>
    <row r="91" spans="1:2" ht="18">
      <c r="A91" s="4" t="s">
        <v>30</v>
      </c>
      <c r="B91" s="81">
        <v>6.2774999999999999</v>
      </c>
    </row>
    <row r="92" spans="1:2" ht="18">
      <c r="A92" s="4" t="s">
        <v>30</v>
      </c>
      <c r="B92" s="81">
        <v>6.835</v>
      </c>
    </row>
    <row r="93" spans="1:2" ht="18">
      <c r="A93" s="4" t="s">
        <v>30</v>
      </c>
      <c r="B93" s="81">
        <v>7.3949999999999996</v>
      </c>
    </row>
    <row r="94" spans="1:2" ht="18">
      <c r="A94" s="4" t="s">
        <v>30</v>
      </c>
      <c r="B94" s="81">
        <v>5.85</v>
      </c>
    </row>
    <row r="95" spans="1:2" ht="18">
      <c r="A95" s="4" t="s">
        <v>30</v>
      </c>
      <c r="B95" s="23" t="s">
        <v>18</v>
      </c>
    </row>
    <row r="96" spans="1:2" ht="18">
      <c r="A96" s="4" t="s">
        <v>30</v>
      </c>
      <c r="B96" s="81">
        <v>6.25</v>
      </c>
    </row>
    <row r="97" spans="1:2" ht="18">
      <c r="A97" s="4" t="s">
        <v>30</v>
      </c>
      <c r="B97" s="81">
        <v>5.94</v>
      </c>
    </row>
    <row r="98" spans="1:2" ht="18">
      <c r="A98" s="4" t="s">
        <v>30</v>
      </c>
      <c r="B98" s="81">
        <v>5.5075000000000003</v>
      </c>
    </row>
    <row r="99" spans="1:2" ht="18">
      <c r="A99" s="51" t="s">
        <v>60</v>
      </c>
      <c r="B99" s="82"/>
    </row>
    <row r="100" spans="1:2" ht="18">
      <c r="A100" s="4" t="s">
        <v>30</v>
      </c>
      <c r="B100" s="81">
        <v>3.2174999999999998</v>
      </c>
    </row>
    <row r="101" spans="1:2" ht="18">
      <c r="A101" s="4" t="s">
        <v>30</v>
      </c>
      <c r="B101" s="81">
        <v>6.7750000000000004</v>
      </c>
    </row>
    <row r="102" spans="1:2" ht="18">
      <c r="A102" s="4" t="s">
        <v>30</v>
      </c>
      <c r="B102" s="23" t="s">
        <v>18</v>
      </c>
    </row>
    <row r="103" spans="1:2" ht="18">
      <c r="A103" s="4" t="s">
        <v>30</v>
      </c>
      <c r="B103" s="81">
        <v>4.12</v>
      </c>
    </row>
    <row r="104" spans="1:2" ht="18">
      <c r="A104" s="4" t="s">
        <v>30</v>
      </c>
      <c r="B104" s="81">
        <v>8.1549999999999994</v>
      </c>
    </row>
    <row r="105" spans="1:2" ht="18">
      <c r="A105" s="4" t="s">
        <v>30</v>
      </c>
      <c r="B105" s="70" t="s">
        <v>100</v>
      </c>
    </row>
    <row r="106" spans="1:2" ht="18">
      <c r="A106" s="4" t="s">
        <v>30</v>
      </c>
      <c r="B106" s="81">
        <v>6.47</v>
      </c>
    </row>
    <row r="107" spans="1:2" ht="18">
      <c r="A107" s="4" t="s">
        <v>30</v>
      </c>
      <c r="B107" s="81">
        <v>6.3250000000000002</v>
      </c>
    </row>
    <row r="108" spans="1:2" ht="18">
      <c r="A108" s="4" t="s">
        <v>30</v>
      </c>
      <c r="B108" s="81">
        <v>5.94</v>
      </c>
    </row>
    <row r="109" spans="1:2" ht="18">
      <c r="A109" s="4" t="s">
        <v>30</v>
      </c>
      <c r="B109" s="81">
        <v>1.4824999999999999</v>
      </c>
    </row>
    <row r="110" spans="1:2" ht="18.5" thickBot="1">
      <c r="A110" s="4" t="s">
        <v>30</v>
      </c>
      <c r="B110" s="81">
        <v>3.4075000000000002</v>
      </c>
    </row>
    <row r="111" spans="1:2" ht="18.5" thickBot="1">
      <c r="A111" s="50" t="s">
        <v>25</v>
      </c>
      <c r="B111" s="82"/>
    </row>
    <row r="112" spans="1:2" ht="18.5" thickBot="1">
      <c r="A112" s="53" t="s">
        <v>8</v>
      </c>
      <c r="B112" s="82"/>
    </row>
    <row r="113" spans="1:2" ht="18">
      <c r="A113" s="4" t="s">
        <v>30</v>
      </c>
      <c r="B113" s="81">
        <v>6.7175000000000002</v>
      </c>
    </row>
    <row r="114" spans="1:2" ht="18">
      <c r="A114" s="4" t="s">
        <v>30</v>
      </c>
      <c r="B114" s="81">
        <v>7.1924999999999999</v>
      </c>
    </row>
    <row r="115" spans="1:2" ht="18">
      <c r="A115" s="4" t="s">
        <v>30</v>
      </c>
      <c r="B115" s="81">
        <v>3.56</v>
      </c>
    </row>
    <row r="116" spans="1:2" ht="18">
      <c r="A116" s="4" t="s">
        <v>30</v>
      </c>
      <c r="B116" s="81">
        <v>6.1275000000000004</v>
      </c>
    </row>
    <row r="117" spans="1:2" ht="18">
      <c r="A117" s="4" t="s">
        <v>30</v>
      </c>
      <c r="B117" s="81">
        <v>6.04</v>
      </c>
    </row>
    <row r="118" spans="1:2" ht="18">
      <c r="A118" s="4" t="s">
        <v>30</v>
      </c>
      <c r="B118" s="81">
        <v>4.9805000000000001</v>
      </c>
    </row>
    <row r="119" spans="1:2" ht="18">
      <c r="A119" s="4" t="s">
        <v>30</v>
      </c>
      <c r="B119" s="81">
        <v>4.8250000000000002</v>
      </c>
    </row>
  </sheetData>
  <mergeCells count="17">
    <mergeCell ref="I44:M45"/>
    <mergeCell ref="D5:F9"/>
    <mergeCell ref="H5:I9"/>
    <mergeCell ref="J5:K7"/>
    <mergeCell ref="J8:K9"/>
    <mergeCell ref="L5:M9"/>
    <mergeCell ref="I35:M36"/>
    <mergeCell ref="I37:L37"/>
    <mergeCell ref="I38:L38"/>
    <mergeCell ref="I39:L39"/>
    <mergeCell ref="I40:L40"/>
    <mergeCell ref="I41:L41"/>
    <mergeCell ref="I46:L46"/>
    <mergeCell ref="I47:L47"/>
    <mergeCell ref="I48:L48"/>
    <mergeCell ref="I49:L49"/>
    <mergeCell ref="I50:L50"/>
  </mergeCells>
  <conditionalFormatting sqref="B5">
    <cfRule type="cellIs" dxfId="5326" priority="1938" operator="notEqual">
      <formula>100</formula>
    </cfRule>
  </conditionalFormatting>
  <conditionalFormatting sqref="B3:B5">
    <cfRule type="expression" dxfId="5325" priority="1936">
      <formula>AND(OR(ROW()=CELL("row"),COLUMN()=CELL("col")),NOT(ISBLANK($C3)),NOT(ISBLANK($B3)),ROW()&gt;2,COLUMN()&gt;1)</formula>
    </cfRule>
  </conditionalFormatting>
  <conditionalFormatting sqref="B5 A9:B9">
    <cfRule type="expression" dxfId="5324" priority="1935">
      <formula>SUM(--ISBLANK($B5:$J5))=COLUMNS($B5:$J5)</formula>
    </cfRule>
  </conditionalFormatting>
  <conditionalFormatting sqref="B3:B5">
    <cfRule type="containsText" dxfId="5323" priority="1937" operator="containsText" text="NP">
      <formula>NOT(ISERROR(SEARCH("NP",B3)))</formula>
    </cfRule>
  </conditionalFormatting>
  <conditionalFormatting sqref="B5">
    <cfRule type="expression" dxfId="5322" priority="1934">
      <formula>ISBLANK(B5)</formula>
    </cfRule>
  </conditionalFormatting>
  <conditionalFormatting sqref="A6">
    <cfRule type="expression" dxfId="5321" priority="1932">
      <formula>AND(OR(ROW()=CELL("row"),COLUMN()=CELL("col")),NOT(ISBLANK($C6)),NOT(ISBLANK($B6)),ROW()&gt;2,COLUMN()&gt;1)</formula>
    </cfRule>
  </conditionalFormatting>
  <conditionalFormatting sqref="A6">
    <cfRule type="expression" dxfId="5320" priority="1931">
      <formula>SUM(--ISBLANK($B6:$J6))=COLUMNS($B6:$J6)</formula>
    </cfRule>
  </conditionalFormatting>
  <conditionalFormatting sqref="A6">
    <cfRule type="containsText" dxfId="5319" priority="1933" operator="containsText" text="NP">
      <formula>NOT(ISERROR(SEARCH("NP",A6)))</formula>
    </cfRule>
  </conditionalFormatting>
  <conditionalFormatting sqref="A6">
    <cfRule type="expression" dxfId="5318" priority="1930">
      <formula>ISBLANK(A6)</formula>
    </cfRule>
  </conditionalFormatting>
  <conditionalFormatting sqref="B6">
    <cfRule type="expression" dxfId="5317" priority="1928">
      <formula>AND(OR(ROW()=CELL("row"),COLUMN()=CELL("col")),NOT(ISBLANK($C6)),NOT(ISBLANK($B6)),ROW()&gt;2,COLUMN()&gt;1)</formula>
    </cfRule>
  </conditionalFormatting>
  <conditionalFormatting sqref="B6">
    <cfRule type="expression" dxfId="5316" priority="1927">
      <formula>SUM(--ISBLANK($B6:$J6))=COLUMNS($B6:$J6)</formula>
    </cfRule>
  </conditionalFormatting>
  <conditionalFormatting sqref="B6">
    <cfRule type="containsText" dxfId="5315" priority="1929" operator="containsText" text="NP">
      <formula>NOT(ISERROR(SEARCH("NP",B6)))</formula>
    </cfRule>
  </conditionalFormatting>
  <conditionalFormatting sqref="B6">
    <cfRule type="expression" dxfId="5314" priority="1926">
      <formula>ISBLANK(B6)</formula>
    </cfRule>
  </conditionalFormatting>
  <conditionalFormatting sqref="A7">
    <cfRule type="expression" dxfId="5313" priority="1924">
      <formula>AND(OR(ROW()=CELL("row"),COLUMN()=CELL("col")),NOT(ISBLANK($C7)),NOT(ISBLANK($B7)),ROW()&gt;2,COLUMN()&gt;1)</formula>
    </cfRule>
  </conditionalFormatting>
  <conditionalFormatting sqref="A7">
    <cfRule type="expression" dxfId="5312" priority="1923">
      <formula>SUM(--ISBLANK($B7:$J7))=COLUMNS($B7:$J7)</formula>
    </cfRule>
  </conditionalFormatting>
  <conditionalFormatting sqref="A7">
    <cfRule type="containsText" dxfId="5311" priority="1925" operator="containsText" text="NP">
      <formula>NOT(ISERROR(SEARCH("NP",A7)))</formula>
    </cfRule>
  </conditionalFormatting>
  <conditionalFormatting sqref="A7">
    <cfRule type="expression" dxfId="5310" priority="1922">
      <formula>ISBLANK(A7)</formula>
    </cfRule>
  </conditionalFormatting>
  <conditionalFormatting sqref="B7">
    <cfRule type="expression" dxfId="5309" priority="1918">
      <formula>B7=""</formula>
    </cfRule>
    <cfRule type="containsText" dxfId="5308" priority="1919" operator="containsText" text="NP">
      <formula>NOT(ISERROR(SEARCH("NP",B7)))</formula>
    </cfRule>
    <cfRule type="cellIs" dxfId="5307" priority="1920" operator="lessThan">
      <formula>4.95</formula>
    </cfRule>
  </conditionalFormatting>
  <conditionalFormatting sqref="B7">
    <cfRule type="expression" dxfId="5306" priority="1916">
      <formula>AND(OR(ROW()=CELL("row"),COLUMN()=CELL("col")),NOT(ISBLANK($C7)),NOT(ISBLANK($B7)),ROW()&gt;2,COLUMN()&gt;1)</formula>
    </cfRule>
  </conditionalFormatting>
  <conditionalFormatting sqref="B7">
    <cfRule type="expression" dxfId="5305" priority="1915">
      <formula>SUM(--ISBLANK($B7:$J7))=COLUMNS($B7:$J7)</formula>
    </cfRule>
  </conditionalFormatting>
  <conditionalFormatting sqref="B7">
    <cfRule type="containsText" dxfId="5304" priority="1917" operator="containsText" text="NP">
      <formula>NOT(ISERROR(SEARCH("NP",B7)))</formula>
    </cfRule>
  </conditionalFormatting>
  <conditionalFormatting sqref="B7">
    <cfRule type="cellIs" dxfId="5303" priority="1921" operator="greaterThanOrEqual">
      <formula>4.95</formula>
    </cfRule>
  </conditionalFormatting>
  <conditionalFormatting sqref="B7">
    <cfRule type="expression" dxfId="5302" priority="1914">
      <formula>ISBLANK(B7)</formula>
    </cfRule>
  </conditionalFormatting>
  <conditionalFormatting sqref="B7">
    <cfRule type="containsText" dxfId="5301" priority="1913" operator="containsText" text="Reconocimiento Créditos">
      <formula>NOT(ISERROR(SEARCH("Reconocimiento Créditos",B7)))</formula>
    </cfRule>
  </conditionalFormatting>
  <conditionalFormatting sqref="B7">
    <cfRule type="expression" dxfId="5300" priority="1911">
      <formula>AND(ISNUMBER(B7), OR(B7&gt;10, B7&lt;0))</formula>
    </cfRule>
  </conditionalFormatting>
  <conditionalFormatting sqref="B7">
    <cfRule type="expression" dxfId="5299" priority="1910">
      <formula>AND(NOT(ISNUMBER(B7)), B7&lt;&gt;"NP", B7&lt;&gt;"Reconocimiento Créditos", B7&lt;&gt;"Aprobado en otro curso")</formula>
    </cfRule>
  </conditionalFormatting>
  <conditionalFormatting sqref="B7">
    <cfRule type="containsText" dxfId="5298" priority="1909" operator="containsText" text="Reconocimiento Créditos">
      <formula>NOT(ISERROR(SEARCH("Reconocimiento Créditos",B7)))</formula>
    </cfRule>
  </conditionalFormatting>
  <conditionalFormatting sqref="B7">
    <cfRule type="containsText" dxfId="5297" priority="1912" operator="containsText" text="Aprobado en otro curso">
      <formula>NOT(ISERROR(SEARCH("Aprobado en otro curso",B7)))</formula>
    </cfRule>
  </conditionalFormatting>
  <conditionalFormatting sqref="A8">
    <cfRule type="expression" dxfId="5296" priority="1907">
      <formula>AND(OR(ROW()=CELL("row"),COLUMN()=CELL("col")),NOT(ISBLANK($C8)),NOT(ISBLANK($B8)),ROW()&gt;2,COLUMN()&gt;1)</formula>
    </cfRule>
  </conditionalFormatting>
  <conditionalFormatting sqref="A8">
    <cfRule type="expression" dxfId="5295" priority="1906">
      <formula>SUM(--ISBLANK($B8:$J8))=COLUMNS($B8:$J8)</formula>
    </cfRule>
  </conditionalFormatting>
  <conditionalFormatting sqref="A8">
    <cfRule type="containsText" dxfId="5294" priority="1908" operator="containsText" text="NP">
      <formula>NOT(ISERROR(SEARCH("NP",A8)))</formula>
    </cfRule>
  </conditionalFormatting>
  <conditionalFormatting sqref="A8">
    <cfRule type="expression" dxfId="5293" priority="1905">
      <formula>ISBLANK(A8)</formula>
    </cfRule>
  </conditionalFormatting>
  <conditionalFormatting sqref="B8">
    <cfRule type="expression" dxfId="5292" priority="1901">
      <formula>B8=""</formula>
    </cfRule>
    <cfRule type="containsText" dxfId="5291" priority="1902" operator="containsText" text="NP">
      <formula>NOT(ISERROR(SEARCH("NP",B8)))</formula>
    </cfRule>
    <cfRule type="cellIs" dxfId="5290" priority="1903" operator="lessThan">
      <formula>4.95</formula>
    </cfRule>
  </conditionalFormatting>
  <conditionalFormatting sqref="B8">
    <cfRule type="expression" dxfId="5289" priority="1899">
      <formula>AND(OR(ROW()=CELL("row"),COLUMN()=CELL("col")),NOT(ISBLANK($C8)),NOT(ISBLANK($B8)),ROW()&gt;2,COLUMN()&gt;1)</formula>
    </cfRule>
  </conditionalFormatting>
  <conditionalFormatting sqref="B8">
    <cfRule type="expression" dxfId="5288" priority="1898">
      <formula>SUM(--ISBLANK($B8:$J8))=COLUMNS($B8:$J8)</formula>
    </cfRule>
  </conditionalFormatting>
  <conditionalFormatting sqref="B8">
    <cfRule type="containsText" dxfId="5287" priority="1900" operator="containsText" text="NP">
      <formula>NOT(ISERROR(SEARCH("NP",B8)))</formula>
    </cfRule>
  </conditionalFormatting>
  <conditionalFormatting sqref="B8">
    <cfRule type="cellIs" dxfId="5286" priority="1904" operator="greaterThanOrEqual">
      <formula>4.95</formula>
    </cfRule>
  </conditionalFormatting>
  <conditionalFormatting sqref="B8">
    <cfRule type="expression" dxfId="5285" priority="1897">
      <formula>ISBLANK(B8)</formula>
    </cfRule>
  </conditionalFormatting>
  <conditionalFormatting sqref="B8">
    <cfRule type="containsText" dxfId="5284" priority="1896" operator="containsText" text="Reconocimiento Créditos">
      <formula>NOT(ISERROR(SEARCH("Reconocimiento Créditos",B8)))</formula>
    </cfRule>
  </conditionalFormatting>
  <conditionalFormatting sqref="B8">
    <cfRule type="expression" dxfId="5283" priority="1894">
      <formula>AND(ISNUMBER(B8), OR(B8&gt;10, B8&lt;0))</formula>
    </cfRule>
  </conditionalFormatting>
  <conditionalFormatting sqref="B8">
    <cfRule type="expression" dxfId="5282" priority="1893">
      <formula>AND(NOT(ISNUMBER(B8)), B8&lt;&gt;"NP", B8&lt;&gt;"Reconocimiento Créditos", B8&lt;&gt;"Aprobado en otro curso")</formula>
    </cfRule>
  </conditionalFormatting>
  <conditionalFormatting sqref="B8">
    <cfRule type="containsText" dxfId="5281" priority="1892" operator="containsText" text="Reconocimiento Créditos">
      <formula>NOT(ISERROR(SEARCH("Reconocimiento Créditos",B8)))</formula>
    </cfRule>
  </conditionalFormatting>
  <conditionalFormatting sqref="B8">
    <cfRule type="containsText" dxfId="5280" priority="1895" operator="containsText" text="Aprobado en otro curso">
      <formula>NOT(ISERROR(SEARCH("Aprobado en otro curso",B8)))</formula>
    </cfRule>
  </conditionalFormatting>
  <conditionalFormatting sqref="A9">
    <cfRule type="expression" dxfId="5279" priority="1890">
      <formula>AND(OR(ROW()=CELL("row"),COLUMN()=CELL("col")),NOT(ISBLANK($C9)),NOT(ISBLANK($B9)),ROW()&gt;2,COLUMN()&gt;1)</formula>
    </cfRule>
  </conditionalFormatting>
  <conditionalFormatting sqref="A9">
    <cfRule type="containsText" dxfId="5278" priority="1891" operator="containsText" text="NP">
      <formula>NOT(ISERROR(SEARCH("NP",A9)))</formula>
    </cfRule>
  </conditionalFormatting>
  <conditionalFormatting sqref="A9">
    <cfRule type="expression" dxfId="5277" priority="1888">
      <formula>ISBLANK(A9)</formula>
    </cfRule>
  </conditionalFormatting>
  <conditionalFormatting sqref="B9">
    <cfRule type="expression" dxfId="5276" priority="1884">
      <formula>B9=""</formula>
    </cfRule>
    <cfRule type="containsText" dxfId="5275" priority="1885" operator="containsText" text="NP">
      <formula>NOT(ISERROR(SEARCH("NP",B9)))</formula>
    </cfRule>
    <cfRule type="cellIs" dxfId="5274" priority="1886" operator="lessThan">
      <formula>4.95</formula>
    </cfRule>
  </conditionalFormatting>
  <conditionalFormatting sqref="B9">
    <cfRule type="expression" dxfId="5273" priority="1882">
      <formula>AND(OR(ROW()=CELL("row"),COLUMN()=CELL("col")),NOT(ISBLANK($C9)),NOT(ISBLANK($B9)),ROW()&gt;2,COLUMN()&gt;1)</formula>
    </cfRule>
  </conditionalFormatting>
  <conditionalFormatting sqref="B9">
    <cfRule type="containsText" dxfId="5272" priority="1883" operator="containsText" text="NP">
      <formula>NOT(ISERROR(SEARCH("NP",B9)))</formula>
    </cfRule>
  </conditionalFormatting>
  <conditionalFormatting sqref="B9">
    <cfRule type="cellIs" dxfId="5271" priority="1887" operator="greaterThanOrEqual">
      <formula>4.95</formula>
    </cfRule>
  </conditionalFormatting>
  <conditionalFormatting sqref="B9">
    <cfRule type="expression" dxfId="5270" priority="1880">
      <formula>ISBLANK(B9)</formula>
    </cfRule>
  </conditionalFormatting>
  <conditionalFormatting sqref="B9">
    <cfRule type="containsText" dxfId="5269" priority="1879" operator="containsText" text="Reconocimiento Créditos">
      <formula>NOT(ISERROR(SEARCH("Reconocimiento Créditos",B9)))</formula>
    </cfRule>
  </conditionalFormatting>
  <conditionalFormatting sqref="B9">
    <cfRule type="expression" dxfId="5268" priority="1877">
      <formula>AND(ISNUMBER(B9), OR(B9&gt;10, B9&lt;0))</formula>
    </cfRule>
  </conditionalFormatting>
  <conditionalFormatting sqref="B9">
    <cfRule type="expression" dxfId="5267" priority="1876">
      <formula>AND(NOT(ISNUMBER(B9)), B9&lt;&gt;"NP", B9&lt;&gt;"Reconocimiento Créditos", B9&lt;&gt;"Aprobado en otro curso")</formula>
    </cfRule>
  </conditionalFormatting>
  <conditionalFormatting sqref="B9">
    <cfRule type="containsText" dxfId="5266" priority="1875" operator="containsText" text="Reconocimiento Créditos">
      <formula>NOT(ISERROR(SEARCH("Reconocimiento Créditos",B9)))</formula>
    </cfRule>
  </conditionalFormatting>
  <conditionalFormatting sqref="B9">
    <cfRule type="containsText" dxfId="5265" priority="1878" operator="containsText" text="Aprobado en otro curso">
      <formula>NOT(ISERROR(SEARCH("Aprobado en otro curso",B9)))</formula>
    </cfRule>
  </conditionalFormatting>
  <conditionalFormatting sqref="A10">
    <cfRule type="expression" dxfId="5264" priority="1873">
      <formula>AND(OR(ROW()=CELL("row"),COLUMN()=CELL("col")),NOT(ISBLANK($C10)),NOT(ISBLANK($B10)),ROW()&gt;2,COLUMN()&gt;1)</formula>
    </cfRule>
  </conditionalFormatting>
  <conditionalFormatting sqref="A10">
    <cfRule type="expression" dxfId="5263" priority="1872">
      <formula>SUM(--ISBLANK($B10:$J10))=COLUMNS($B10:$J10)</formula>
    </cfRule>
  </conditionalFormatting>
  <conditionalFormatting sqref="A10">
    <cfRule type="containsText" dxfId="5262" priority="1874" operator="containsText" text="NP">
      <formula>NOT(ISERROR(SEARCH("NP",A10)))</formula>
    </cfRule>
  </conditionalFormatting>
  <conditionalFormatting sqref="A10">
    <cfRule type="expression" dxfId="5261" priority="1871">
      <formula>ISBLANK(A10)</formula>
    </cfRule>
  </conditionalFormatting>
  <conditionalFormatting sqref="B10">
    <cfRule type="expression" dxfId="5260" priority="1867">
      <formula>B10=""</formula>
    </cfRule>
    <cfRule type="containsText" dxfId="5259" priority="1868" operator="containsText" text="NP">
      <formula>NOT(ISERROR(SEARCH("NP",B10)))</formula>
    </cfRule>
    <cfRule type="cellIs" dxfId="5258" priority="1869" operator="lessThan">
      <formula>4.95</formula>
    </cfRule>
  </conditionalFormatting>
  <conditionalFormatting sqref="B10">
    <cfRule type="expression" dxfId="5257" priority="1865">
      <formula>AND(OR(ROW()=CELL("row"),COLUMN()=CELL("col")),NOT(ISBLANK($C10)),NOT(ISBLANK($B10)),ROW()&gt;2,COLUMN()&gt;1)</formula>
    </cfRule>
  </conditionalFormatting>
  <conditionalFormatting sqref="B10">
    <cfRule type="expression" dxfId="5256" priority="1864">
      <formula>SUM(--ISBLANK($B10:$J10))=COLUMNS($B10:$J10)</formula>
    </cfRule>
  </conditionalFormatting>
  <conditionalFormatting sqref="B10">
    <cfRule type="containsText" dxfId="5255" priority="1866" operator="containsText" text="NP">
      <formula>NOT(ISERROR(SEARCH("NP",B10)))</formula>
    </cfRule>
  </conditionalFormatting>
  <conditionalFormatting sqref="B10">
    <cfRule type="cellIs" dxfId="5254" priority="1870" operator="greaterThanOrEqual">
      <formula>4.95</formula>
    </cfRule>
  </conditionalFormatting>
  <conditionalFormatting sqref="B10">
    <cfRule type="expression" dxfId="5253" priority="1863">
      <formula>ISBLANK(B10)</formula>
    </cfRule>
  </conditionalFormatting>
  <conditionalFormatting sqref="B10">
    <cfRule type="containsText" dxfId="5252" priority="1862" operator="containsText" text="Reconocimiento Créditos">
      <formula>NOT(ISERROR(SEARCH("Reconocimiento Créditos",B10)))</formula>
    </cfRule>
  </conditionalFormatting>
  <conditionalFormatting sqref="B10">
    <cfRule type="expression" dxfId="5251" priority="1860">
      <formula>AND(ISNUMBER(B10), OR(B10&gt;10, B10&lt;0))</formula>
    </cfRule>
  </conditionalFormatting>
  <conditionalFormatting sqref="B10">
    <cfRule type="expression" dxfId="5250" priority="1859">
      <formula>AND(NOT(ISNUMBER(B10)), B10&lt;&gt;"NP", B10&lt;&gt;"Reconocimiento Créditos", B10&lt;&gt;"Aprobado en otro curso")</formula>
    </cfRule>
  </conditionalFormatting>
  <conditionalFormatting sqref="B10">
    <cfRule type="containsText" dxfId="5249" priority="1858" operator="containsText" text="Reconocimiento Créditos">
      <formula>NOT(ISERROR(SEARCH("Reconocimiento Créditos",B10)))</formula>
    </cfRule>
  </conditionalFormatting>
  <conditionalFormatting sqref="B10">
    <cfRule type="containsText" dxfId="5248" priority="1861" operator="containsText" text="Aprobado en otro curso">
      <formula>NOT(ISERROR(SEARCH("Aprobado en otro curso",B10)))</formula>
    </cfRule>
  </conditionalFormatting>
  <conditionalFormatting sqref="A11">
    <cfRule type="expression" dxfId="5247" priority="1856">
      <formula>AND(OR(ROW()=CELL("row"),COLUMN()=CELL("col")),NOT(ISBLANK($C11)),NOT(ISBLANK($B11)),ROW()&gt;2,COLUMN()&gt;1)</formula>
    </cfRule>
  </conditionalFormatting>
  <conditionalFormatting sqref="A11">
    <cfRule type="expression" dxfId="5246" priority="1855">
      <formula>SUM(--ISBLANK($B11:$J11))=COLUMNS($B11:$J11)</formula>
    </cfRule>
  </conditionalFormatting>
  <conditionalFormatting sqref="A11">
    <cfRule type="containsText" dxfId="5245" priority="1857" operator="containsText" text="NP">
      <formula>NOT(ISERROR(SEARCH("NP",A11)))</formula>
    </cfRule>
  </conditionalFormatting>
  <conditionalFormatting sqref="A11">
    <cfRule type="expression" dxfId="5244" priority="1854">
      <formula>ISBLANK(A11)</formula>
    </cfRule>
  </conditionalFormatting>
  <conditionalFormatting sqref="B11">
    <cfRule type="expression" dxfId="5243" priority="1850">
      <formula>B11=""</formula>
    </cfRule>
    <cfRule type="containsText" dxfId="5242" priority="1851" operator="containsText" text="NP">
      <formula>NOT(ISERROR(SEARCH("NP",B11)))</formula>
    </cfRule>
    <cfRule type="cellIs" dxfId="5241" priority="1852" operator="lessThan">
      <formula>4.95</formula>
    </cfRule>
  </conditionalFormatting>
  <conditionalFormatting sqref="B11">
    <cfRule type="expression" dxfId="5240" priority="1848">
      <formula>AND(OR(ROW()=CELL("row"),COLUMN()=CELL("col")),NOT(ISBLANK($C11)),NOT(ISBLANK($B11)),ROW()&gt;2,COLUMN()&gt;1)</formula>
    </cfRule>
  </conditionalFormatting>
  <conditionalFormatting sqref="B11">
    <cfRule type="expression" dxfId="5239" priority="1847">
      <formula>SUM(--ISBLANK($B11:$J11))=COLUMNS($B11:$J11)</formula>
    </cfRule>
  </conditionalFormatting>
  <conditionalFormatting sqref="B11">
    <cfRule type="containsText" dxfId="5238" priority="1849" operator="containsText" text="NP">
      <formula>NOT(ISERROR(SEARCH("NP",B11)))</formula>
    </cfRule>
  </conditionalFormatting>
  <conditionalFormatting sqref="B11">
    <cfRule type="cellIs" dxfId="5237" priority="1853" operator="greaterThanOrEqual">
      <formula>4.95</formula>
    </cfRule>
  </conditionalFormatting>
  <conditionalFormatting sqref="B11">
    <cfRule type="expression" dxfId="5236" priority="1846">
      <formula>ISBLANK(B11)</formula>
    </cfRule>
  </conditionalFormatting>
  <conditionalFormatting sqref="B11">
    <cfRule type="containsText" dxfId="5235" priority="1845" operator="containsText" text="Reconocimiento Créditos">
      <formula>NOT(ISERROR(SEARCH("Reconocimiento Créditos",B11)))</formula>
    </cfRule>
  </conditionalFormatting>
  <conditionalFormatting sqref="B11">
    <cfRule type="expression" dxfId="5234" priority="1843">
      <formula>AND(ISNUMBER(B11), OR(B11&gt;10, B11&lt;0))</formula>
    </cfRule>
  </conditionalFormatting>
  <conditionalFormatting sqref="B11">
    <cfRule type="expression" dxfId="5233" priority="1842">
      <formula>AND(NOT(ISNUMBER(B11)), B11&lt;&gt;"NP", B11&lt;&gt;"Reconocimiento Créditos", B11&lt;&gt;"Aprobado en otro curso")</formula>
    </cfRule>
  </conditionalFormatting>
  <conditionalFormatting sqref="B11">
    <cfRule type="containsText" dxfId="5232" priority="1841" operator="containsText" text="Reconocimiento Créditos">
      <formula>NOT(ISERROR(SEARCH("Reconocimiento Créditos",B11)))</formula>
    </cfRule>
  </conditionalFormatting>
  <conditionalFormatting sqref="B11">
    <cfRule type="containsText" dxfId="5231" priority="1844" operator="containsText" text="Aprobado en otro curso">
      <formula>NOT(ISERROR(SEARCH("Aprobado en otro curso",B11)))</formula>
    </cfRule>
  </conditionalFormatting>
  <conditionalFormatting sqref="A12">
    <cfRule type="expression" dxfId="5230" priority="1839">
      <formula>AND(OR(ROW()=CELL("row"),COLUMN()=CELL("col")),NOT(ISBLANK($C12)),NOT(ISBLANK($B12)),ROW()&gt;2,COLUMN()&gt;1)</formula>
    </cfRule>
  </conditionalFormatting>
  <conditionalFormatting sqref="A12">
    <cfRule type="expression" dxfId="5229" priority="1838">
      <formula>SUM(--ISBLANK($B12:$J12))=COLUMNS($B12:$J12)</formula>
    </cfRule>
  </conditionalFormatting>
  <conditionalFormatting sqref="A12">
    <cfRule type="containsText" dxfId="5228" priority="1840" operator="containsText" text="NP">
      <formula>NOT(ISERROR(SEARCH("NP",A12)))</formula>
    </cfRule>
  </conditionalFormatting>
  <conditionalFormatting sqref="A12">
    <cfRule type="expression" dxfId="5227" priority="1837">
      <formula>ISBLANK(A12)</formula>
    </cfRule>
  </conditionalFormatting>
  <conditionalFormatting sqref="B12">
    <cfRule type="expression" dxfId="5226" priority="1833">
      <formula>B12=""</formula>
    </cfRule>
    <cfRule type="containsText" dxfId="5225" priority="1834" operator="containsText" text="NP">
      <formula>NOT(ISERROR(SEARCH("NP",B12)))</formula>
    </cfRule>
    <cfRule type="cellIs" dxfId="5224" priority="1835" operator="lessThan">
      <formula>4.95</formula>
    </cfRule>
  </conditionalFormatting>
  <conditionalFormatting sqref="B12">
    <cfRule type="expression" dxfId="5223" priority="1831">
      <formula>AND(OR(ROW()=CELL("row"),COLUMN()=CELL("col")),NOT(ISBLANK($C12)),NOT(ISBLANK($B12)),ROW()&gt;2,COLUMN()&gt;1)</formula>
    </cfRule>
  </conditionalFormatting>
  <conditionalFormatting sqref="B12">
    <cfRule type="expression" dxfId="5222" priority="1830">
      <formula>SUM(--ISBLANK($B12:$J12))=COLUMNS($B12:$J12)</formula>
    </cfRule>
  </conditionalFormatting>
  <conditionalFormatting sqref="B12">
    <cfRule type="containsText" dxfId="5221" priority="1832" operator="containsText" text="NP">
      <formula>NOT(ISERROR(SEARCH("NP",B12)))</formula>
    </cfRule>
  </conditionalFormatting>
  <conditionalFormatting sqref="B12">
    <cfRule type="cellIs" dxfId="5220" priority="1836" operator="greaterThanOrEqual">
      <formula>4.95</formula>
    </cfRule>
  </conditionalFormatting>
  <conditionalFormatting sqref="B12">
    <cfRule type="expression" dxfId="5219" priority="1829">
      <formula>ISBLANK(B12)</formula>
    </cfRule>
  </conditionalFormatting>
  <conditionalFormatting sqref="B12">
    <cfRule type="containsText" dxfId="5218" priority="1828" operator="containsText" text="Reconocimiento Créditos">
      <formula>NOT(ISERROR(SEARCH("Reconocimiento Créditos",B12)))</formula>
    </cfRule>
  </conditionalFormatting>
  <conditionalFormatting sqref="B12">
    <cfRule type="expression" dxfId="5217" priority="1826">
      <formula>AND(ISNUMBER(B12), OR(B12&gt;10, B12&lt;0))</formula>
    </cfRule>
  </conditionalFormatting>
  <conditionalFormatting sqref="B12">
    <cfRule type="expression" dxfId="5216" priority="1825">
      <formula>AND(NOT(ISNUMBER(B12)), B12&lt;&gt;"NP", B12&lt;&gt;"Reconocimiento Créditos", B12&lt;&gt;"Aprobado en otro curso")</formula>
    </cfRule>
  </conditionalFormatting>
  <conditionalFormatting sqref="B12">
    <cfRule type="containsText" dxfId="5215" priority="1824" operator="containsText" text="Reconocimiento Créditos">
      <formula>NOT(ISERROR(SEARCH("Reconocimiento Créditos",B12)))</formula>
    </cfRule>
  </conditionalFormatting>
  <conditionalFormatting sqref="B12">
    <cfRule type="containsText" dxfId="5214" priority="1827" operator="containsText" text="Aprobado en otro curso">
      <formula>NOT(ISERROR(SEARCH("Aprobado en otro curso",B12)))</formula>
    </cfRule>
  </conditionalFormatting>
  <conditionalFormatting sqref="A13">
    <cfRule type="expression" dxfId="5213" priority="1822">
      <formula>AND(OR(ROW()=CELL("row"),COLUMN()=CELL("col")),NOT(ISBLANK($C13)),NOT(ISBLANK($B13)),ROW()&gt;2,COLUMN()&gt;1)</formula>
    </cfRule>
  </conditionalFormatting>
  <conditionalFormatting sqref="A13">
    <cfRule type="expression" dxfId="5212" priority="1821">
      <formula>SUM(--ISBLANK($B13:$J13))=COLUMNS($B13:$J13)</formula>
    </cfRule>
  </conditionalFormatting>
  <conditionalFormatting sqref="A13">
    <cfRule type="containsText" dxfId="5211" priority="1823" operator="containsText" text="NP">
      <formula>NOT(ISERROR(SEARCH("NP",A13)))</formula>
    </cfRule>
  </conditionalFormatting>
  <conditionalFormatting sqref="A13">
    <cfRule type="expression" dxfId="5210" priority="1820">
      <formula>ISBLANK(A13)</formula>
    </cfRule>
  </conditionalFormatting>
  <conditionalFormatting sqref="B13">
    <cfRule type="expression" dxfId="5209" priority="1816">
      <formula>B13=""</formula>
    </cfRule>
    <cfRule type="containsText" dxfId="5208" priority="1817" operator="containsText" text="NP">
      <formula>NOT(ISERROR(SEARCH("NP",B13)))</formula>
    </cfRule>
    <cfRule type="cellIs" dxfId="5207" priority="1818" operator="lessThan">
      <formula>4.95</formula>
    </cfRule>
  </conditionalFormatting>
  <conditionalFormatting sqref="B13">
    <cfRule type="expression" dxfId="5206" priority="1814">
      <formula>AND(OR(ROW()=CELL("row"),COLUMN()=CELL("col")),NOT(ISBLANK($C13)),NOT(ISBLANK($B13)),ROW()&gt;2,COLUMN()&gt;1)</formula>
    </cfRule>
  </conditionalFormatting>
  <conditionalFormatting sqref="B13">
    <cfRule type="expression" dxfId="5205" priority="1813">
      <formula>SUM(--ISBLANK($B13:$J13))=COLUMNS($B13:$J13)</formula>
    </cfRule>
  </conditionalFormatting>
  <conditionalFormatting sqref="B13">
    <cfRule type="containsText" dxfId="5204" priority="1815" operator="containsText" text="NP">
      <formula>NOT(ISERROR(SEARCH("NP",B13)))</formula>
    </cfRule>
  </conditionalFormatting>
  <conditionalFormatting sqref="B13">
    <cfRule type="cellIs" dxfId="5203" priority="1819" operator="greaterThanOrEqual">
      <formula>4.95</formula>
    </cfRule>
  </conditionalFormatting>
  <conditionalFormatting sqref="B13">
    <cfRule type="expression" dxfId="5202" priority="1812">
      <formula>ISBLANK(B13)</formula>
    </cfRule>
  </conditionalFormatting>
  <conditionalFormatting sqref="B13">
    <cfRule type="containsText" dxfId="5201" priority="1811" operator="containsText" text="Reconocimiento Créditos">
      <formula>NOT(ISERROR(SEARCH("Reconocimiento Créditos",B13)))</formula>
    </cfRule>
  </conditionalFormatting>
  <conditionalFormatting sqref="B13">
    <cfRule type="expression" dxfId="5200" priority="1809">
      <formula>AND(ISNUMBER(B13), OR(B13&gt;10, B13&lt;0))</formula>
    </cfRule>
  </conditionalFormatting>
  <conditionalFormatting sqref="B13">
    <cfRule type="expression" dxfId="5199" priority="1808">
      <formula>AND(NOT(ISNUMBER(B13)), B13&lt;&gt;"NP", B13&lt;&gt;"Reconocimiento Créditos", B13&lt;&gt;"Aprobado en otro curso")</formula>
    </cfRule>
  </conditionalFormatting>
  <conditionalFormatting sqref="B13">
    <cfRule type="containsText" dxfId="5198" priority="1807" operator="containsText" text="Reconocimiento Créditos">
      <formula>NOT(ISERROR(SEARCH("Reconocimiento Créditos",B13)))</formula>
    </cfRule>
  </conditionalFormatting>
  <conditionalFormatting sqref="B13">
    <cfRule type="containsText" dxfId="5197" priority="1810" operator="containsText" text="Aprobado en otro curso">
      <formula>NOT(ISERROR(SEARCH("Aprobado en otro curso",B13)))</formula>
    </cfRule>
  </conditionalFormatting>
  <conditionalFormatting sqref="A14">
    <cfRule type="expression" dxfId="5196" priority="1805">
      <formula>AND(OR(ROW()=CELL("row"),COLUMN()=CELL("col")),NOT(ISBLANK($C14)),NOT(ISBLANK($B14)),ROW()&gt;2,COLUMN()&gt;1)</formula>
    </cfRule>
  </conditionalFormatting>
  <conditionalFormatting sqref="A14">
    <cfRule type="expression" dxfId="5195" priority="1804">
      <formula>SUM(--ISBLANK($B14:$J14))=COLUMNS($B14:$J14)</formula>
    </cfRule>
  </conditionalFormatting>
  <conditionalFormatting sqref="A14">
    <cfRule type="containsText" dxfId="5194" priority="1806" operator="containsText" text="NP">
      <formula>NOT(ISERROR(SEARCH("NP",A14)))</formula>
    </cfRule>
  </conditionalFormatting>
  <conditionalFormatting sqref="A14">
    <cfRule type="expression" dxfId="5193" priority="1803">
      <formula>ISBLANK(A14)</formula>
    </cfRule>
  </conditionalFormatting>
  <conditionalFormatting sqref="B14">
    <cfRule type="expression" dxfId="5192" priority="1799">
      <formula>B14=""</formula>
    </cfRule>
    <cfRule type="containsText" dxfId="5191" priority="1800" operator="containsText" text="NP">
      <formula>NOT(ISERROR(SEARCH("NP",B14)))</formula>
    </cfRule>
    <cfRule type="cellIs" dxfId="5190" priority="1801" operator="lessThan">
      <formula>4.95</formula>
    </cfRule>
  </conditionalFormatting>
  <conditionalFormatting sqref="B14">
    <cfRule type="expression" dxfId="5189" priority="1797">
      <formula>AND(OR(ROW()=CELL("row"),COLUMN()=CELL("col")),NOT(ISBLANK($C14)),NOT(ISBLANK($B14)),ROW()&gt;2,COLUMN()&gt;1)</formula>
    </cfRule>
  </conditionalFormatting>
  <conditionalFormatting sqref="B14">
    <cfRule type="expression" dxfId="5188" priority="1796">
      <formula>SUM(--ISBLANK($B14:$J14))=COLUMNS($B14:$J14)</formula>
    </cfRule>
  </conditionalFormatting>
  <conditionalFormatting sqref="B14">
    <cfRule type="containsText" dxfId="5187" priority="1798" operator="containsText" text="NP">
      <formula>NOT(ISERROR(SEARCH("NP",B14)))</formula>
    </cfRule>
  </conditionalFormatting>
  <conditionalFormatting sqref="B14">
    <cfRule type="cellIs" dxfId="5186" priority="1802" operator="greaterThanOrEqual">
      <formula>4.95</formula>
    </cfRule>
  </conditionalFormatting>
  <conditionalFormatting sqref="B14">
    <cfRule type="expression" dxfId="5185" priority="1795">
      <formula>ISBLANK(B14)</formula>
    </cfRule>
  </conditionalFormatting>
  <conditionalFormatting sqref="B14">
    <cfRule type="containsText" dxfId="5184" priority="1794" operator="containsText" text="Reconocimiento Créditos">
      <formula>NOT(ISERROR(SEARCH("Reconocimiento Créditos",B14)))</formula>
    </cfRule>
  </conditionalFormatting>
  <conditionalFormatting sqref="B14">
    <cfRule type="expression" dxfId="5183" priority="1792">
      <formula>AND(ISNUMBER(B14), OR(B14&gt;10, B14&lt;0))</formula>
    </cfRule>
  </conditionalFormatting>
  <conditionalFormatting sqref="B14">
    <cfRule type="expression" dxfId="5182" priority="1791">
      <formula>AND(NOT(ISNUMBER(B14)), B14&lt;&gt;"NP", B14&lt;&gt;"Reconocimiento Créditos", B14&lt;&gt;"Aprobado en otro curso")</formula>
    </cfRule>
  </conditionalFormatting>
  <conditionalFormatting sqref="B14">
    <cfRule type="containsText" dxfId="5181" priority="1790" operator="containsText" text="Reconocimiento Créditos">
      <formula>NOT(ISERROR(SEARCH("Reconocimiento Créditos",B14)))</formula>
    </cfRule>
  </conditionalFormatting>
  <conditionalFormatting sqref="B14">
    <cfRule type="containsText" dxfId="5180" priority="1793" operator="containsText" text="Aprobado en otro curso">
      <formula>NOT(ISERROR(SEARCH("Aprobado en otro curso",B14)))</formula>
    </cfRule>
  </conditionalFormatting>
  <conditionalFormatting sqref="A15">
    <cfRule type="expression" dxfId="5179" priority="1788">
      <formula>AND(OR(ROW()=CELL("row"),COLUMN()=CELL("col")),NOT(ISBLANK($C15)),NOT(ISBLANK($B15)),ROW()&gt;2,COLUMN()&gt;1)</formula>
    </cfRule>
  </conditionalFormatting>
  <conditionalFormatting sqref="A15">
    <cfRule type="expression" dxfId="5178" priority="1787">
      <formula>SUM(--ISBLANK($B15:$J15))=COLUMNS($B15:$J15)</formula>
    </cfRule>
  </conditionalFormatting>
  <conditionalFormatting sqref="A15">
    <cfRule type="containsText" dxfId="5177" priority="1789" operator="containsText" text="NP">
      <formula>NOT(ISERROR(SEARCH("NP",A15)))</formula>
    </cfRule>
  </conditionalFormatting>
  <conditionalFormatting sqref="A15">
    <cfRule type="expression" dxfId="5176" priority="1786">
      <formula>ISBLANK(A15)</formula>
    </cfRule>
  </conditionalFormatting>
  <conditionalFormatting sqref="B15">
    <cfRule type="expression" dxfId="5175" priority="1782">
      <formula>B15=""</formula>
    </cfRule>
    <cfRule type="containsText" dxfId="5174" priority="1783" operator="containsText" text="NP">
      <formula>NOT(ISERROR(SEARCH("NP",B15)))</formula>
    </cfRule>
    <cfRule type="cellIs" dxfId="5173" priority="1784" operator="lessThan">
      <formula>4.95</formula>
    </cfRule>
  </conditionalFormatting>
  <conditionalFormatting sqref="B15">
    <cfRule type="expression" dxfId="5172" priority="1780">
      <formula>AND(OR(ROW()=CELL("row"),COLUMN()=CELL("col")),NOT(ISBLANK($C15)),NOT(ISBLANK($B15)),ROW()&gt;2,COLUMN()&gt;1)</formula>
    </cfRule>
  </conditionalFormatting>
  <conditionalFormatting sqref="B15">
    <cfRule type="expression" dxfId="5171" priority="1779">
      <formula>SUM(--ISBLANK($B15:$J15))=COLUMNS($B15:$J15)</formula>
    </cfRule>
  </conditionalFormatting>
  <conditionalFormatting sqref="B15">
    <cfRule type="containsText" dxfId="5170" priority="1781" operator="containsText" text="NP">
      <formula>NOT(ISERROR(SEARCH("NP",B15)))</formula>
    </cfRule>
  </conditionalFormatting>
  <conditionalFormatting sqref="B15">
    <cfRule type="cellIs" dxfId="5169" priority="1785" operator="greaterThanOrEqual">
      <formula>4.95</formula>
    </cfRule>
  </conditionalFormatting>
  <conditionalFormatting sqref="B15">
    <cfRule type="expression" dxfId="5168" priority="1778">
      <formula>ISBLANK(B15)</formula>
    </cfRule>
  </conditionalFormatting>
  <conditionalFormatting sqref="B15">
    <cfRule type="containsText" dxfId="5167" priority="1777" operator="containsText" text="Reconocimiento Créditos">
      <formula>NOT(ISERROR(SEARCH("Reconocimiento Créditos",B15)))</formula>
    </cfRule>
  </conditionalFormatting>
  <conditionalFormatting sqref="B15">
    <cfRule type="expression" dxfId="5166" priority="1775">
      <formula>AND(ISNUMBER(B15), OR(B15&gt;10, B15&lt;0))</formula>
    </cfRule>
  </conditionalFormatting>
  <conditionalFormatting sqref="B15">
    <cfRule type="expression" dxfId="5165" priority="1774">
      <formula>AND(NOT(ISNUMBER(B15)), B15&lt;&gt;"NP", B15&lt;&gt;"Reconocimiento Créditos", B15&lt;&gt;"Aprobado en otro curso")</formula>
    </cfRule>
  </conditionalFormatting>
  <conditionalFormatting sqref="B15">
    <cfRule type="containsText" dxfId="5164" priority="1773" operator="containsText" text="Reconocimiento Créditos">
      <formula>NOT(ISERROR(SEARCH("Reconocimiento Créditos",B15)))</formula>
    </cfRule>
  </conditionalFormatting>
  <conditionalFormatting sqref="B15">
    <cfRule type="containsText" dxfId="5163" priority="1776" operator="containsText" text="Aprobado en otro curso">
      <formula>NOT(ISERROR(SEARCH("Aprobado en otro curso",B15)))</formula>
    </cfRule>
  </conditionalFormatting>
  <conditionalFormatting sqref="A16">
    <cfRule type="expression" dxfId="5162" priority="1771">
      <formula>AND(OR(ROW()=CELL("row"),COLUMN()=CELL("col")),NOT(ISBLANK($C16)),NOT(ISBLANK($B16)),ROW()&gt;2,COLUMN()&gt;1)</formula>
    </cfRule>
  </conditionalFormatting>
  <conditionalFormatting sqref="A16">
    <cfRule type="expression" dxfId="5161" priority="1770">
      <formula>SUM(--ISBLANK($B16:$J16))=COLUMNS($B16:$J16)</formula>
    </cfRule>
  </conditionalFormatting>
  <conditionalFormatting sqref="A16">
    <cfRule type="containsText" dxfId="5160" priority="1772" operator="containsText" text="NP">
      <formula>NOT(ISERROR(SEARCH("NP",A16)))</formula>
    </cfRule>
  </conditionalFormatting>
  <conditionalFormatting sqref="A16">
    <cfRule type="expression" dxfId="5159" priority="1769">
      <formula>ISBLANK(A16)</formula>
    </cfRule>
  </conditionalFormatting>
  <conditionalFormatting sqref="B16">
    <cfRule type="expression" dxfId="5158" priority="1765">
      <formula>B16=""</formula>
    </cfRule>
    <cfRule type="containsText" dxfId="5157" priority="1766" operator="containsText" text="NP">
      <formula>NOT(ISERROR(SEARCH("NP",B16)))</formula>
    </cfRule>
    <cfRule type="cellIs" dxfId="5156" priority="1767" operator="lessThan">
      <formula>4.95</formula>
    </cfRule>
  </conditionalFormatting>
  <conditionalFormatting sqref="B16">
    <cfRule type="expression" dxfId="5155" priority="1763">
      <formula>AND(OR(ROW()=CELL("row"),COLUMN()=CELL("col")),NOT(ISBLANK($C16)),NOT(ISBLANK($B16)),ROW()&gt;2,COLUMN()&gt;1)</formula>
    </cfRule>
  </conditionalFormatting>
  <conditionalFormatting sqref="B16">
    <cfRule type="expression" dxfId="5154" priority="1762">
      <formula>SUM(--ISBLANK($B16:$J16))=COLUMNS($B16:$J16)</formula>
    </cfRule>
  </conditionalFormatting>
  <conditionalFormatting sqref="B16">
    <cfRule type="containsText" dxfId="5153" priority="1764" operator="containsText" text="NP">
      <formula>NOT(ISERROR(SEARCH("NP",B16)))</formula>
    </cfRule>
  </conditionalFormatting>
  <conditionalFormatting sqref="B16">
    <cfRule type="cellIs" dxfId="5152" priority="1768" operator="greaterThanOrEqual">
      <formula>4.95</formula>
    </cfRule>
  </conditionalFormatting>
  <conditionalFormatting sqref="B16">
    <cfRule type="expression" dxfId="5151" priority="1761">
      <formula>ISBLANK(B16)</formula>
    </cfRule>
  </conditionalFormatting>
  <conditionalFormatting sqref="B16">
    <cfRule type="containsText" dxfId="5150" priority="1760" operator="containsText" text="Reconocimiento Créditos">
      <formula>NOT(ISERROR(SEARCH("Reconocimiento Créditos",B16)))</formula>
    </cfRule>
  </conditionalFormatting>
  <conditionalFormatting sqref="B16">
    <cfRule type="expression" dxfId="5149" priority="1758">
      <formula>AND(ISNUMBER(B16), OR(B16&gt;10, B16&lt;0))</formula>
    </cfRule>
  </conditionalFormatting>
  <conditionalFormatting sqref="B16">
    <cfRule type="expression" dxfId="5148" priority="1757">
      <formula>AND(NOT(ISNUMBER(B16)), B16&lt;&gt;"NP", B16&lt;&gt;"Reconocimiento Créditos", B16&lt;&gt;"Aprobado en otro curso")</formula>
    </cfRule>
  </conditionalFormatting>
  <conditionalFormatting sqref="B16">
    <cfRule type="containsText" dxfId="5147" priority="1756" operator="containsText" text="Reconocimiento Créditos">
      <formula>NOT(ISERROR(SEARCH("Reconocimiento Créditos",B16)))</formula>
    </cfRule>
  </conditionalFormatting>
  <conditionalFormatting sqref="B16">
    <cfRule type="containsText" dxfId="5146" priority="1759" operator="containsText" text="Aprobado en otro curso">
      <formula>NOT(ISERROR(SEARCH("Aprobado en otro curso",B16)))</formula>
    </cfRule>
  </conditionalFormatting>
  <conditionalFormatting sqref="A17">
    <cfRule type="expression" dxfId="5145" priority="1754">
      <formula>AND(OR(ROW()=CELL("row"),COLUMN()=CELL("col")),NOT(ISBLANK($C17)),NOT(ISBLANK($B17)),ROW()&gt;2,COLUMN()&gt;1)</formula>
    </cfRule>
  </conditionalFormatting>
  <conditionalFormatting sqref="A17">
    <cfRule type="expression" dxfId="5144" priority="1753">
      <formula>SUM(--ISBLANK($B17:$J17))=COLUMNS($B17:$J17)</formula>
    </cfRule>
  </conditionalFormatting>
  <conditionalFormatting sqref="A17">
    <cfRule type="containsText" dxfId="5143" priority="1755" operator="containsText" text="NP">
      <formula>NOT(ISERROR(SEARCH("NP",A17)))</formula>
    </cfRule>
  </conditionalFormatting>
  <conditionalFormatting sqref="A17">
    <cfRule type="expression" dxfId="5142" priority="1752">
      <formula>ISBLANK(A17)</formula>
    </cfRule>
  </conditionalFormatting>
  <conditionalFormatting sqref="B17">
    <cfRule type="expression" dxfId="5141" priority="1748">
      <formula>B17=""</formula>
    </cfRule>
    <cfRule type="containsText" dxfId="5140" priority="1749" operator="containsText" text="NP">
      <formula>NOT(ISERROR(SEARCH("NP",B17)))</formula>
    </cfRule>
    <cfRule type="cellIs" dxfId="5139" priority="1750" operator="lessThan">
      <formula>4.95</formula>
    </cfRule>
  </conditionalFormatting>
  <conditionalFormatting sqref="B17">
    <cfRule type="expression" dxfId="5138" priority="1746">
      <formula>AND(OR(ROW()=CELL("row"),COLUMN()=CELL("col")),NOT(ISBLANK($C17)),NOT(ISBLANK($B17)),ROW()&gt;2,COLUMN()&gt;1)</formula>
    </cfRule>
  </conditionalFormatting>
  <conditionalFormatting sqref="B17">
    <cfRule type="expression" dxfId="5137" priority="1745">
      <formula>SUM(--ISBLANK($B17:$J17))=COLUMNS($B17:$J17)</formula>
    </cfRule>
  </conditionalFormatting>
  <conditionalFormatting sqref="B17">
    <cfRule type="containsText" dxfId="5136" priority="1747" operator="containsText" text="NP">
      <formula>NOT(ISERROR(SEARCH("NP",B17)))</formula>
    </cfRule>
  </conditionalFormatting>
  <conditionalFormatting sqref="B17">
    <cfRule type="cellIs" dxfId="5135" priority="1751" operator="greaterThanOrEqual">
      <formula>4.95</formula>
    </cfRule>
  </conditionalFormatting>
  <conditionalFormatting sqref="B17">
    <cfRule type="expression" dxfId="5134" priority="1744">
      <formula>ISBLANK(B17)</formula>
    </cfRule>
  </conditionalFormatting>
  <conditionalFormatting sqref="B17">
    <cfRule type="containsText" dxfId="5133" priority="1743" operator="containsText" text="Reconocimiento Créditos">
      <formula>NOT(ISERROR(SEARCH("Reconocimiento Créditos",B17)))</formula>
    </cfRule>
  </conditionalFormatting>
  <conditionalFormatting sqref="B17">
    <cfRule type="expression" dxfId="5132" priority="1741">
      <formula>AND(ISNUMBER(B17), OR(B17&gt;10, B17&lt;0))</formula>
    </cfRule>
  </conditionalFormatting>
  <conditionalFormatting sqref="B17">
    <cfRule type="containsText" dxfId="5131" priority="1740" operator="containsText" text="Reconocimiento Créditos">
      <formula>NOT(ISERROR(SEARCH("Reconocimiento Créditos",B17)))</formula>
    </cfRule>
  </conditionalFormatting>
  <conditionalFormatting sqref="B17">
    <cfRule type="containsText" dxfId="5130" priority="1742" operator="containsText" text="Aprobado en otro curso">
      <formula>NOT(ISERROR(SEARCH("Aprobado en otro curso",B17)))</formula>
    </cfRule>
  </conditionalFormatting>
  <conditionalFormatting sqref="A18">
    <cfRule type="expression" dxfId="5129" priority="1738">
      <formula>AND(OR(ROW()=CELL("row"),COLUMN()=CELL("col")),NOT(ISBLANK($C18)),NOT(ISBLANK($B18)),ROW()&gt;2,COLUMN()&gt;1)</formula>
    </cfRule>
  </conditionalFormatting>
  <conditionalFormatting sqref="A18">
    <cfRule type="expression" dxfId="5128" priority="1737">
      <formula>SUM(--ISBLANK($B18:$J18))=COLUMNS($B18:$J18)</formula>
    </cfRule>
  </conditionalFormatting>
  <conditionalFormatting sqref="A18">
    <cfRule type="containsText" dxfId="5127" priority="1739" operator="containsText" text="NP">
      <formula>NOT(ISERROR(SEARCH("NP",A18)))</formula>
    </cfRule>
  </conditionalFormatting>
  <conditionalFormatting sqref="A18">
    <cfRule type="expression" dxfId="5126" priority="1736">
      <formula>ISBLANK(A18)</formula>
    </cfRule>
  </conditionalFormatting>
  <conditionalFormatting sqref="B18">
    <cfRule type="expression" dxfId="5125" priority="1732">
      <formula>B18=""</formula>
    </cfRule>
    <cfRule type="containsText" dxfId="5124" priority="1733" operator="containsText" text="NP">
      <formula>NOT(ISERROR(SEARCH("NP",B18)))</formula>
    </cfRule>
    <cfRule type="cellIs" dxfId="5123" priority="1734" operator="lessThan">
      <formula>4.95</formula>
    </cfRule>
  </conditionalFormatting>
  <conditionalFormatting sqref="B18">
    <cfRule type="expression" dxfId="5122" priority="1730">
      <formula>AND(OR(ROW()=CELL("row"),COLUMN()=CELL("col")),NOT(ISBLANK($C18)),NOT(ISBLANK($B18)),ROW()&gt;2,COLUMN()&gt;1)</formula>
    </cfRule>
  </conditionalFormatting>
  <conditionalFormatting sqref="B18">
    <cfRule type="expression" dxfId="5121" priority="1729">
      <formula>SUM(--ISBLANK($B18:$J18))=COLUMNS($B18:$J18)</formula>
    </cfRule>
  </conditionalFormatting>
  <conditionalFormatting sqref="B18">
    <cfRule type="containsText" dxfId="5120" priority="1731" operator="containsText" text="NP">
      <formula>NOT(ISERROR(SEARCH("NP",B18)))</formula>
    </cfRule>
  </conditionalFormatting>
  <conditionalFormatting sqref="B18">
    <cfRule type="cellIs" dxfId="5119" priority="1735" operator="greaterThanOrEqual">
      <formula>4.95</formula>
    </cfRule>
  </conditionalFormatting>
  <conditionalFormatting sqref="B18">
    <cfRule type="expression" dxfId="5118" priority="1728">
      <formula>ISBLANK(B18)</formula>
    </cfRule>
  </conditionalFormatting>
  <conditionalFormatting sqref="B18">
    <cfRule type="containsText" dxfId="5117" priority="1727" operator="containsText" text="Reconocimiento Créditos">
      <formula>NOT(ISERROR(SEARCH("Reconocimiento Créditos",B18)))</formula>
    </cfRule>
  </conditionalFormatting>
  <conditionalFormatting sqref="B18">
    <cfRule type="expression" dxfId="5116" priority="1725">
      <formula>AND(ISNUMBER(B18), OR(B18&gt;10, B18&lt;0))</formula>
    </cfRule>
  </conditionalFormatting>
  <conditionalFormatting sqref="B18">
    <cfRule type="expression" dxfId="5115" priority="1724">
      <formula>AND(NOT(ISNUMBER(B18)), B18&lt;&gt;"NP", B18&lt;&gt;"Reconocimiento Créditos", B18&lt;&gt;"Aprobado en otro curso")</formula>
    </cfRule>
  </conditionalFormatting>
  <conditionalFormatting sqref="B18">
    <cfRule type="containsText" dxfId="5114" priority="1723" operator="containsText" text="Reconocimiento Créditos">
      <formula>NOT(ISERROR(SEARCH("Reconocimiento Créditos",B18)))</formula>
    </cfRule>
  </conditionalFormatting>
  <conditionalFormatting sqref="B18">
    <cfRule type="containsText" dxfId="5113" priority="1726" operator="containsText" text="Aprobado en otro curso">
      <formula>NOT(ISERROR(SEARCH("Aprobado en otro curso",B18)))</formula>
    </cfRule>
  </conditionalFormatting>
  <conditionalFormatting sqref="A19">
    <cfRule type="expression" dxfId="5112" priority="1721">
      <formula>AND(OR(ROW()=CELL("row"),COLUMN()=CELL("col")),NOT(ISBLANK($C19)),NOT(ISBLANK($B19)),ROW()&gt;2,COLUMN()&gt;1)</formula>
    </cfRule>
  </conditionalFormatting>
  <conditionalFormatting sqref="A19">
    <cfRule type="expression" dxfId="5111" priority="1720">
      <formula>SUM(--ISBLANK($B19:$J19))=COLUMNS($B19:$J19)</formula>
    </cfRule>
  </conditionalFormatting>
  <conditionalFormatting sqref="A19">
    <cfRule type="containsText" dxfId="5110" priority="1722" operator="containsText" text="NP">
      <formula>NOT(ISERROR(SEARCH("NP",A19)))</formula>
    </cfRule>
  </conditionalFormatting>
  <conditionalFormatting sqref="A19">
    <cfRule type="expression" dxfId="5109" priority="1719">
      <formula>ISBLANK(A19)</formula>
    </cfRule>
  </conditionalFormatting>
  <conditionalFormatting sqref="B19">
    <cfRule type="expression" dxfId="5108" priority="1715">
      <formula>B19=""</formula>
    </cfRule>
    <cfRule type="containsText" dxfId="5107" priority="1716" operator="containsText" text="NP">
      <formula>NOT(ISERROR(SEARCH("NP",B19)))</formula>
    </cfRule>
    <cfRule type="cellIs" dxfId="5106" priority="1717" operator="lessThan">
      <formula>4.95</formula>
    </cfRule>
  </conditionalFormatting>
  <conditionalFormatting sqref="B19">
    <cfRule type="expression" dxfId="5105" priority="1713">
      <formula>AND(OR(ROW()=CELL("row"),COLUMN()=CELL("col")),NOT(ISBLANK($C19)),NOT(ISBLANK($B19)),ROW()&gt;2,COLUMN()&gt;1)</formula>
    </cfRule>
  </conditionalFormatting>
  <conditionalFormatting sqref="B19">
    <cfRule type="expression" dxfId="5104" priority="1712">
      <formula>SUM(--ISBLANK($B19:$J19))=COLUMNS($B19:$J19)</formula>
    </cfRule>
  </conditionalFormatting>
  <conditionalFormatting sqref="B19">
    <cfRule type="containsText" dxfId="5103" priority="1714" operator="containsText" text="NP">
      <formula>NOT(ISERROR(SEARCH("NP",B19)))</formula>
    </cfRule>
  </conditionalFormatting>
  <conditionalFormatting sqref="B19">
    <cfRule type="cellIs" dxfId="5102" priority="1718" operator="greaterThanOrEqual">
      <formula>4.95</formula>
    </cfRule>
  </conditionalFormatting>
  <conditionalFormatting sqref="B19">
    <cfRule type="expression" dxfId="5101" priority="1711">
      <formula>ISBLANK(B19)</formula>
    </cfRule>
  </conditionalFormatting>
  <conditionalFormatting sqref="B19">
    <cfRule type="containsText" dxfId="5100" priority="1710" operator="containsText" text="Reconocimiento Créditos">
      <formula>NOT(ISERROR(SEARCH("Reconocimiento Créditos",B19)))</formula>
    </cfRule>
  </conditionalFormatting>
  <conditionalFormatting sqref="B19">
    <cfRule type="expression" dxfId="5099" priority="1708">
      <formula>AND(ISNUMBER(B19), OR(B19&gt;10, B19&lt;0))</formula>
    </cfRule>
  </conditionalFormatting>
  <conditionalFormatting sqref="B19">
    <cfRule type="expression" dxfId="5098" priority="1707">
      <formula>AND(NOT(ISNUMBER(B19)), B19&lt;&gt;"NP", B19&lt;&gt;"Reconocimiento Créditos", B19&lt;&gt;"Aprobado en otro curso")</formula>
    </cfRule>
  </conditionalFormatting>
  <conditionalFormatting sqref="B19">
    <cfRule type="containsText" dxfId="5097" priority="1706" operator="containsText" text="Reconocimiento Créditos">
      <formula>NOT(ISERROR(SEARCH("Reconocimiento Créditos",B19)))</formula>
    </cfRule>
  </conditionalFormatting>
  <conditionalFormatting sqref="B19">
    <cfRule type="containsText" dxfId="5096" priority="1709" operator="containsText" text="Aprobado en otro curso">
      <formula>NOT(ISERROR(SEARCH("Aprobado en otro curso",B19)))</formula>
    </cfRule>
  </conditionalFormatting>
  <conditionalFormatting sqref="A20">
    <cfRule type="expression" dxfId="5095" priority="1704">
      <formula>AND(OR(ROW()=CELL("row"),COLUMN()=CELL("col")),NOT(ISBLANK($C20)),NOT(ISBLANK($B20)),ROW()&gt;2,COLUMN()&gt;1)</formula>
    </cfRule>
  </conditionalFormatting>
  <conditionalFormatting sqref="A20">
    <cfRule type="expression" dxfId="5094" priority="1703">
      <formula>SUM(--ISBLANK($B20:$J20))=COLUMNS($B20:$J20)</formula>
    </cfRule>
  </conditionalFormatting>
  <conditionalFormatting sqref="A20">
    <cfRule type="containsText" dxfId="5093" priority="1705" operator="containsText" text="NP">
      <formula>NOT(ISERROR(SEARCH("NP",A20)))</formula>
    </cfRule>
  </conditionalFormatting>
  <conditionalFormatting sqref="A20">
    <cfRule type="expression" dxfId="5092" priority="1702">
      <formula>ISBLANK(A20)</formula>
    </cfRule>
  </conditionalFormatting>
  <conditionalFormatting sqref="B20">
    <cfRule type="expression" dxfId="5091" priority="1698">
      <formula>B20=""</formula>
    </cfRule>
    <cfRule type="containsText" dxfId="5090" priority="1699" operator="containsText" text="NP">
      <formula>NOT(ISERROR(SEARCH("NP",B20)))</formula>
    </cfRule>
    <cfRule type="cellIs" dxfId="5089" priority="1700" operator="lessThan">
      <formula>4.95</formula>
    </cfRule>
  </conditionalFormatting>
  <conditionalFormatting sqref="B20">
    <cfRule type="expression" dxfId="5088" priority="1696">
      <formula>AND(OR(ROW()=CELL("row"),COLUMN()=CELL("col")),NOT(ISBLANK($C20)),NOT(ISBLANK($B20)),ROW()&gt;2,COLUMN()&gt;1)</formula>
    </cfRule>
  </conditionalFormatting>
  <conditionalFormatting sqref="B20">
    <cfRule type="expression" dxfId="5087" priority="1695">
      <formula>SUM(--ISBLANK($B20:$J20))=COLUMNS($B20:$J20)</formula>
    </cfRule>
  </conditionalFormatting>
  <conditionalFormatting sqref="B20">
    <cfRule type="containsText" dxfId="5086" priority="1697" operator="containsText" text="NP">
      <formula>NOT(ISERROR(SEARCH("NP",B20)))</formula>
    </cfRule>
  </conditionalFormatting>
  <conditionalFormatting sqref="B20">
    <cfRule type="cellIs" dxfId="5085" priority="1701" operator="greaterThanOrEqual">
      <formula>4.95</formula>
    </cfRule>
  </conditionalFormatting>
  <conditionalFormatting sqref="B20">
    <cfRule type="expression" dxfId="5084" priority="1694">
      <formula>ISBLANK(B20)</formula>
    </cfRule>
  </conditionalFormatting>
  <conditionalFormatting sqref="B20">
    <cfRule type="containsText" dxfId="5083" priority="1693" operator="containsText" text="Reconocimiento Créditos">
      <formula>NOT(ISERROR(SEARCH("Reconocimiento Créditos",B20)))</formula>
    </cfRule>
  </conditionalFormatting>
  <conditionalFormatting sqref="B20">
    <cfRule type="expression" dxfId="5082" priority="1691">
      <formula>AND(ISNUMBER(B20), OR(B20&gt;10, B20&lt;0))</formula>
    </cfRule>
  </conditionalFormatting>
  <conditionalFormatting sqref="B20">
    <cfRule type="expression" dxfId="5081" priority="1690">
      <formula>AND(NOT(ISNUMBER(B20)), B20&lt;&gt;"NP", B20&lt;&gt;"Reconocimiento Créditos", B20&lt;&gt;"Aprobado en otro curso")</formula>
    </cfRule>
  </conditionalFormatting>
  <conditionalFormatting sqref="B20">
    <cfRule type="containsText" dxfId="5080" priority="1689" operator="containsText" text="Reconocimiento Créditos">
      <formula>NOT(ISERROR(SEARCH("Reconocimiento Créditos",B20)))</formula>
    </cfRule>
  </conditionalFormatting>
  <conditionalFormatting sqref="B20">
    <cfRule type="containsText" dxfId="5079" priority="1692" operator="containsText" text="Aprobado en otro curso">
      <formula>NOT(ISERROR(SEARCH("Aprobado en otro curso",B20)))</formula>
    </cfRule>
  </conditionalFormatting>
  <conditionalFormatting sqref="A21">
    <cfRule type="expression" dxfId="5078" priority="1687">
      <formula>AND(OR(ROW()=CELL("row"),COLUMN()=CELL("col")),NOT(ISBLANK($C21)),NOT(ISBLANK($B21)),ROW()&gt;2,COLUMN()&gt;1)</formula>
    </cfRule>
  </conditionalFormatting>
  <conditionalFormatting sqref="A21">
    <cfRule type="expression" dxfId="5077" priority="1686">
      <formula>SUM(--ISBLANK($B21:$J21))=COLUMNS($B21:$J21)</formula>
    </cfRule>
  </conditionalFormatting>
  <conditionalFormatting sqref="A21">
    <cfRule type="containsText" dxfId="5076" priority="1688" operator="containsText" text="NP">
      <formula>NOT(ISERROR(SEARCH("NP",A21)))</formula>
    </cfRule>
  </conditionalFormatting>
  <conditionalFormatting sqref="A21">
    <cfRule type="expression" dxfId="5075" priority="1685">
      <formula>ISBLANK(A21)</formula>
    </cfRule>
  </conditionalFormatting>
  <conditionalFormatting sqref="B21">
    <cfRule type="expression" dxfId="5074" priority="1681">
      <formula>B21=""</formula>
    </cfRule>
    <cfRule type="containsText" dxfId="5073" priority="1682" operator="containsText" text="NP">
      <formula>NOT(ISERROR(SEARCH("NP",B21)))</formula>
    </cfRule>
    <cfRule type="cellIs" dxfId="5072" priority="1683" operator="lessThan">
      <formula>4.95</formula>
    </cfRule>
  </conditionalFormatting>
  <conditionalFormatting sqref="B21">
    <cfRule type="expression" dxfId="5071" priority="1679">
      <formula>AND(OR(ROW()=CELL("row"),COLUMN()=CELL("col")),NOT(ISBLANK($C21)),NOT(ISBLANK($B21)),ROW()&gt;2,COLUMN()&gt;1)</formula>
    </cfRule>
  </conditionalFormatting>
  <conditionalFormatting sqref="B21">
    <cfRule type="expression" dxfId="5070" priority="1678">
      <formula>SUM(--ISBLANK($B21:$J21))=COLUMNS($B21:$J21)</formula>
    </cfRule>
  </conditionalFormatting>
  <conditionalFormatting sqref="B21">
    <cfRule type="containsText" dxfId="5069" priority="1680" operator="containsText" text="NP">
      <formula>NOT(ISERROR(SEARCH("NP",B21)))</formula>
    </cfRule>
  </conditionalFormatting>
  <conditionalFormatting sqref="B21">
    <cfRule type="cellIs" dxfId="5068" priority="1684" operator="greaterThanOrEqual">
      <formula>4.95</formula>
    </cfRule>
  </conditionalFormatting>
  <conditionalFormatting sqref="B21">
    <cfRule type="expression" dxfId="5067" priority="1677">
      <formula>ISBLANK(B21)</formula>
    </cfRule>
  </conditionalFormatting>
  <conditionalFormatting sqref="B21">
    <cfRule type="containsText" dxfId="5066" priority="1676" operator="containsText" text="Reconocimiento Créditos">
      <formula>NOT(ISERROR(SEARCH("Reconocimiento Créditos",B21)))</formula>
    </cfRule>
  </conditionalFormatting>
  <conditionalFormatting sqref="B21">
    <cfRule type="expression" dxfId="5065" priority="1674">
      <formula>AND(ISNUMBER(B21), OR(B21&gt;10, B21&lt;0))</formula>
    </cfRule>
  </conditionalFormatting>
  <conditionalFormatting sqref="B21">
    <cfRule type="expression" dxfId="5064" priority="1673">
      <formula>AND(NOT(ISNUMBER(B21)), B21&lt;&gt;"NP", B21&lt;&gt;"Reconocimiento Créditos", B21&lt;&gt;"Aprobado en otro curso")</formula>
    </cfRule>
  </conditionalFormatting>
  <conditionalFormatting sqref="B21">
    <cfRule type="containsText" dxfId="5063" priority="1672" operator="containsText" text="Reconocimiento Créditos">
      <formula>NOT(ISERROR(SEARCH("Reconocimiento Créditos",B21)))</formula>
    </cfRule>
  </conditionalFormatting>
  <conditionalFormatting sqref="B21">
    <cfRule type="containsText" dxfId="5062" priority="1675" operator="containsText" text="Aprobado en otro curso">
      <formula>NOT(ISERROR(SEARCH("Aprobado en otro curso",B21)))</formula>
    </cfRule>
  </conditionalFormatting>
  <conditionalFormatting sqref="A22">
    <cfRule type="expression" dxfId="5061" priority="1670">
      <formula>AND(OR(ROW()=CELL("row"),COLUMN()=CELL("col")),NOT(ISBLANK($C22)),NOT(ISBLANK($B22)),ROW()&gt;2,COLUMN()&gt;1)</formula>
    </cfRule>
  </conditionalFormatting>
  <conditionalFormatting sqref="A22">
    <cfRule type="expression" dxfId="5060" priority="1669">
      <formula>SUM(--ISBLANK($B22:$J22))=COLUMNS($B22:$J22)</formula>
    </cfRule>
  </conditionalFormatting>
  <conditionalFormatting sqref="A22">
    <cfRule type="containsText" dxfId="5059" priority="1671" operator="containsText" text="NP">
      <formula>NOT(ISERROR(SEARCH("NP",A22)))</formula>
    </cfRule>
  </conditionalFormatting>
  <conditionalFormatting sqref="A22">
    <cfRule type="expression" dxfId="5058" priority="1668">
      <formula>ISBLANK(A22)</formula>
    </cfRule>
  </conditionalFormatting>
  <conditionalFormatting sqref="B22">
    <cfRule type="expression" dxfId="5057" priority="1664">
      <formula>B22=""</formula>
    </cfRule>
    <cfRule type="containsText" dxfId="5056" priority="1665" operator="containsText" text="NP">
      <formula>NOT(ISERROR(SEARCH("NP",B22)))</formula>
    </cfRule>
    <cfRule type="cellIs" dxfId="5055" priority="1666" operator="lessThan">
      <formula>4.95</formula>
    </cfRule>
  </conditionalFormatting>
  <conditionalFormatting sqref="B22">
    <cfRule type="containsText" dxfId="5054" priority="1662" operator="containsText" text="NP">
      <formula>NOT(ISERROR(SEARCH("NP",B22)))</formula>
    </cfRule>
    <cfRule type="cellIs" dxfId="5053" priority="1663" operator="lessThan">
      <formula>5</formula>
    </cfRule>
  </conditionalFormatting>
  <conditionalFormatting sqref="B22">
    <cfRule type="expression" dxfId="5052" priority="1660">
      <formula>AND(OR(ROW()=CELL("row"),COLUMN()=CELL("col")),NOT(ISBLANK($C22)),NOT(ISBLANK($B22)),ROW()&gt;2,COLUMN()&gt;1)</formula>
    </cfRule>
  </conditionalFormatting>
  <conditionalFormatting sqref="B22">
    <cfRule type="expression" dxfId="5051" priority="1659">
      <formula>SUM(--ISBLANK($B22:$J22))=COLUMNS($B22:$J22)</formula>
    </cfRule>
  </conditionalFormatting>
  <conditionalFormatting sqref="B22">
    <cfRule type="containsText" dxfId="5050" priority="1661" operator="containsText" text="NP">
      <formula>NOT(ISERROR(SEARCH("NP",B22)))</formula>
    </cfRule>
  </conditionalFormatting>
  <conditionalFormatting sqref="B22">
    <cfRule type="cellIs" dxfId="5049" priority="1667" operator="greaterThanOrEqual">
      <formula>4.95</formula>
    </cfRule>
  </conditionalFormatting>
  <conditionalFormatting sqref="B22">
    <cfRule type="expression" dxfId="5048" priority="1658">
      <formula>ISBLANK(B22)</formula>
    </cfRule>
  </conditionalFormatting>
  <conditionalFormatting sqref="B22">
    <cfRule type="containsText" dxfId="5047" priority="1657" operator="containsText" text="Reconocimiento Créditos">
      <formula>NOT(ISERROR(SEARCH("Reconocimiento Créditos",B22)))</formula>
    </cfRule>
  </conditionalFormatting>
  <conditionalFormatting sqref="B22">
    <cfRule type="expression" dxfId="5046" priority="1655">
      <formula>AND(ISNUMBER(B22), OR(B22&gt;10, B22&lt;0))</formula>
    </cfRule>
  </conditionalFormatting>
  <conditionalFormatting sqref="B22">
    <cfRule type="expression" dxfId="5045" priority="1654">
      <formula>AND(NOT(ISNUMBER(B22)), B22&lt;&gt;"NP", B22&lt;&gt;"Reconocimiento Créditos", B22&lt;&gt;"Aprobado en otro curso")</formula>
    </cfRule>
  </conditionalFormatting>
  <conditionalFormatting sqref="B22">
    <cfRule type="containsText" dxfId="5044" priority="1653" operator="containsText" text="Reconocimiento Créditos">
      <formula>NOT(ISERROR(SEARCH("Reconocimiento Créditos",B22)))</formula>
    </cfRule>
  </conditionalFormatting>
  <conditionalFormatting sqref="B22">
    <cfRule type="containsText" dxfId="5043" priority="1656" operator="containsText" text="Aprobado en otro curso">
      <formula>NOT(ISERROR(SEARCH("Aprobado en otro curso",B22)))</formula>
    </cfRule>
  </conditionalFormatting>
  <conditionalFormatting sqref="B22">
    <cfRule type="containsText" dxfId="5042" priority="1650" operator="containsText" text="NP">
      <formula>NOT(ISERROR(SEARCH("NP",B22)))</formula>
    </cfRule>
    <cfRule type="cellIs" dxfId="5041" priority="1651" operator="lessThan">
      <formula>5</formula>
    </cfRule>
  </conditionalFormatting>
  <conditionalFormatting sqref="B22">
    <cfRule type="containsText" dxfId="5040" priority="1649" operator="containsText" text="NP">
      <formula>NOT(ISERROR(SEARCH("NP",B22)))</formula>
    </cfRule>
  </conditionalFormatting>
  <conditionalFormatting sqref="B22">
    <cfRule type="expression" dxfId="5039" priority="1648">
      <formula>ISBLANK(B22)</formula>
    </cfRule>
  </conditionalFormatting>
  <conditionalFormatting sqref="B22">
    <cfRule type="expression" dxfId="5038" priority="1647">
      <formula>AND(OR(ROW()=CELL("row"),COLUMN()=CELL("col")),NOT(ISBLANK($C22)),NOT(ISBLANK($B22)),ROW()&gt;2,COLUMN()&gt;1)</formula>
    </cfRule>
  </conditionalFormatting>
  <conditionalFormatting sqref="B22">
    <cfRule type="containsText" dxfId="5037" priority="1645" operator="containsText" text="Aprobado en otro curso">
      <formula>NOT(ISERROR(SEARCH("Aprobado en otro curso",B22)))</formula>
    </cfRule>
    <cfRule type="containsText" dxfId="5036" priority="1646" operator="containsText" text="Reconocimiento Créditos">
      <formula>NOT(ISERROR(SEARCH("Reconocimiento Créditos",B22)))</formula>
    </cfRule>
  </conditionalFormatting>
  <conditionalFormatting sqref="B22">
    <cfRule type="expression" dxfId="5035" priority="1652">
      <formula>SUM(--ISBLANK($B22:$J22))=COLUMNS($B22:$J22)</formula>
    </cfRule>
  </conditionalFormatting>
  <conditionalFormatting sqref="B22">
    <cfRule type="expression" dxfId="5034" priority="1644">
      <formula>AND(ISNUMBER(B22), OR(B22&gt;10, B22&lt;0))</formula>
    </cfRule>
  </conditionalFormatting>
  <conditionalFormatting sqref="B22">
    <cfRule type="expression" dxfId="5033" priority="1643">
      <formula>AND(NOT(ISNUMBER(B22)), B22&lt;&gt;"NP", B22&lt;&gt;"Reconocimiento Créditos", B22&lt;&gt;"Aprobado en otro curso")</formula>
    </cfRule>
  </conditionalFormatting>
  <conditionalFormatting sqref="A23">
    <cfRule type="expression" dxfId="5032" priority="1641">
      <formula>AND(OR(ROW()=CELL("row"),COLUMN()=CELL("col")),NOT(ISBLANK($C23)),NOT(ISBLANK($B23)),ROW()&gt;2,COLUMN()&gt;1)</formula>
    </cfRule>
  </conditionalFormatting>
  <conditionalFormatting sqref="A23">
    <cfRule type="expression" dxfId="5031" priority="1640">
      <formula>SUM(--ISBLANK($B23:$J23))=COLUMNS($B23:$J23)</formula>
    </cfRule>
  </conditionalFormatting>
  <conditionalFormatting sqref="A23">
    <cfRule type="containsText" dxfId="5030" priority="1642" operator="containsText" text="NP">
      <formula>NOT(ISERROR(SEARCH("NP",A23)))</formula>
    </cfRule>
  </conditionalFormatting>
  <conditionalFormatting sqref="A23">
    <cfRule type="expression" dxfId="5029" priority="1639">
      <formula>ISBLANK(A23)</formula>
    </cfRule>
  </conditionalFormatting>
  <conditionalFormatting sqref="B23">
    <cfRule type="expression" dxfId="5028" priority="1635">
      <formula>B23=""</formula>
    </cfRule>
    <cfRule type="containsText" dxfId="5027" priority="1636" operator="containsText" text="NP">
      <formula>NOT(ISERROR(SEARCH("NP",B23)))</formula>
    </cfRule>
    <cfRule type="cellIs" dxfId="5026" priority="1637" operator="lessThan">
      <formula>4.95</formula>
    </cfRule>
  </conditionalFormatting>
  <conditionalFormatting sqref="B23">
    <cfRule type="expression" dxfId="5025" priority="1633">
      <formula>AND(OR(ROW()=CELL("row"),COLUMN()=CELL("col")),NOT(ISBLANK($C23)),NOT(ISBLANK($B23)),ROW()&gt;2,COLUMN()&gt;1)</formula>
    </cfRule>
  </conditionalFormatting>
  <conditionalFormatting sqref="B23">
    <cfRule type="expression" dxfId="5024" priority="1632">
      <formula>SUM(--ISBLANK($B23:$J23))=COLUMNS($B23:$J23)</formula>
    </cfRule>
  </conditionalFormatting>
  <conditionalFormatting sqref="B23">
    <cfRule type="containsText" dxfId="5023" priority="1634" operator="containsText" text="NP">
      <formula>NOT(ISERROR(SEARCH("NP",B23)))</formula>
    </cfRule>
  </conditionalFormatting>
  <conditionalFormatting sqref="B23">
    <cfRule type="cellIs" dxfId="5022" priority="1638" operator="greaterThanOrEqual">
      <formula>4.95</formula>
    </cfRule>
  </conditionalFormatting>
  <conditionalFormatting sqref="B23">
    <cfRule type="expression" dxfId="5021" priority="1631">
      <formula>ISBLANK(B23)</formula>
    </cfRule>
  </conditionalFormatting>
  <conditionalFormatting sqref="B23">
    <cfRule type="containsText" dxfId="5020" priority="1630" operator="containsText" text="Reconocimiento Créditos">
      <formula>NOT(ISERROR(SEARCH("Reconocimiento Créditos",B23)))</formula>
    </cfRule>
  </conditionalFormatting>
  <conditionalFormatting sqref="B23">
    <cfRule type="expression" dxfId="5019" priority="1628">
      <formula>AND(ISNUMBER(B23), OR(B23&gt;10, B23&lt;0))</formula>
    </cfRule>
  </conditionalFormatting>
  <conditionalFormatting sqref="B23">
    <cfRule type="expression" dxfId="5018" priority="1627">
      <formula>AND(NOT(ISNUMBER(B23)), B23&lt;&gt;"NP", B23&lt;&gt;"Reconocimiento Créditos", B23&lt;&gt;"Aprobado en otro curso")</formula>
    </cfRule>
  </conditionalFormatting>
  <conditionalFormatting sqref="B23">
    <cfRule type="containsText" dxfId="5017" priority="1626" operator="containsText" text="Reconocimiento Créditos">
      <formula>NOT(ISERROR(SEARCH("Reconocimiento Créditos",B23)))</formula>
    </cfRule>
  </conditionalFormatting>
  <conditionalFormatting sqref="B23">
    <cfRule type="containsText" dxfId="5016" priority="1629" operator="containsText" text="Aprobado en otro curso">
      <formula>NOT(ISERROR(SEARCH("Aprobado en otro curso",B23)))</formula>
    </cfRule>
  </conditionalFormatting>
  <conditionalFormatting sqref="A24">
    <cfRule type="expression" dxfId="5015" priority="1624">
      <formula>AND(OR(ROW()=CELL("row"),COLUMN()=CELL("col")),NOT(ISBLANK($C24)),NOT(ISBLANK($B24)),ROW()&gt;2,COLUMN()&gt;1)</formula>
    </cfRule>
  </conditionalFormatting>
  <conditionalFormatting sqref="A24">
    <cfRule type="expression" dxfId="5014" priority="1623">
      <formula>SUM(--ISBLANK($B24:$J24))=COLUMNS($B24:$J24)</formula>
    </cfRule>
  </conditionalFormatting>
  <conditionalFormatting sqref="A24">
    <cfRule type="containsText" dxfId="5013" priority="1625" operator="containsText" text="NP">
      <formula>NOT(ISERROR(SEARCH("NP",A24)))</formula>
    </cfRule>
  </conditionalFormatting>
  <conditionalFormatting sqref="A24">
    <cfRule type="expression" dxfId="5012" priority="1622">
      <formula>ISBLANK(A24)</formula>
    </cfRule>
  </conditionalFormatting>
  <conditionalFormatting sqref="B24">
    <cfRule type="expression" dxfId="5011" priority="1618">
      <formula>B24=""</formula>
    </cfRule>
    <cfRule type="containsText" dxfId="5010" priority="1619" operator="containsText" text="NP">
      <formula>NOT(ISERROR(SEARCH("NP",B24)))</formula>
    </cfRule>
    <cfRule type="cellIs" dxfId="5009" priority="1620" operator="lessThan">
      <formula>4.95</formula>
    </cfRule>
  </conditionalFormatting>
  <conditionalFormatting sqref="B24">
    <cfRule type="expression" dxfId="5008" priority="1616">
      <formula>AND(OR(ROW()=CELL("row"),COLUMN()=CELL("col")),NOT(ISBLANK($C24)),NOT(ISBLANK($B24)),ROW()&gt;2,COLUMN()&gt;1)</formula>
    </cfRule>
  </conditionalFormatting>
  <conditionalFormatting sqref="B24">
    <cfRule type="expression" dxfId="5007" priority="1615">
      <formula>SUM(--ISBLANK($B24:$J24))=COLUMNS($B24:$J24)</formula>
    </cfRule>
  </conditionalFormatting>
  <conditionalFormatting sqref="B24">
    <cfRule type="containsText" dxfId="5006" priority="1617" operator="containsText" text="NP">
      <formula>NOT(ISERROR(SEARCH("NP",B24)))</formula>
    </cfRule>
  </conditionalFormatting>
  <conditionalFormatting sqref="B24">
    <cfRule type="cellIs" dxfId="5005" priority="1621" operator="greaterThanOrEqual">
      <formula>4.95</formula>
    </cfRule>
  </conditionalFormatting>
  <conditionalFormatting sqref="B24">
    <cfRule type="expression" dxfId="5004" priority="1614">
      <formula>ISBLANK(B24)</formula>
    </cfRule>
  </conditionalFormatting>
  <conditionalFormatting sqref="B24">
    <cfRule type="containsText" dxfId="5003" priority="1613" operator="containsText" text="Reconocimiento Créditos">
      <formula>NOT(ISERROR(SEARCH("Reconocimiento Créditos",B24)))</formula>
    </cfRule>
  </conditionalFormatting>
  <conditionalFormatting sqref="B24">
    <cfRule type="expression" dxfId="5002" priority="1611">
      <formula>AND(ISNUMBER(B24), OR(B24&gt;10, B24&lt;0))</formula>
    </cfRule>
  </conditionalFormatting>
  <conditionalFormatting sqref="B24">
    <cfRule type="expression" dxfId="5001" priority="1610">
      <formula>AND(NOT(ISNUMBER(B24)), B24&lt;&gt;"NP", B24&lt;&gt;"Reconocimiento Créditos", B24&lt;&gt;"Aprobado en otro curso")</formula>
    </cfRule>
  </conditionalFormatting>
  <conditionalFormatting sqref="B24">
    <cfRule type="containsText" dxfId="5000" priority="1609" operator="containsText" text="Reconocimiento Créditos">
      <formula>NOT(ISERROR(SEARCH("Reconocimiento Créditos",B24)))</formula>
    </cfRule>
  </conditionalFormatting>
  <conditionalFormatting sqref="B24">
    <cfRule type="containsText" dxfId="4999" priority="1612" operator="containsText" text="Aprobado en otro curso">
      <formula>NOT(ISERROR(SEARCH("Aprobado en otro curso",B24)))</formula>
    </cfRule>
  </conditionalFormatting>
  <conditionalFormatting sqref="A25">
    <cfRule type="expression" dxfId="4998" priority="1607">
      <formula>AND(OR(ROW()=CELL("row"),COLUMN()=CELL("col")),NOT(ISBLANK($C25)),NOT(ISBLANK($B25)),ROW()&gt;2,COLUMN()&gt;1)</formula>
    </cfRule>
  </conditionalFormatting>
  <conditionalFormatting sqref="A25">
    <cfRule type="expression" dxfId="4997" priority="1606">
      <formula>SUM(--ISBLANK($B25:$J25))=COLUMNS($B25:$J25)</formula>
    </cfRule>
  </conditionalFormatting>
  <conditionalFormatting sqref="A25">
    <cfRule type="containsText" dxfId="4996" priority="1608" operator="containsText" text="NP">
      <formula>NOT(ISERROR(SEARCH("NP",A25)))</formula>
    </cfRule>
  </conditionalFormatting>
  <conditionalFormatting sqref="A25">
    <cfRule type="expression" dxfId="4995" priority="1605">
      <formula>ISBLANK(A25)</formula>
    </cfRule>
  </conditionalFormatting>
  <conditionalFormatting sqref="B25">
    <cfRule type="expression" dxfId="4994" priority="1601">
      <formula>B25=""</formula>
    </cfRule>
    <cfRule type="containsText" dxfId="4993" priority="1602" operator="containsText" text="NP">
      <formula>NOT(ISERROR(SEARCH("NP",B25)))</formula>
    </cfRule>
    <cfRule type="cellIs" dxfId="4992" priority="1603" operator="lessThan">
      <formula>4.95</formula>
    </cfRule>
  </conditionalFormatting>
  <conditionalFormatting sqref="B25">
    <cfRule type="expression" dxfId="4991" priority="1599">
      <formula>AND(OR(ROW()=CELL("row"),COLUMN()=CELL("col")),NOT(ISBLANK($C25)),NOT(ISBLANK($B25)),ROW()&gt;2,COLUMN()&gt;1)</formula>
    </cfRule>
  </conditionalFormatting>
  <conditionalFormatting sqref="B25">
    <cfRule type="expression" dxfId="4990" priority="1598">
      <formula>SUM(--ISBLANK($B25:$J25))=COLUMNS($B25:$J25)</formula>
    </cfRule>
  </conditionalFormatting>
  <conditionalFormatting sqref="B25">
    <cfRule type="containsText" dxfId="4989" priority="1600" operator="containsText" text="NP">
      <formula>NOT(ISERROR(SEARCH("NP",B25)))</formula>
    </cfRule>
  </conditionalFormatting>
  <conditionalFormatting sqref="B25">
    <cfRule type="cellIs" dxfId="4988" priority="1604" operator="greaterThanOrEqual">
      <formula>4.95</formula>
    </cfRule>
  </conditionalFormatting>
  <conditionalFormatting sqref="B25">
    <cfRule type="expression" dxfId="4987" priority="1597">
      <formula>ISBLANK(B25)</formula>
    </cfRule>
  </conditionalFormatting>
  <conditionalFormatting sqref="B25">
    <cfRule type="containsText" dxfId="4986" priority="1596" operator="containsText" text="Reconocimiento Créditos">
      <formula>NOT(ISERROR(SEARCH("Reconocimiento Créditos",B25)))</formula>
    </cfRule>
  </conditionalFormatting>
  <conditionalFormatting sqref="B25">
    <cfRule type="expression" dxfId="4985" priority="1594">
      <formula>AND(ISNUMBER(B25), OR(B25&gt;10, B25&lt;0))</formula>
    </cfRule>
  </conditionalFormatting>
  <conditionalFormatting sqref="B25">
    <cfRule type="expression" dxfId="4984" priority="1593">
      <formula>AND(NOT(ISNUMBER(B25)), B25&lt;&gt;"NP", B25&lt;&gt;"Reconocimiento Créditos", B25&lt;&gt;"Aprobado en otro curso")</formula>
    </cfRule>
  </conditionalFormatting>
  <conditionalFormatting sqref="B25">
    <cfRule type="containsText" dxfId="4983" priority="1592" operator="containsText" text="Reconocimiento Créditos">
      <formula>NOT(ISERROR(SEARCH("Reconocimiento Créditos",B25)))</formula>
    </cfRule>
  </conditionalFormatting>
  <conditionalFormatting sqref="B25">
    <cfRule type="containsText" dxfId="4982" priority="1595" operator="containsText" text="Aprobado en otro curso">
      <formula>NOT(ISERROR(SEARCH("Aprobado en otro curso",B25)))</formula>
    </cfRule>
  </conditionalFormatting>
  <conditionalFormatting sqref="A26">
    <cfRule type="expression" dxfId="4981" priority="1590">
      <formula>AND(OR(ROW()=CELL("row"),COLUMN()=CELL("col")),NOT(ISBLANK($C26)),NOT(ISBLANK($B26)),ROW()&gt;2,COLUMN()&gt;1)</formula>
    </cfRule>
  </conditionalFormatting>
  <conditionalFormatting sqref="A26">
    <cfRule type="expression" dxfId="4980" priority="1589">
      <formula>SUM(--ISBLANK($B26:$J26))=COLUMNS($B26:$J26)</formula>
    </cfRule>
  </conditionalFormatting>
  <conditionalFormatting sqref="A26">
    <cfRule type="containsText" dxfId="4979" priority="1591" operator="containsText" text="NP">
      <formula>NOT(ISERROR(SEARCH("NP",A26)))</formula>
    </cfRule>
  </conditionalFormatting>
  <conditionalFormatting sqref="A26">
    <cfRule type="expression" dxfId="4978" priority="1588">
      <formula>ISBLANK(A26)</formula>
    </cfRule>
  </conditionalFormatting>
  <conditionalFormatting sqref="B26">
    <cfRule type="expression" dxfId="4977" priority="1584">
      <formula>B26=""</formula>
    </cfRule>
    <cfRule type="containsText" dxfId="4976" priority="1585" operator="containsText" text="NP">
      <formula>NOT(ISERROR(SEARCH("NP",B26)))</formula>
    </cfRule>
    <cfRule type="cellIs" dxfId="4975" priority="1586" operator="lessThan">
      <formula>4.95</formula>
    </cfRule>
  </conditionalFormatting>
  <conditionalFormatting sqref="B26">
    <cfRule type="expression" dxfId="4974" priority="1582">
      <formula>AND(OR(ROW()=CELL("row"),COLUMN()=CELL("col")),NOT(ISBLANK($C26)),NOT(ISBLANK($B26)),ROW()&gt;2,COLUMN()&gt;1)</formula>
    </cfRule>
  </conditionalFormatting>
  <conditionalFormatting sqref="B26">
    <cfRule type="expression" dxfId="4973" priority="1581">
      <formula>SUM(--ISBLANK($B26:$J26))=COLUMNS($B26:$J26)</formula>
    </cfRule>
  </conditionalFormatting>
  <conditionalFormatting sqref="B26">
    <cfRule type="containsText" dxfId="4972" priority="1583" operator="containsText" text="NP">
      <formula>NOT(ISERROR(SEARCH("NP",B26)))</formula>
    </cfRule>
  </conditionalFormatting>
  <conditionalFormatting sqref="B26">
    <cfRule type="cellIs" dxfId="4971" priority="1587" operator="greaterThanOrEqual">
      <formula>4.95</formula>
    </cfRule>
  </conditionalFormatting>
  <conditionalFormatting sqref="B26">
    <cfRule type="expression" dxfId="4970" priority="1580">
      <formula>ISBLANK(B26)</formula>
    </cfRule>
  </conditionalFormatting>
  <conditionalFormatting sqref="B26">
    <cfRule type="containsText" dxfId="4969" priority="1579" operator="containsText" text="Reconocimiento Créditos">
      <formula>NOT(ISERROR(SEARCH("Reconocimiento Créditos",B26)))</formula>
    </cfRule>
  </conditionalFormatting>
  <conditionalFormatting sqref="B26">
    <cfRule type="expression" dxfId="4968" priority="1577">
      <formula>AND(ISNUMBER(B26), OR(B26&gt;10, B26&lt;0))</formula>
    </cfRule>
  </conditionalFormatting>
  <conditionalFormatting sqref="B26">
    <cfRule type="expression" dxfId="4967" priority="1576">
      <formula>AND(NOT(ISNUMBER(B26)), B26&lt;&gt;"NP", B26&lt;&gt;"Reconocimiento Créditos", B26&lt;&gt;"Aprobado en otro curso")</formula>
    </cfRule>
  </conditionalFormatting>
  <conditionalFormatting sqref="B26">
    <cfRule type="containsText" dxfId="4966" priority="1575" operator="containsText" text="Reconocimiento Créditos">
      <formula>NOT(ISERROR(SEARCH("Reconocimiento Créditos",B26)))</formula>
    </cfRule>
  </conditionalFormatting>
  <conditionalFormatting sqref="B26">
    <cfRule type="containsText" dxfId="4965" priority="1578" operator="containsText" text="Aprobado en otro curso">
      <formula>NOT(ISERROR(SEARCH("Aprobado en otro curso",B26)))</formula>
    </cfRule>
  </conditionalFormatting>
  <conditionalFormatting sqref="A27">
    <cfRule type="expression" dxfId="4964" priority="1573">
      <formula>AND(OR(ROW()=CELL("row"),COLUMN()=CELL("col")),NOT(ISBLANK($C27)),NOT(ISBLANK($B27)),ROW()&gt;2,COLUMN()&gt;1)</formula>
    </cfRule>
  </conditionalFormatting>
  <conditionalFormatting sqref="A27">
    <cfRule type="expression" dxfId="4963" priority="1572">
      <formula>SUM(--ISBLANK($B27:$J27))=COLUMNS($B27:$J27)</formula>
    </cfRule>
  </conditionalFormatting>
  <conditionalFormatting sqref="A27">
    <cfRule type="containsText" dxfId="4962" priority="1574" operator="containsText" text="NP">
      <formula>NOT(ISERROR(SEARCH("NP",A27)))</formula>
    </cfRule>
  </conditionalFormatting>
  <conditionalFormatting sqref="A27">
    <cfRule type="expression" dxfId="4961" priority="1571">
      <formula>ISBLANK(A27)</formula>
    </cfRule>
  </conditionalFormatting>
  <conditionalFormatting sqref="B27">
    <cfRule type="expression" dxfId="4960" priority="1567">
      <formula>B27=""</formula>
    </cfRule>
    <cfRule type="containsText" dxfId="4959" priority="1568" operator="containsText" text="NP">
      <formula>NOT(ISERROR(SEARCH("NP",B27)))</formula>
    </cfRule>
    <cfRule type="cellIs" dxfId="4958" priority="1569" operator="lessThan">
      <formula>4.95</formula>
    </cfRule>
  </conditionalFormatting>
  <conditionalFormatting sqref="B27">
    <cfRule type="expression" dxfId="4957" priority="1565">
      <formula>AND(OR(ROW()=CELL("row"),COLUMN()=CELL("col")),NOT(ISBLANK($C27)),NOT(ISBLANK($B27)),ROW()&gt;2,COLUMN()&gt;1)</formula>
    </cfRule>
  </conditionalFormatting>
  <conditionalFormatting sqref="B27">
    <cfRule type="expression" dxfId="4956" priority="1564">
      <formula>SUM(--ISBLANK($B27:$J27))=COLUMNS($B27:$J27)</formula>
    </cfRule>
  </conditionalFormatting>
  <conditionalFormatting sqref="B27">
    <cfRule type="containsText" dxfId="4955" priority="1566" operator="containsText" text="NP">
      <formula>NOT(ISERROR(SEARCH("NP",B27)))</formula>
    </cfRule>
  </conditionalFormatting>
  <conditionalFormatting sqref="B27">
    <cfRule type="cellIs" dxfId="4954" priority="1570" operator="greaterThanOrEqual">
      <formula>4.95</formula>
    </cfRule>
  </conditionalFormatting>
  <conditionalFormatting sqref="B27">
    <cfRule type="expression" dxfId="4953" priority="1563">
      <formula>ISBLANK(B27)</formula>
    </cfRule>
  </conditionalFormatting>
  <conditionalFormatting sqref="B27">
    <cfRule type="containsText" dxfId="4952" priority="1562" operator="containsText" text="Reconocimiento Créditos">
      <formula>NOT(ISERROR(SEARCH("Reconocimiento Créditos",B27)))</formula>
    </cfRule>
  </conditionalFormatting>
  <conditionalFormatting sqref="B27">
    <cfRule type="expression" dxfId="4951" priority="1560">
      <formula>AND(ISNUMBER(B27), OR(B27&gt;10, B27&lt;0))</formula>
    </cfRule>
  </conditionalFormatting>
  <conditionalFormatting sqref="B27">
    <cfRule type="expression" dxfId="4950" priority="1559">
      <formula>AND(NOT(ISNUMBER(B27)), B27&lt;&gt;"NP", B27&lt;&gt;"Reconocimiento Créditos", B27&lt;&gt;"Aprobado en otro curso")</formula>
    </cfRule>
  </conditionalFormatting>
  <conditionalFormatting sqref="B27">
    <cfRule type="containsText" dxfId="4949" priority="1558" operator="containsText" text="Reconocimiento Créditos">
      <formula>NOT(ISERROR(SEARCH("Reconocimiento Créditos",B27)))</formula>
    </cfRule>
  </conditionalFormatting>
  <conditionalFormatting sqref="B27">
    <cfRule type="containsText" dxfId="4948" priority="1561" operator="containsText" text="Aprobado en otro curso">
      <formula>NOT(ISERROR(SEARCH("Aprobado en otro curso",B27)))</formula>
    </cfRule>
  </conditionalFormatting>
  <conditionalFormatting sqref="A28">
    <cfRule type="expression" dxfId="4947" priority="1556">
      <formula>AND(OR(ROW()=CELL("row"),COLUMN()=CELL("col")),NOT(ISBLANK($C28)),NOT(ISBLANK($B28)),ROW()&gt;2,COLUMN()&gt;1)</formula>
    </cfRule>
  </conditionalFormatting>
  <conditionalFormatting sqref="A28">
    <cfRule type="expression" dxfId="4946" priority="1555">
      <formula>SUM(--ISBLANK($B28:$J28))=COLUMNS($B28:$J28)</formula>
    </cfRule>
  </conditionalFormatting>
  <conditionalFormatting sqref="A28">
    <cfRule type="containsText" dxfId="4945" priority="1557" operator="containsText" text="NP">
      <formula>NOT(ISERROR(SEARCH("NP",A28)))</formula>
    </cfRule>
  </conditionalFormatting>
  <conditionalFormatting sqref="A28">
    <cfRule type="expression" dxfId="4944" priority="1554">
      <formula>ISBLANK(A28)</formula>
    </cfRule>
  </conditionalFormatting>
  <conditionalFormatting sqref="B28">
    <cfRule type="expression" dxfId="4943" priority="1550">
      <formula>B28=""</formula>
    </cfRule>
    <cfRule type="containsText" dxfId="4942" priority="1551" operator="containsText" text="NP">
      <formula>NOT(ISERROR(SEARCH("NP",B28)))</formula>
    </cfRule>
    <cfRule type="cellIs" dxfId="4941" priority="1552" operator="lessThan">
      <formula>4.95</formula>
    </cfRule>
  </conditionalFormatting>
  <conditionalFormatting sqref="B28">
    <cfRule type="expression" dxfId="4940" priority="1548">
      <formula>AND(OR(ROW()=CELL("row"),COLUMN()=CELL("col")),NOT(ISBLANK($C28)),NOT(ISBLANK($B28)),ROW()&gt;2,COLUMN()&gt;1)</formula>
    </cfRule>
  </conditionalFormatting>
  <conditionalFormatting sqref="B28">
    <cfRule type="expression" dxfId="4939" priority="1547">
      <formula>SUM(--ISBLANK($B28:$J28))=COLUMNS($B28:$J28)</formula>
    </cfRule>
  </conditionalFormatting>
  <conditionalFormatting sqref="B28">
    <cfRule type="containsText" dxfId="4938" priority="1549" operator="containsText" text="NP">
      <formula>NOT(ISERROR(SEARCH("NP",B28)))</formula>
    </cfRule>
  </conditionalFormatting>
  <conditionalFormatting sqref="B28">
    <cfRule type="cellIs" dxfId="4937" priority="1553" operator="greaterThanOrEqual">
      <formula>4.95</formula>
    </cfRule>
  </conditionalFormatting>
  <conditionalFormatting sqref="B28">
    <cfRule type="expression" dxfId="4936" priority="1546">
      <formula>ISBLANK(B28)</formula>
    </cfRule>
  </conditionalFormatting>
  <conditionalFormatting sqref="B28">
    <cfRule type="containsText" dxfId="4935" priority="1545" operator="containsText" text="Reconocimiento Créditos">
      <formula>NOT(ISERROR(SEARCH("Reconocimiento Créditos",B28)))</formula>
    </cfRule>
  </conditionalFormatting>
  <conditionalFormatting sqref="B28">
    <cfRule type="expression" dxfId="4934" priority="1543">
      <formula>AND(ISNUMBER(B28), OR(B28&gt;10, B28&lt;0))</formula>
    </cfRule>
  </conditionalFormatting>
  <conditionalFormatting sqref="B28">
    <cfRule type="expression" dxfId="4933" priority="1542">
      <formula>AND(NOT(ISNUMBER(B28)), B28&lt;&gt;"NP", B28&lt;&gt;"Reconocimiento Créditos", B28&lt;&gt;"Aprobado en otro curso")</formula>
    </cfRule>
  </conditionalFormatting>
  <conditionalFormatting sqref="B28">
    <cfRule type="containsText" dxfId="4932" priority="1541" operator="containsText" text="Reconocimiento Créditos">
      <formula>NOT(ISERROR(SEARCH("Reconocimiento Créditos",B28)))</formula>
    </cfRule>
  </conditionalFormatting>
  <conditionalFormatting sqref="B28">
    <cfRule type="containsText" dxfId="4931" priority="1544" operator="containsText" text="Aprobado en otro curso">
      <formula>NOT(ISERROR(SEARCH("Aprobado en otro curso",B28)))</formula>
    </cfRule>
  </conditionalFormatting>
  <conditionalFormatting sqref="A29">
    <cfRule type="expression" dxfId="4930" priority="1539">
      <formula>AND(OR(ROW()=CELL("row"),COLUMN()=CELL("col")),NOT(ISBLANK($C29)),NOT(ISBLANK($B29)),ROW()&gt;2,COLUMN()&gt;1)</formula>
    </cfRule>
  </conditionalFormatting>
  <conditionalFormatting sqref="A29">
    <cfRule type="expression" dxfId="4929" priority="1538">
      <formula>SUM(--ISBLANK($B29:$J29))=COLUMNS($B29:$J29)</formula>
    </cfRule>
  </conditionalFormatting>
  <conditionalFormatting sqref="A29">
    <cfRule type="containsText" dxfId="4928" priority="1540" operator="containsText" text="NP">
      <formula>NOT(ISERROR(SEARCH("NP",A29)))</formula>
    </cfRule>
  </conditionalFormatting>
  <conditionalFormatting sqref="A29">
    <cfRule type="expression" dxfId="4927" priority="1537">
      <formula>ISBLANK(A29)</formula>
    </cfRule>
  </conditionalFormatting>
  <conditionalFormatting sqref="B29">
    <cfRule type="expression" dxfId="4926" priority="1533">
      <formula>B29=""</formula>
    </cfRule>
    <cfRule type="containsText" dxfId="4925" priority="1534" operator="containsText" text="NP">
      <formula>NOT(ISERROR(SEARCH("NP",B29)))</formula>
    </cfRule>
    <cfRule type="cellIs" dxfId="4924" priority="1535" operator="lessThan">
      <formula>4.95</formula>
    </cfRule>
  </conditionalFormatting>
  <conditionalFormatting sqref="B29">
    <cfRule type="expression" dxfId="4923" priority="1531">
      <formula>AND(OR(ROW()=CELL("row"),COLUMN()=CELL("col")),NOT(ISBLANK($C29)),NOT(ISBLANK($B29)),ROW()&gt;2,COLUMN()&gt;1)</formula>
    </cfRule>
  </conditionalFormatting>
  <conditionalFormatting sqref="B29">
    <cfRule type="expression" dxfId="4922" priority="1530">
      <formula>SUM(--ISBLANK($B29:$J29))=COLUMNS($B29:$J29)</formula>
    </cfRule>
  </conditionalFormatting>
  <conditionalFormatting sqref="B29">
    <cfRule type="containsText" dxfId="4921" priority="1532" operator="containsText" text="NP">
      <formula>NOT(ISERROR(SEARCH("NP",B29)))</formula>
    </cfRule>
  </conditionalFormatting>
  <conditionalFormatting sqref="B29">
    <cfRule type="cellIs" dxfId="4920" priority="1536" operator="greaterThanOrEqual">
      <formula>4.95</formula>
    </cfRule>
  </conditionalFormatting>
  <conditionalFormatting sqref="B29">
    <cfRule type="expression" dxfId="4919" priority="1529">
      <formula>ISBLANK(B29)</formula>
    </cfRule>
  </conditionalFormatting>
  <conditionalFormatting sqref="B29">
    <cfRule type="containsText" dxfId="4918" priority="1528" operator="containsText" text="Reconocimiento Créditos">
      <formula>NOT(ISERROR(SEARCH("Reconocimiento Créditos",B29)))</formula>
    </cfRule>
  </conditionalFormatting>
  <conditionalFormatting sqref="B29">
    <cfRule type="expression" dxfId="4917" priority="1526">
      <formula>AND(ISNUMBER(B29), OR(B29&gt;10, B29&lt;0))</formula>
    </cfRule>
  </conditionalFormatting>
  <conditionalFormatting sqref="B29">
    <cfRule type="expression" dxfId="4916" priority="1525">
      <formula>AND(NOT(ISNUMBER(B29)), B29&lt;&gt;"NP", B29&lt;&gt;"Reconocimiento Créditos", B29&lt;&gt;"Aprobado en otro curso")</formula>
    </cfRule>
  </conditionalFormatting>
  <conditionalFormatting sqref="B29">
    <cfRule type="containsText" dxfId="4915" priority="1524" operator="containsText" text="Reconocimiento Créditos">
      <formula>NOT(ISERROR(SEARCH("Reconocimiento Créditos",B29)))</formula>
    </cfRule>
  </conditionalFormatting>
  <conditionalFormatting sqref="B29">
    <cfRule type="containsText" dxfId="4914" priority="1527" operator="containsText" text="Aprobado en otro curso">
      <formula>NOT(ISERROR(SEARCH("Aprobado en otro curso",B29)))</formula>
    </cfRule>
  </conditionalFormatting>
  <conditionalFormatting sqref="A30">
    <cfRule type="expression" dxfId="4913" priority="1522">
      <formula>AND(OR(ROW()=CELL("row"),COLUMN()=CELL("col")),NOT(ISBLANK($C30)),NOT(ISBLANK($B30)),ROW()&gt;2,COLUMN()&gt;1)</formula>
    </cfRule>
  </conditionalFormatting>
  <conditionalFormatting sqref="A30">
    <cfRule type="expression" dxfId="4912" priority="1521">
      <formula>SUM(--ISBLANK($B30:$J30))=COLUMNS($B30:$J30)</formula>
    </cfRule>
  </conditionalFormatting>
  <conditionalFormatting sqref="A30">
    <cfRule type="containsText" dxfId="4911" priority="1523" operator="containsText" text="NP">
      <formula>NOT(ISERROR(SEARCH("NP",A30)))</formula>
    </cfRule>
  </conditionalFormatting>
  <conditionalFormatting sqref="A30">
    <cfRule type="expression" dxfId="4910" priority="1520">
      <formula>ISBLANK(A30)</formula>
    </cfRule>
  </conditionalFormatting>
  <conditionalFormatting sqref="B30">
    <cfRule type="expression" dxfId="4909" priority="1516">
      <formula>B30=""</formula>
    </cfRule>
    <cfRule type="containsText" dxfId="4908" priority="1517" operator="containsText" text="NP">
      <formula>NOT(ISERROR(SEARCH("NP",B30)))</formula>
    </cfRule>
    <cfRule type="cellIs" dxfId="4907" priority="1518" operator="lessThan">
      <formula>4.95</formula>
    </cfRule>
  </conditionalFormatting>
  <conditionalFormatting sqref="B30">
    <cfRule type="expression" dxfId="4906" priority="1514">
      <formula>AND(OR(ROW()=CELL("row"),COLUMN()=CELL("col")),NOT(ISBLANK($C30)),NOT(ISBLANK($B30)),ROW()&gt;2,COLUMN()&gt;1)</formula>
    </cfRule>
  </conditionalFormatting>
  <conditionalFormatting sqref="B30">
    <cfRule type="expression" dxfId="4905" priority="1513">
      <formula>SUM(--ISBLANK($B30:$J30))=COLUMNS($B30:$J30)</formula>
    </cfRule>
  </conditionalFormatting>
  <conditionalFormatting sqref="B30">
    <cfRule type="containsText" dxfId="4904" priority="1515" operator="containsText" text="NP">
      <formula>NOT(ISERROR(SEARCH("NP",B30)))</formula>
    </cfRule>
  </conditionalFormatting>
  <conditionalFormatting sqref="B30">
    <cfRule type="cellIs" dxfId="4903" priority="1519" operator="greaterThanOrEqual">
      <formula>4.95</formula>
    </cfRule>
  </conditionalFormatting>
  <conditionalFormatting sqref="B30">
    <cfRule type="expression" dxfId="4902" priority="1512">
      <formula>ISBLANK(B30)</formula>
    </cfRule>
  </conditionalFormatting>
  <conditionalFormatting sqref="B30">
    <cfRule type="containsText" dxfId="4901" priority="1511" operator="containsText" text="Reconocimiento Créditos">
      <formula>NOT(ISERROR(SEARCH("Reconocimiento Créditos",B30)))</formula>
    </cfRule>
  </conditionalFormatting>
  <conditionalFormatting sqref="B30">
    <cfRule type="expression" dxfId="4900" priority="1509">
      <formula>AND(ISNUMBER(B30), OR(B30&gt;10, B30&lt;0))</formula>
    </cfRule>
  </conditionalFormatting>
  <conditionalFormatting sqref="B30">
    <cfRule type="containsText" dxfId="4899" priority="1508" operator="containsText" text="Reconocimiento Créditos">
      <formula>NOT(ISERROR(SEARCH("Reconocimiento Créditos",B30)))</formula>
    </cfRule>
  </conditionalFormatting>
  <conditionalFormatting sqref="B30">
    <cfRule type="containsText" dxfId="4898" priority="1510" operator="containsText" text="Aprobado en otro curso">
      <formula>NOT(ISERROR(SEARCH("Aprobado en otro curso",B30)))</formula>
    </cfRule>
  </conditionalFormatting>
  <conditionalFormatting sqref="A31">
    <cfRule type="expression" dxfId="4897" priority="1506">
      <formula>AND(OR(ROW()=CELL("row"),COLUMN()=CELL("col")),NOT(ISBLANK($C31)),NOT(ISBLANK($B31)),ROW()&gt;2,COLUMN()&gt;1)</formula>
    </cfRule>
  </conditionalFormatting>
  <conditionalFormatting sqref="A31">
    <cfRule type="expression" dxfId="4896" priority="1505">
      <formula>SUM(--ISBLANK($B31:$J31))=COLUMNS($B31:$J31)</formula>
    </cfRule>
  </conditionalFormatting>
  <conditionalFormatting sqref="A31">
    <cfRule type="containsText" dxfId="4895" priority="1507" operator="containsText" text="NP">
      <formula>NOT(ISERROR(SEARCH("NP",A31)))</formula>
    </cfRule>
  </conditionalFormatting>
  <conditionalFormatting sqref="A31">
    <cfRule type="expression" dxfId="4894" priority="1504">
      <formula>ISBLANK(A31)</formula>
    </cfRule>
  </conditionalFormatting>
  <conditionalFormatting sqref="B31">
    <cfRule type="expression" dxfId="4893" priority="1500">
      <formula>B31=""</formula>
    </cfRule>
    <cfRule type="containsText" dxfId="4892" priority="1501" operator="containsText" text="NP">
      <formula>NOT(ISERROR(SEARCH("NP",B31)))</formula>
    </cfRule>
    <cfRule type="cellIs" dxfId="4891" priority="1502" operator="lessThan">
      <formula>4.95</formula>
    </cfRule>
  </conditionalFormatting>
  <conditionalFormatting sqref="B31">
    <cfRule type="expression" dxfId="4890" priority="1498">
      <formula>AND(OR(ROW()=CELL("row"),COLUMN()=CELL("col")),NOT(ISBLANK($C31)),NOT(ISBLANK($B31)),ROW()&gt;2,COLUMN()&gt;1)</formula>
    </cfRule>
  </conditionalFormatting>
  <conditionalFormatting sqref="B31">
    <cfRule type="expression" dxfId="4889" priority="1497">
      <formula>SUM(--ISBLANK($B31:$J31))=COLUMNS($B31:$J31)</formula>
    </cfRule>
  </conditionalFormatting>
  <conditionalFormatting sqref="B31">
    <cfRule type="containsText" dxfId="4888" priority="1499" operator="containsText" text="NP">
      <formula>NOT(ISERROR(SEARCH("NP",B31)))</formula>
    </cfRule>
  </conditionalFormatting>
  <conditionalFormatting sqref="B31">
    <cfRule type="cellIs" dxfId="4887" priority="1503" operator="greaterThanOrEqual">
      <formula>4.95</formula>
    </cfRule>
  </conditionalFormatting>
  <conditionalFormatting sqref="B31">
    <cfRule type="expression" dxfId="4886" priority="1496">
      <formula>ISBLANK(B31)</formula>
    </cfRule>
  </conditionalFormatting>
  <conditionalFormatting sqref="B31">
    <cfRule type="containsText" dxfId="4885" priority="1495" operator="containsText" text="Reconocimiento Créditos">
      <formula>NOT(ISERROR(SEARCH("Reconocimiento Créditos",B31)))</formula>
    </cfRule>
  </conditionalFormatting>
  <conditionalFormatting sqref="B31">
    <cfRule type="expression" dxfId="4884" priority="1493">
      <formula>AND(ISNUMBER(B31), OR(B31&gt;10, B31&lt;0))</formula>
    </cfRule>
  </conditionalFormatting>
  <conditionalFormatting sqref="B31">
    <cfRule type="expression" dxfId="4883" priority="1492">
      <formula>AND(NOT(ISNUMBER(B31)), B31&lt;&gt;"NP", B31&lt;&gt;"Reconocimiento Créditos", B31&lt;&gt;"Aprobado en otro curso")</formula>
    </cfRule>
  </conditionalFormatting>
  <conditionalFormatting sqref="B31">
    <cfRule type="containsText" dxfId="4882" priority="1491" operator="containsText" text="Reconocimiento Créditos">
      <formula>NOT(ISERROR(SEARCH("Reconocimiento Créditos",B31)))</formula>
    </cfRule>
  </conditionalFormatting>
  <conditionalFormatting sqref="B31">
    <cfRule type="containsText" dxfId="4881" priority="1494" operator="containsText" text="Aprobado en otro curso">
      <formula>NOT(ISERROR(SEARCH("Aprobado en otro curso",B31)))</formula>
    </cfRule>
  </conditionalFormatting>
  <conditionalFormatting sqref="A32">
    <cfRule type="expression" dxfId="4880" priority="1489">
      <formula>AND(OR(ROW()=CELL("row"),COLUMN()=CELL("col")),NOT(ISBLANK($C32)),NOT(ISBLANK($B32)),ROW()&gt;2,COLUMN()&gt;1)</formula>
    </cfRule>
  </conditionalFormatting>
  <conditionalFormatting sqref="A32">
    <cfRule type="expression" dxfId="4879" priority="1488">
      <formula>SUM(--ISBLANK($B32:$J32))=COLUMNS($B32:$J32)</formula>
    </cfRule>
  </conditionalFormatting>
  <conditionalFormatting sqref="A32">
    <cfRule type="containsText" dxfId="4878" priority="1490" operator="containsText" text="NP">
      <formula>NOT(ISERROR(SEARCH("NP",A32)))</formula>
    </cfRule>
  </conditionalFormatting>
  <conditionalFormatting sqref="A32">
    <cfRule type="expression" dxfId="4877" priority="1487">
      <formula>ISBLANK(A32)</formula>
    </cfRule>
  </conditionalFormatting>
  <conditionalFormatting sqref="B32">
    <cfRule type="expression" dxfId="4876" priority="1483">
      <formula>B32=""</formula>
    </cfRule>
    <cfRule type="containsText" dxfId="4875" priority="1484" operator="containsText" text="NP">
      <formula>NOT(ISERROR(SEARCH("NP",B32)))</formula>
    </cfRule>
    <cfRule type="cellIs" dxfId="4874" priority="1485" operator="lessThan">
      <formula>4.95</formula>
    </cfRule>
  </conditionalFormatting>
  <conditionalFormatting sqref="B32">
    <cfRule type="expression" dxfId="4873" priority="1481">
      <formula>AND(OR(ROW()=CELL("row"),COLUMN()=CELL("col")),NOT(ISBLANK($C32)),NOT(ISBLANK($B32)),ROW()&gt;2,COLUMN()&gt;1)</formula>
    </cfRule>
  </conditionalFormatting>
  <conditionalFormatting sqref="B32">
    <cfRule type="expression" dxfId="4872" priority="1480">
      <formula>SUM(--ISBLANK($B32:$J32))=COLUMNS($B32:$J32)</formula>
    </cfRule>
  </conditionalFormatting>
  <conditionalFormatting sqref="B32">
    <cfRule type="containsText" dxfId="4871" priority="1482" operator="containsText" text="NP">
      <formula>NOT(ISERROR(SEARCH("NP",B32)))</formula>
    </cfRule>
  </conditionalFormatting>
  <conditionalFormatting sqref="B32">
    <cfRule type="cellIs" dxfId="4870" priority="1486" operator="greaterThanOrEqual">
      <formula>4.95</formula>
    </cfRule>
  </conditionalFormatting>
  <conditionalFormatting sqref="B32">
    <cfRule type="expression" dxfId="4869" priority="1479">
      <formula>ISBLANK(B32)</formula>
    </cfRule>
  </conditionalFormatting>
  <conditionalFormatting sqref="B32">
    <cfRule type="containsText" dxfId="4868" priority="1478" operator="containsText" text="Reconocimiento Créditos">
      <formula>NOT(ISERROR(SEARCH("Reconocimiento Créditos",B32)))</formula>
    </cfRule>
  </conditionalFormatting>
  <conditionalFormatting sqref="B32">
    <cfRule type="expression" dxfId="4867" priority="1476">
      <formula>AND(ISNUMBER(B32), OR(B32&gt;10, B32&lt;0))</formula>
    </cfRule>
  </conditionalFormatting>
  <conditionalFormatting sqref="B32">
    <cfRule type="expression" dxfId="4866" priority="1475">
      <formula>AND(NOT(ISNUMBER(B32)), B32&lt;&gt;"NP", B32&lt;&gt;"Reconocimiento Créditos", B32&lt;&gt;"Aprobado en otro curso")</formula>
    </cfRule>
  </conditionalFormatting>
  <conditionalFormatting sqref="B32">
    <cfRule type="containsText" dxfId="4865" priority="1474" operator="containsText" text="Reconocimiento Créditos">
      <formula>NOT(ISERROR(SEARCH("Reconocimiento Créditos",B32)))</formula>
    </cfRule>
  </conditionalFormatting>
  <conditionalFormatting sqref="B32">
    <cfRule type="containsText" dxfId="4864" priority="1477" operator="containsText" text="Aprobado en otro curso">
      <formula>NOT(ISERROR(SEARCH("Aprobado en otro curso",B32)))</formula>
    </cfRule>
  </conditionalFormatting>
  <conditionalFormatting sqref="A33">
    <cfRule type="expression" dxfId="4863" priority="1472">
      <formula>AND(OR(ROW()=CELL("row"),COLUMN()=CELL("col")),NOT(ISBLANK($C33)),NOT(ISBLANK($B33)),ROW()&gt;2,COLUMN()&gt;1)</formula>
    </cfRule>
  </conditionalFormatting>
  <conditionalFormatting sqref="A33">
    <cfRule type="expression" dxfId="4862" priority="1471">
      <formula>SUM(--ISBLANK($B33:$J33))=COLUMNS($B33:$J33)</formula>
    </cfRule>
  </conditionalFormatting>
  <conditionalFormatting sqref="A33">
    <cfRule type="containsText" dxfId="4861" priority="1473" operator="containsText" text="NP">
      <formula>NOT(ISERROR(SEARCH("NP",A33)))</formula>
    </cfRule>
  </conditionalFormatting>
  <conditionalFormatting sqref="A33">
    <cfRule type="expression" dxfId="4860" priority="1470">
      <formula>ISBLANK(A33)</formula>
    </cfRule>
  </conditionalFormatting>
  <conditionalFormatting sqref="B33">
    <cfRule type="expression" dxfId="4859" priority="1466">
      <formula>B33=""</formula>
    </cfRule>
    <cfRule type="containsText" dxfId="4858" priority="1467" operator="containsText" text="NP">
      <formula>NOT(ISERROR(SEARCH("NP",B33)))</formula>
    </cfRule>
    <cfRule type="cellIs" dxfId="4857" priority="1468" operator="lessThan">
      <formula>4.95</formula>
    </cfRule>
  </conditionalFormatting>
  <conditionalFormatting sqref="B33">
    <cfRule type="expression" dxfId="4856" priority="1464">
      <formula>AND(OR(ROW()=CELL("row"),COLUMN()=CELL("col")),NOT(ISBLANK($C33)),NOT(ISBLANK($B33)),ROW()&gt;2,COLUMN()&gt;1)</formula>
    </cfRule>
  </conditionalFormatting>
  <conditionalFormatting sqref="B33">
    <cfRule type="expression" dxfId="4855" priority="1463">
      <formula>SUM(--ISBLANK($B33:$J33))=COLUMNS($B33:$J33)</formula>
    </cfRule>
  </conditionalFormatting>
  <conditionalFormatting sqref="B33">
    <cfRule type="containsText" dxfId="4854" priority="1465" operator="containsText" text="NP">
      <formula>NOT(ISERROR(SEARCH("NP",B33)))</formula>
    </cfRule>
  </conditionalFormatting>
  <conditionalFormatting sqref="B33">
    <cfRule type="cellIs" dxfId="4853" priority="1469" operator="greaterThanOrEqual">
      <formula>4.95</formula>
    </cfRule>
  </conditionalFormatting>
  <conditionalFormatting sqref="B33">
    <cfRule type="expression" dxfId="4852" priority="1462">
      <formula>ISBLANK(B33)</formula>
    </cfRule>
  </conditionalFormatting>
  <conditionalFormatting sqref="B33">
    <cfRule type="containsText" dxfId="4851" priority="1461" operator="containsText" text="Reconocimiento Créditos">
      <formula>NOT(ISERROR(SEARCH("Reconocimiento Créditos",B33)))</formula>
    </cfRule>
  </conditionalFormatting>
  <conditionalFormatting sqref="B33">
    <cfRule type="expression" dxfId="4850" priority="1459">
      <formula>AND(ISNUMBER(B33), OR(B33&gt;10, B33&lt;0))</formula>
    </cfRule>
  </conditionalFormatting>
  <conditionalFormatting sqref="B33">
    <cfRule type="expression" dxfId="4849" priority="1458">
      <formula>AND(NOT(ISNUMBER(B33)), B33&lt;&gt;"NP", B33&lt;&gt;"Reconocimiento Créditos", B33&lt;&gt;"Aprobado en otro curso")</formula>
    </cfRule>
  </conditionalFormatting>
  <conditionalFormatting sqref="B33">
    <cfRule type="containsText" dxfId="4848" priority="1457" operator="containsText" text="Reconocimiento Créditos">
      <formula>NOT(ISERROR(SEARCH("Reconocimiento Créditos",B33)))</formula>
    </cfRule>
  </conditionalFormatting>
  <conditionalFormatting sqref="B33">
    <cfRule type="containsText" dxfId="4847" priority="1460" operator="containsText" text="Aprobado en otro curso">
      <formula>NOT(ISERROR(SEARCH("Aprobado en otro curso",B33)))</formula>
    </cfRule>
  </conditionalFormatting>
  <conditionalFormatting sqref="A34">
    <cfRule type="expression" dxfId="4846" priority="1455">
      <formula>AND(OR(ROW()=CELL("row"),COLUMN()=CELL("col")),NOT(ISBLANK($C34)),NOT(ISBLANK($B34)),ROW()&gt;2,COLUMN()&gt;1)</formula>
    </cfRule>
  </conditionalFormatting>
  <conditionalFormatting sqref="A34">
    <cfRule type="expression" dxfId="4845" priority="1454">
      <formula>SUM(--ISBLANK($B34:$J34))=COLUMNS($B34:$J34)</formula>
    </cfRule>
  </conditionalFormatting>
  <conditionalFormatting sqref="A34">
    <cfRule type="containsText" dxfId="4844" priority="1456" operator="containsText" text="NP">
      <formula>NOT(ISERROR(SEARCH("NP",A34)))</formula>
    </cfRule>
  </conditionalFormatting>
  <conditionalFormatting sqref="A34">
    <cfRule type="expression" dxfId="4843" priority="1453">
      <formula>ISBLANK(A34)</formula>
    </cfRule>
  </conditionalFormatting>
  <conditionalFormatting sqref="B34">
    <cfRule type="expression" dxfId="4842" priority="1449">
      <formula>B34=""</formula>
    </cfRule>
    <cfRule type="containsText" dxfId="4841" priority="1450" operator="containsText" text="NP">
      <formula>NOT(ISERROR(SEARCH("NP",B34)))</formula>
    </cfRule>
    <cfRule type="cellIs" dxfId="4840" priority="1451" operator="lessThan">
      <formula>4.95</formula>
    </cfRule>
  </conditionalFormatting>
  <conditionalFormatting sqref="B34">
    <cfRule type="expression" dxfId="4839" priority="1447">
      <formula>AND(OR(ROW()=CELL("row"),COLUMN()=CELL("col")),NOT(ISBLANK($C34)),NOT(ISBLANK($B34)),ROW()&gt;2,COLUMN()&gt;1)</formula>
    </cfRule>
  </conditionalFormatting>
  <conditionalFormatting sqref="B34">
    <cfRule type="expression" dxfId="4838" priority="1446">
      <formula>SUM(--ISBLANK($B34:$J34))=COLUMNS($B34:$J34)</formula>
    </cfRule>
  </conditionalFormatting>
  <conditionalFormatting sqref="B34">
    <cfRule type="containsText" dxfId="4837" priority="1448" operator="containsText" text="NP">
      <formula>NOT(ISERROR(SEARCH("NP",B34)))</formula>
    </cfRule>
  </conditionalFormatting>
  <conditionalFormatting sqref="B34">
    <cfRule type="cellIs" dxfId="4836" priority="1452" operator="greaterThanOrEqual">
      <formula>4.95</formula>
    </cfRule>
  </conditionalFormatting>
  <conditionalFormatting sqref="B34">
    <cfRule type="expression" dxfId="4835" priority="1445">
      <formula>ISBLANK(B34)</formula>
    </cfRule>
  </conditionalFormatting>
  <conditionalFormatting sqref="B34">
    <cfRule type="containsText" dxfId="4834" priority="1444" operator="containsText" text="Reconocimiento Créditos">
      <formula>NOT(ISERROR(SEARCH("Reconocimiento Créditos",B34)))</formula>
    </cfRule>
  </conditionalFormatting>
  <conditionalFormatting sqref="B34">
    <cfRule type="expression" dxfId="4833" priority="1442">
      <formula>AND(ISNUMBER(B34), OR(B34&gt;10, B34&lt;0))</formula>
    </cfRule>
  </conditionalFormatting>
  <conditionalFormatting sqref="B34">
    <cfRule type="expression" dxfId="4832" priority="1441">
      <formula>AND(NOT(ISNUMBER(B34)), B34&lt;&gt;"NP", B34&lt;&gt;"Reconocimiento Créditos", B34&lt;&gt;"Aprobado en otro curso")</formula>
    </cfRule>
  </conditionalFormatting>
  <conditionalFormatting sqref="B34">
    <cfRule type="containsText" dxfId="4831" priority="1440" operator="containsText" text="Reconocimiento Créditos">
      <formula>NOT(ISERROR(SEARCH("Reconocimiento Créditos",B34)))</formula>
    </cfRule>
  </conditionalFormatting>
  <conditionalFormatting sqref="B34">
    <cfRule type="containsText" dxfId="4830" priority="1443" operator="containsText" text="Aprobado en otro curso">
      <formula>NOT(ISERROR(SEARCH("Aprobado en otro curso",B34)))</formula>
    </cfRule>
  </conditionalFormatting>
  <conditionalFormatting sqref="A35">
    <cfRule type="expression" dxfId="4829" priority="1438">
      <formula>AND(OR(ROW()=CELL("row"),COLUMN()=CELL("col")),NOT(ISBLANK($C35)),NOT(ISBLANK($B35)),ROW()&gt;2,COLUMN()&gt;1)</formula>
    </cfRule>
  </conditionalFormatting>
  <conditionalFormatting sqref="A35">
    <cfRule type="expression" dxfId="4828" priority="1437">
      <formula>SUM(--ISBLANK($B35:$J35))=COLUMNS($B35:$J35)</formula>
    </cfRule>
  </conditionalFormatting>
  <conditionalFormatting sqref="A35">
    <cfRule type="containsText" dxfId="4827" priority="1439" operator="containsText" text="NP">
      <formula>NOT(ISERROR(SEARCH("NP",A35)))</formula>
    </cfRule>
  </conditionalFormatting>
  <conditionalFormatting sqref="A35">
    <cfRule type="expression" dxfId="4826" priority="1436">
      <formula>ISBLANK(A35)</formula>
    </cfRule>
  </conditionalFormatting>
  <conditionalFormatting sqref="B35">
    <cfRule type="expression" dxfId="4825" priority="1432">
      <formula>B35=""</formula>
    </cfRule>
    <cfRule type="containsText" dxfId="4824" priority="1433" operator="containsText" text="NP">
      <formula>NOT(ISERROR(SEARCH("NP",B35)))</formula>
    </cfRule>
    <cfRule type="cellIs" dxfId="4823" priority="1434" operator="lessThan">
      <formula>4.95</formula>
    </cfRule>
  </conditionalFormatting>
  <conditionalFormatting sqref="B35">
    <cfRule type="expression" dxfId="4822" priority="1430">
      <formula>AND(OR(ROW()=CELL("row"),COLUMN()=CELL("col")),NOT(ISBLANK($C35)),NOT(ISBLANK($B35)),ROW()&gt;2,COLUMN()&gt;1)</formula>
    </cfRule>
  </conditionalFormatting>
  <conditionalFormatting sqref="B35">
    <cfRule type="expression" dxfId="4821" priority="1429">
      <formula>SUM(--ISBLANK($B35:$J35))=COLUMNS($B35:$J35)</formula>
    </cfRule>
  </conditionalFormatting>
  <conditionalFormatting sqref="B35">
    <cfRule type="containsText" dxfId="4820" priority="1431" operator="containsText" text="NP">
      <formula>NOT(ISERROR(SEARCH("NP",B35)))</formula>
    </cfRule>
  </conditionalFormatting>
  <conditionalFormatting sqref="B35">
    <cfRule type="cellIs" dxfId="4819" priority="1435" operator="greaterThanOrEqual">
      <formula>4.95</formula>
    </cfRule>
  </conditionalFormatting>
  <conditionalFormatting sqref="B35">
    <cfRule type="expression" dxfId="4818" priority="1428">
      <formula>ISBLANK(B35)</formula>
    </cfRule>
  </conditionalFormatting>
  <conditionalFormatting sqref="B35">
    <cfRule type="containsText" dxfId="4817" priority="1427" operator="containsText" text="Reconocimiento Créditos">
      <formula>NOT(ISERROR(SEARCH("Reconocimiento Créditos",B35)))</formula>
    </cfRule>
  </conditionalFormatting>
  <conditionalFormatting sqref="B35">
    <cfRule type="expression" dxfId="4816" priority="1425">
      <formula>AND(ISNUMBER(B35), OR(B35&gt;10, B35&lt;0))</formula>
    </cfRule>
  </conditionalFormatting>
  <conditionalFormatting sqref="B35">
    <cfRule type="expression" dxfId="4815" priority="1424">
      <formula>AND(NOT(ISNUMBER(B35)), B35&lt;&gt;"NP", B35&lt;&gt;"Reconocimiento Créditos", B35&lt;&gt;"Aprobado en otro curso")</formula>
    </cfRule>
  </conditionalFormatting>
  <conditionalFormatting sqref="B35">
    <cfRule type="containsText" dxfId="4814" priority="1423" operator="containsText" text="Reconocimiento Créditos">
      <formula>NOT(ISERROR(SEARCH("Reconocimiento Créditos",B35)))</formula>
    </cfRule>
  </conditionalFormatting>
  <conditionalFormatting sqref="B35">
    <cfRule type="containsText" dxfId="4813" priority="1426" operator="containsText" text="Aprobado en otro curso">
      <formula>NOT(ISERROR(SEARCH("Aprobado en otro curso",B35)))</formula>
    </cfRule>
  </conditionalFormatting>
  <conditionalFormatting sqref="A36">
    <cfRule type="expression" dxfId="4812" priority="1421">
      <formula>AND(OR(ROW()=CELL("row"),COLUMN()=CELL("col")),NOT(ISBLANK($C36)),NOT(ISBLANK($B36)),ROW()&gt;2,COLUMN()&gt;1)</formula>
    </cfRule>
  </conditionalFormatting>
  <conditionalFormatting sqref="A36">
    <cfRule type="expression" dxfId="4811" priority="1420">
      <formula>SUM(--ISBLANK($B36:$J36))=COLUMNS($B36:$J36)</formula>
    </cfRule>
  </conditionalFormatting>
  <conditionalFormatting sqref="A36">
    <cfRule type="containsText" dxfId="4810" priority="1422" operator="containsText" text="NP">
      <formula>NOT(ISERROR(SEARCH("NP",A36)))</formula>
    </cfRule>
  </conditionalFormatting>
  <conditionalFormatting sqref="A36">
    <cfRule type="expression" dxfId="4809" priority="1419">
      <formula>ISBLANK(A36)</formula>
    </cfRule>
  </conditionalFormatting>
  <conditionalFormatting sqref="B36">
    <cfRule type="expression" dxfId="4808" priority="1415">
      <formula>B36=""</formula>
    </cfRule>
    <cfRule type="containsText" dxfId="4807" priority="1416" operator="containsText" text="NP">
      <formula>NOT(ISERROR(SEARCH("NP",B36)))</formula>
    </cfRule>
    <cfRule type="cellIs" dxfId="4806" priority="1417" operator="lessThan">
      <formula>4.95</formula>
    </cfRule>
  </conditionalFormatting>
  <conditionalFormatting sqref="B36">
    <cfRule type="expression" dxfId="4805" priority="1413">
      <formula>AND(OR(ROW()=CELL("row"),COLUMN()=CELL("col")),NOT(ISBLANK($C36)),NOT(ISBLANK($B36)),ROW()&gt;2,COLUMN()&gt;1)</formula>
    </cfRule>
  </conditionalFormatting>
  <conditionalFormatting sqref="B36">
    <cfRule type="expression" dxfId="4804" priority="1412">
      <formula>SUM(--ISBLANK($B36:$J36))=COLUMNS($B36:$J36)</formula>
    </cfRule>
  </conditionalFormatting>
  <conditionalFormatting sqref="B36">
    <cfRule type="containsText" dxfId="4803" priority="1414" operator="containsText" text="NP">
      <formula>NOT(ISERROR(SEARCH("NP",B36)))</formula>
    </cfRule>
  </conditionalFormatting>
  <conditionalFormatting sqref="B36">
    <cfRule type="cellIs" dxfId="4802" priority="1418" operator="greaterThanOrEqual">
      <formula>4.95</formula>
    </cfRule>
  </conditionalFormatting>
  <conditionalFormatting sqref="B36">
    <cfRule type="expression" dxfId="4801" priority="1411">
      <formula>ISBLANK(B36)</formula>
    </cfRule>
  </conditionalFormatting>
  <conditionalFormatting sqref="B36">
    <cfRule type="containsText" dxfId="4800" priority="1410" operator="containsText" text="Reconocimiento Créditos">
      <formula>NOT(ISERROR(SEARCH("Reconocimiento Créditos",B36)))</formula>
    </cfRule>
  </conditionalFormatting>
  <conditionalFormatting sqref="B36">
    <cfRule type="expression" dxfId="4799" priority="1408">
      <formula>AND(ISNUMBER(B36), OR(B36&gt;10, B36&lt;0))</formula>
    </cfRule>
  </conditionalFormatting>
  <conditionalFormatting sqref="B36">
    <cfRule type="expression" dxfId="4798" priority="1407">
      <formula>AND(NOT(ISNUMBER(B36)), B36&lt;&gt;"NP", B36&lt;&gt;"Reconocimiento Créditos", B36&lt;&gt;"Aprobado en otro curso")</formula>
    </cfRule>
  </conditionalFormatting>
  <conditionalFormatting sqref="B36">
    <cfRule type="containsText" dxfId="4797" priority="1406" operator="containsText" text="Reconocimiento Créditos">
      <formula>NOT(ISERROR(SEARCH("Reconocimiento Créditos",B36)))</formula>
    </cfRule>
  </conditionalFormatting>
  <conditionalFormatting sqref="B36">
    <cfRule type="containsText" dxfId="4796" priority="1409" operator="containsText" text="Aprobado en otro curso">
      <formula>NOT(ISERROR(SEARCH("Aprobado en otro curso",B36)))</formula>
    </cfRule>
  </conditionalFormatting>
  <conditionalFormatting sqref="A37">
    <cfRule type="expression" dxfId="4795" priority="1404">
      <formula>AND(OR(ROW()=CELL("row"),COLUMN()=CELL("col")),NOT(ISBLANK($C37)),NOT(ISBLANK($B37)),ROW()&gt;2,COLUMN()&gt;1)</formula>
    </cfRule>
  </conditionalFormatting>
  <conditionalFormatting sqref="A37">
    <cfRule type="expression" dxfId="4794" priority="1403">
      <formula>SUM(--ISBLANK($B37:$J37))=COLUMNS($B37:$J37)</formula>
    </cfRule>
  </conditionalFormatting>
  <conditionalFormatting sqref="A37">
    <cfRule type="containsText" dxfId="4793" priority="1405" operator="containsText" text="NP">
      <formula>NOT(ISERROR(SEARCH("NP",A37)))</formula>
    </cfRule>
  </conditionalFormatting>
  <conditionalFormatting sqref="A37">
    <cfRule type="expression" dxfId="4792" priority="1402">
      <formula>ISBLANK(A37)</formula>
    </cfRule>
  </conditionalFormatting>
  <conditionalFormatting sqref="B37">
    <cfRule type="expression" dxfId="4791" priority="1398">
      <formula>B37=""</formula>
    </cfRule>
    <cfRule type="containsText" dxfId="4790" priority="1399" operator="containsText" text="NP">
      <formula>NOT(ISERROR(SEARCH("NP",B37)))</formula>
    </cfRule>
    <cfRule type="cellIs" dxfId="4789" priority="1400" operator="lessThan">
      <formula>4.95</formula>
    </cfRule>
  </conditionalFormatting>
  <conditionalFormatting sqref="B37">
    <cfRule type="expression" dxfId="4788" priority="1396">
      <formula>AND(OR(ROW()=CELL("row"),COLUMN()=CELL("col")),NOT(ISBLANK($C37)),NOT(ISBLANK($B37)),ROW()&gt;2,COLUMN()&gt;1)</formula>
    </cfRule>
  </conditionalFormatting>
  <conditionalFormatting sqref="B37">
    <cfRule type="expression" dxfId="4787" priority="1395">
      <formula>SUM(--ISBLANK($B37:$J37))=COLUMNS($B37:$J37)</formula>
    </cfRule>
  </conditionalFormatting>
  <conditionalFormatting sqref="B37">
    <cfRule type="containsText" dxfId="4786" priority="1397" operator="containsText" text="NP">
      <formula>NOT(ISERROR(SEARCH("NP",B37)))</formula>
    </cfRule>
  </conditionalFormatting>
  <conditionalFormatting sqref="B37">
    <cfRule type="cellIs" dxfId="4785" priority="1401" operator="greaterThanOrEqual">
      <formula>4.95</formula>
    </cfRule>
  </conditionalFormatting>
  <conditionalFormatting sqref="B37">
    <cfRule type="expression" dxfId="4784" priority="1394">
      <formula>ISBLANK(B37)</formula>
    </cfRule>
  </conditionalFormatting>
  <conditionalFormatting sqref="B37">
    <cfRule type="containsText" dxfId="4783" priority="1393" operator="containsText" text="Reconocimiento Créditos">
      <formula>NOT(ISERROR(SEARCH("Reconocimiento Créditos",B37)))</formula>
    </cfRule>
  </conditionalFormatting>
  <conditionalFormatting sqref="B37">
    <cfRule type="expression" dxfId="4782" priority="1391">
      <formula>AND(ISNUMBER(B37), OR(B37&gt;10, B37&lt;0))</formula>
    </cfRule>
  </conditionalFormatting>
  <conditionalFormatting sqref="B37">
    <cfRule type="expression" dxfId="4781" priority="1390">
      <formula>AND(NOT(ISNUMBER(B37)), B37&lt;&gt;"NP", B37&lt;&gt;"Reconocimiento Créditos", B37&lt;&gt;"Aprobado en otro curso")</formula>
    </cfRule>
  </conditionalFormatting>
  <conditionalFormatting sqref="B37">
    <cfRule type="containsText" dxfId="4780" priority="1389" operator="containsText" text="Reconocimiento Créditos">
      <formula>NOT(ISERROR(SEARCH("Reconocimiento Créditos",B37)))</formula>
    </cfRule>
  </conditionalFormatting>
  <conditionalFormatting sqref="B37">
    <cfRule type="containsText" dxfId="4779" priority="1392" operator="containsText" text="Aprobado en otro curso">
      <formula>NOT(ISERROR(SEARCH("Aprobado en otro curso",B37)))</formula>
    </cfRule>
  </conditionalFormatting>
  <conditionalFormatting sqref="A38">
    <cfRule type="expression" dxfId="4778" priority="1387">
      <formula>AND(OR(ROW()=CELL("row"),COLUMN()=CELL("col")),NOT(ISBLANK($C38)),NOT(ISBLANK($B38)),ROW()&gt;2,COLUMN()&gt;1)</formula>
    </cfRule>
  </conditionalFormatting>
  <conditionalFormatting sqref="A38">
    <cfRule type="expression" dxfId="4777" priority="1386">
      <formula>SUM(--ISBLANK($B38:$J38))=COLUMNS($B38:$J38)</formula>
    </cfRule>
  </conditionalFormatting>
  <conditionalFormatting sqref="A38">
    <cfRule type="containsText" dxfId="4776" priority="1388" operator="containsText" text="NP">
      <formula>NOT(ISERROR(SEARCH("NP",A38)))</formula>
    </cfRule>
  </conditionalFormatting>
  <conditionalFormatting sqref="A38">
    <cfRule type="expression" dxfId="4775" priority="1385">
      <formula>ISBLANK(A38)</formula>
    </cfRule>
  </conditionalFormatting>
  <conditionalFormatting sqref="B38">
    <cfRule type="expression" dxfId="4774" priority="1381">
      <formula>B38=""</formula>
    </cfRule>
    <cfRule type="containsText" dxfId="4773" priority="1382" operator="containsText" text="NP">
      <formula>NOT(ISERROR(SEARCH("NP",B38)))</formula>
    </cfRule>
    <cfRule type="cellIs" dxfId="4772" priority="1383" operator="lessThan">
      <formula>4.95</formula>
    </cfRule>
  </conditionalFormatting>
  <conditionalFormatting sqref="B38">
    <cfRule type="expression" dxfId="4771" priority="1379">
      <formula>AND(OR(ROW()=CELL("row"),COLUMN()=CELL("col")),NOT(ISBLANK($C38)),NOT(ISBLANK($B38)),ROW()&gt;2,COLUMN()&gt;1)</formula>
    </cfRule>
  </conditionalFormatting>
  <conditionalFormatting sqref="B38">
    <cfRule type="expression" dxfId="4770" priority="1378">
      <formula>SUM(--ISBLANK($B38:$J38))=COLUMNS($B38:$J38)</formula>
    </cfRule>
  </conditionalFormatting>
  <conditionalFormatting sqref="B38">
    <cfRule type="containsText" dxfId="4769" priority="1380" operator="containsText" text="NP">
      <formula>NOT(ISERROR(SEARCH("NP",B38)))</formula>
    </cfRule>
  </conditionalFormatting>
  <conditionalFormatting sqref="B38">
    <cfRule type="cellIs" dxfId="4768" priority="1384" operator="greaterThanOrEqual">
      <formula>4.95</formula>
    </cfRule>
  </conditionalFormatting>
  <conditionalFormatting sqref="B38">
    <cfRule type="expression" dxfId="4767" priority="1377">
      <formula>ISBLANK(B38)</formula>
    </cfRule>
  </conditionalFormatting>
  <conditionalFormatting sqref="B38">
    <cfRule type="containsText" dxfId="4766" priority="1376" operator="containsText" text="Reconocimiento Créditos">
      <formula>NOT(ISERROR(SEARCH("Reconocimiento Créditos",B38)))</formula>
    </cfRule>
  </conditionalFormatting>
  <conditionalFormatting sqref="B38">
    <cfRule type="expression" dxfId="4765" priority="1374">
      <formula>AND(ISNUMBER(B38), OR(B38&gt;10, B38&lt;0))</formula>
    </cfRule>
  </conditionalFormatting>
  <conditionalFormatting sqref="B38">
    <cfRule type="expression" dxfId="4764" priority="1373">
      <formula>AND(NOT(ISNUMBER(B38)), B38&lt;&gt;"NP", B38&lt;&gt;"Reconocimiento Créditos", B38&lt;&gt;"Aprobado en otro curso")</formula>
    </cfRule>
  </conditionalFormatting>
  <conditionalFormatting sqref="B38">
    <cfRule type="containsText" dxfId="4763" priority="1372" operator="containsText" text="Reconocimiento Créditos">
      <formula>NOT(ISERROR(SEARCH("Reconocimiento Créditos",B38)))</formula>
    </cfRule>
  </conditionalFormatting>
  <conditionalFormatting sqref="B38">
    <cfRule type="containsText" dxfId="4762" priority="1375" operator="containsText" text="Aprobado en otro curso">
      <formula>NOT(ISERROR(SEARCH("Aprobado en otro curso",B38)))</formula>
    </cfRule>
  </conditionalFormatting>
  <conditionalFormatting sqref="A39">
    <cfRule type="expression" dxfId="4761" priority="1370">
      <formula>AND(OR(ROW()=CELL("row"),COLUMN()=CELL("col")),NOT(ISBLANK($C39)),NOT(ISBLANK($B39)),ROW()&gt;2,COLUMN()&gt;1)</formula>
    </cfRule>
  </conditionalFormatting>
  <conditionalFormatting sqref="A39">
    <cfRule type="expression" dxfId="4760" priority="1369">
      <formula>SUM(--ISBLANK($B39:$J39))=COLUMNS($B39:$J39)</formula>
    </cfRule>
  </conditionalFormatting>
  <conditionalFormatting sqref="A39">
    <cfRule type="containsText" dxfId="4759" priority="1371" operator="containsText" text="NP">
      <formula>NOT(ISERROR(SEARCH("NP",A39)))</formula>
    </cfRule>
  </conditionalFormatting>
  <conditionalFormatting sqref="A39">
    <cfRule type="expression" dxfId="4758" priority="1368">
      <formula>ISBLANK(A39)</formula>
    </cfRule>
  </conditionalFormatting>
  <conditionalFormatting sqref="B39">
    <cfRule type="expression" dxfId="4757" priority="1364">
      <formula>B39=""</formula>
    </cfRule>
    <cfRule type="containsText" dxfId="4756" priority="1365" operator="containsText" text="NP">
      <formula>NOT(ISERROR(SEARCH("NP",B39)))</formula>
    </cfRule>
    <cfRule type="cellIs" dxfId="4755" priority="1366" operator="lessThan">
      <formula>4.95</formula>
    </cfRule>
  </conditionalFormatting>
  <conditionalFormatting sqref="B39">
    <cfRule type="expression" dxfId="4754" priority="1362">
      <formula>AND(OR(ROW()=CELL("row"),COLUMN()=CELL("col")),NOT(ISBLANK($C39)),NOT(ISBLANK($B39)),ROW()&gt;2,COLUMN()&gt;1)</formula>
    </cfRule>
  </conditionalFormatting>
  <conditionalFormatting sqref="B39">
    <cfRule type="expression" dxfId="4753" priority="1361">
      <formula>SUM(--ISBLANK($B39:$J39))=COLUMNS($B39:$J39)</formula>
    </cfRule>
  </conditionalFormatting>
  <conditionalFormatting sqref="B39">
    <cfRule type="containsText" dxfId="4752" priority="1363" operator="containsText" text="NP">
      <formula>NOT(ISERROR(SEARCH("NP",B39)))</formula>
    </cfRule>
  </conditionalFormatting>
  <conditionalFormatting sqref="B39">
    <cfRule type="cellIs" dxfId="4751" priority="1367" operator="greaterThanOrEqual">
      <formula>4.95</formula>
    </cfRule>
  </conditionalFormatting>
  <conditionalFormatting sqref="B39">
    <cfRule type="expression" dxfId="4750" priority="1360">
      <formula>ISBLANK(B39)</formula>
    </cfRule>
  </conditionalFormatting>
  <conditionalFormatting sqref="B39">
    <cfRule type="containsText" dxfId="4749" priority="1359" operator="containsText" text="Reconocimiento Créditos">
      <formula>NOT(ISERROR(SEARCH("Reconocimiento Créditos",B39)))</formula>
    </cfRule>
  </conditionalFormatting>
  <conditionalFormatting sqref="B39">
    <cfRule type="expression" dxfId="4748" priority="1357">
      <formula>AND(ISNUMBER(B39), OR(B39&gt;10, B39&lt;0))</formula>
    </cfRule>
  </conditionalFormatting>
  <conditionalFormatting sqref="B39">
    <cfRule type="expression" dxfId="4747" priority="1356">
      <formula>AND(NOT(ISNUMBER(B39)), B39&lt;&gt;"NP", B39&lt;&gt;"Reconocimiento Créditos", B39&lt;&gt;"Aprobado en otro curso")</formula>
    </cfRule>
  </conditionalFormatting>
  <conditionalFormatting sqref="B39">
    <cfRule type="containsText" dxfId="4746" priority="1355" operator="containsText" text="Reconocimiento Créditos">
      <formula>NOT(ISERROR(SEARCH("Reconocimiento Créditos",B39)))</formula>
    </cfRule>
  </conditionalFormatting>
  <conditionalFormatting sqref="B39">
    <cfRule type="containsText" dxfId="4745" priority="1358" operator="containsText" text="Aprobado en otro curso">
      <formula>NOT(ISERROR(SEARCH("Aprobado en otro curso",B39)))</formula>
    </cfRule>
  </conditionalFormatting>
  <conditionalFormatting sqref="A40">
    <cfRule type="expression" dxfId="4744" priority="1353">
      <formula>AND(OR(ROW()=CELL("row"),COLUMN()=CELL("col")),NOT(ISBLANK($C40)),NOT(ISBLANK($B40)),ROW()&gt;2,COLUMN()&gt;1)</formula>
    </cfRule>
  </conditionalFormatting>
  <conditionalFormatting sqref="A40">
    <cfRule type="expression" dxfId="4743" priority="1352">
      <formula>SUM(--ISBLANK($B40:$J40))=COLUMNS($B40:$J40)</formula>
    </cfRule>
  </conditionalFormatting>
  <conditionalFormatting sqref="A40">
    <cfRule type="containsText" dxfId="4742" priority="1354" operator="containsText" text="NP">
      <formula>NOT(ISERROR(SEARCH("NP",A40)))</formula>
    </cfRule>
  </conditionalFormatting>
  <conditionalFormatting sqref="A40">
    <cfRule type="expression" dxfId="4741" priority="1351">
      <formula>ISBLANK(A40)</formula>
    </cfRule>
  </conditionalFormatting>
  <conditionalFormatting sqref="B40">
    <cfRule type="expression" dxfId="4740" priority="1347">
      <formula>B40=""</formula>
    </cfRule>
    <cfRule type="containsText" dxfId="4739" priority="1348" operator="containsText" text="NP">
      <formula>NOT(ISERROR(SEARCH("NP",B40)))</formula>
    </cfRule>
    <cfRule type="cellIs" dxfId="4738" priority="1349" operator="lessThan">
      <formula>4.95</formula>
    </cfRule>
  </conditionalFormatting>
  <conditionalFormatting sqref="B40">
    <cfRule type="expression" dxfId="4737" priority="1345">
      <formula>AND(OR(ROW()=CELL("row"),COLUMN()=CELL("col")),NOT(ISBLANK($C40)),NOT(ISBLANK($B40)),ROW()&gt;2,COLUMN()&gt;1)</formula>
    </cfRule>
  </conditionalFormatting>
  <conditionalFormatting sqref="B40">
    <cfRule type="expression" dxfId="4736" priority="1344">
      <formula>SUM(--ISBLANK($B40:$J40))=COLUMNS($B40:$J40)</formula>
    </cfRule>
  </conditionalFormatting>
  <conditionalFormatting sqref="B40">
    <cfRule type="containsText" dxfId="4735" priority="1346" operator="containsText" text="NP">
      <formula>NOT(ISERROR(SEARCH("NP",B40)))</formula>
    </cfRule>
  </conditionalFormatting>
  <conditionalFormatting sqref="B40">
    <cfRule type="cellIs" dxfId="4734" priority="1350" operator="greaterThanOrEqual">
      <formula>4.95</formula>
    </cfRule>
  </conditionalFormatting>
  <conditionalFormatting sqref="B40">
    <cfRule type="expression" dxfId="4733" priority="1343">
      <formula>ISBLANK(B40)</formula>
    </cfRule>
  </conditionalFormatting>
  <conditionalFormatting sqref="B40">
    <cfRule type="containsText" dxfId="4732" priority="1342" operator="containsText" text="Reconocimiento Créditos">
      <formula>NOT(ISERROR(SEARCH("Reconocimiento Créditos",B40)))</formula>
    </cfRule>
  </conditionalFormatting>
  <conditionalFormatting sqref="B40">
    <cfRule type="expression" dxfId="4731" priority="1340">
      <formula>AND(ISNUMBER(B40), OR(B40&gt;10, B40&lt;0))</formula>
    </cfRule>
  </conditionalFormatting>
  <conditionalFormatting sqref="B40">
    <cfRule type="expression" dxfId="4730" priority="1339">
      <formula>AND(NOT(ISNUMBER(B40)), B40&lt;&gt;"NP", B40&lt;&gt;"Reconocimiento Créditos", B40&lt;&gt;"Aprobado en otro curso")</formula>
    </cfRule>
  </conditionalFormatting>
  <conditionalFormatting sqref="B40">
    <cfRule type="containsText" dxfId="4729" priority="1338" operator="containsText" text="Reconocimiento Créditos">
      <formula>NOT(ISERROR(SEARCH("Reconocimiento Créditos",B40)))</formula>
    </cfRule>
  </conditionalFormatting>
  <conditionalFormatting sqref="B40">
    <cfRule type="containsText" dxfId="4728" priority="1341" operator="containsText" text="Aprobado en otro curso">
      <formula>NOT(ISERROR(SEARCH("Aprobado en otro curso",B40)))</formula>
    </cfRule>
  </conditionalFormatting>
  <conditionalFormatting sqref="A41">
    <cfRule type="expression" dxfId="4727" priority="1336">
      <formula>AND(OR(ROW()=CELL("row"),COLUMN()=CELL("col")),NOT(ISBLANK($C41)),NOT(ISBLANK($B41)),ROW()&gt;2,COLUMN()&gt;1)</formula>
    </cfRule>
  </conditionalFormatting>
  <conditionalFormatting sqref="A41">
    <cfRule type="expression" dxfId="4726" priority="1335">
      <formula>SUM(--ISBLANK($B41:$J41))=COLUMNS($B41:$J41)</formula>
    </cfRule>
  </conditionalFormatting>
  <conditionalFormatting sqref="A41">
    <cfRule type="containsText" dxfId="4725" priority="1337" operator="containsText" text="NP">
      <formula>NOT(ISERROR(SEARCH("NP",A41)))</formula>
    </cfRule>
  </conditionalFormatting>
  <conditionalFormatting sqref="A41">
    <cfRule type="expression" dxfId="4724" priority="1334">
      <formula>ISBLANK(A41)</formula>
    </cfRule>
  </conditionalFormatting>
  <conditionalFormatting sqref="B41">
    <cfRule type="expression" dxfId="4723" priority="1330">
      <formula>B41=""</formula>
    </cfRule>
    <cfRule type="containsText" dxfId="4722" priority="1331" operator="containsText" text="NP">
      <formula>NOT(ISERROR(SEARCH("NP",B41)))</formula>
    </cfRule>
    <cfRule type="cellIs" dxfId="4721" priority="1332" operator="lessThan">
      <formula>4.95</formula>
    </cfRule>
  </conditionalFormatting>
  <conditionalFormatting sqref="B41">
    <cfRule type="expression" dxfId="4720" priority="1328">
      <formula>AND(OR(ROW()=CELL("row"),COLUMN()=CELL("col")),NOT(ISBLANK($C41)),NOT(ISBLANK($B41)),ROW()&gt;2,COLUMN()&gt;1)</formula>
    </cfRule>
  </conditionalFormatting>
  <conditionalFormatting sqref="B41">
    <cfRule type="expression" dxfId="4719" priority="1327">
      <formula>SUM(--ISBLANK($B41:$J41))=COLUMNS($B41:$J41)</formula>
    </cfRule>
  </conditionalFormatting>
  <conditionalFormatting sqref="B41">
    <cfRule type="containsText" dxfId="4718" priority="1329" operator="containsText" text="NP">
      <formula>NOT(ISERROR(SEARCH("NP",B41)))</formula>
    </cfRule>
  </conditionalFormatting>
  <conditionalFormatting sqref="B41">
    <cfRule type="cellIs" dxfId="4717" priority="1333" operator="greaterThanOrEqual">
      <formula>4.95</formula>
    </cfRule>
  </conditionalFormatting>
  <conditionalFormatting sqref="B41">
    <cfRule type="expression" dxfId="4716" priority="1326">
      <formula>ISBLANK(B41)</formula>
    </cfRule>
  </conditionalFormatting>
  <conditionalFormatting sqref="B41">
    <cfRule type="containsText" dxfId="4715" priority="1325" operator="containsText" text="Reconocimiento Créditos">
      <formula>NOT(ISERROR(SEARCH("Reconocimiento Créditos",B41)))</formula>
    </cfRule>
  </conditionalFormatting>
  <conditionalFormatting sqref="B41">
    <cfRule type="expression" dxfId="4714" priority="1323">
      <formula>AND(ISNUMBER(B41), OR(B41&gt;10, B41&lt;0))</formula>
    </cfRule>
  </conditionalFormatting>
  <conditionalFormatting sqref="B41">
    <cfRule type="expression" dxfId="4713" priority="1322">
      <formula>AND(NOT(ISNUMBER(B41)), B41&lt;&gt;"NP", B41&lt;&gt;"Reconocimiento Créditos", B41&lt;&gt;"Aprobado en otro curso")</formula>
    </cfRule>
  </conditionalFormatting>
  <conditionalFormatting sqref="B41">
    <cfRule type="containsText" dxfId="4712" priority="1321" operator="containsText" text="Reconocimiento Créditos">
      <formula>NOT(ISERROR(SEARCH("Reconocimiento Créditos",B41)))</formula>
    </cfRule>
  </conditionalFormatting>
  <conditionalFormatting sqref="B41">
    <cfRule type="containsText" dxfId="4711" priority="1324" operator="containsText" text="Aprobado en otro curso">
      <formula>NOT(ISERROR(SEARCH("Aprobado en otro curso",B41)))</formula>
    </cfRule>
  </conditionalFormatting>
  <conditionalFormatting sqref="A42">
    <cfRule type="expression" dxfId="4710" priority="1319">
      <formula>AND(OR(ROW()=CELL("row"),COLUMN()=CELL("col")),NOT(ISBLANK($C42)),NOT(ISBLANK($B42)),ROW()&gt;2,COLUMN()&gt;1)</formula>
    </cfRule>
  </conditionalFormatting>
  <conditionalFormatting sqref="A42">
    <cfRule type="expression" dxfId="4709" priority="1318">
      <formula>SUM(--ISBLANK($B42:$J42))=COLUMNS($B42:$J42)</formula>
    </cfRule>
  </conditionalFormatting>
  <conditionalFormatting sqref="A42">
    <cfRule type="containsText" dxfId="4708" priority="1320" operator="containsText" text="NP">
      <formula>NOT(ISERROR(SEARCH("NP",A42)))</formula>
    </cfRule>
  </conditionalFormatting>
  <conditionalFormatting sqref="A42">
    <cfRule type="expression" dxfId="4707" priority="1317">
      <formula>ISBLANK(A42)</formula>
    </cfRule>
  </conditionalFormatting>
  <conditionalFormatting sqref="B42">
    <cfRule type="expression" dxfId="4706" priority="1313">
      <formula>B42=""</formula>
    </cfRule>
    <cfRule type="containsText" dxfId="4705" priority="1314" operator="containsText" text="NP">
      <formula>NOT(ISERROR(SEARCH("NP",B42)))</formula>
    </cfRule>
    <cfRule type="cellIs" dxfId="4704" priority="1315" operator="lessThan">
      <formula>4.95</formula>
    </cfRule>
  </conditionalFormatting>
  <conditionalFormatting sqref="B42">
    <cfRule type="expression" dxfId="4703" priority="1311">
      <formula>AND(OR(ROW()=CELL("row"),COLUMN()=CELL("col")),NOT(ISBLANK($C42)),NOT(ISBLANK($B42)),ROW()&gt;2,COLUMN()&gt;1)</formula>
    </cfRule>
  </conditionalFormatting>
  <conditionalFormatting sqref="B42">
    <cfRule type="expression" dxfId="4702" priority="1310">
      <formula>SUM(--ISBLANK($B42:$J42))=COLUMNS($B42:$J42)</formula>
    </cfRule>
  </conditionalFormatting>
  <conditionalFormatting sqref="B42">
    <cfRule type="containsText" dxfId="4701" priority="1312" operator="containsText" text="NP">
      <formula>NOT(ISERROR(SEARCH("NP",B42)))</formula>
    </cfRule>
  </conditionalFormatting>
  <conditionalFormatting sqref="B42">
    <cfRule type="cellIs" dxfId="4700" priority="1316" operator="greaterThanOrEqual">
      <formula>4.95</formula>
    </cfRule>
  </conditionalFormatting>
  <conditionalFormatting sqref="B42">
    <cfRule type="expression" dxfId="4699" priority="1309">
      <formula>ISBLANK(B42)</formula>
    </cfRule>
  </conditionalFormatting>
  <conditionalFormatting sqref="B42">
    <cfRule type="containsText" dxfId="4698" priority="1308" operator="containsText" text="Reconocimiento Créditos">
      <formula>NOT(ISERROR(SEARCH("Reconocimiento Créditos",B42)))</formula>
    </cfRule>
  </conditionalFormatting>
  <conditionalFormatting sqref="B42">
    <cfRule type="expression" dxfId="4697" priority="1306">
      <formula>AND(ISNUMBER(B42), OR(B42&gt;10, B42&lt;0))</formula>
    </cfRule>
  </conditionalFormatting>
  <conditionalFormatting sqref="B42">
    <cfRule type="expression" dxfId="4696" priority="1305">
      <formula>AND(NOT(ISNUMBER(B42)), B42&lt;&gt;"NP", B42&lt;&gt;"Reconocimiento Créditos", B42&lt;&gt;"Aprobado en otro curso")</formula>
    </cfRule>
  </conditionalFormatting>
  <conditionalFormatting sqref="B42">
    <cfRule type="containsText" dxfId="4695" priority="1304" operator="containsText" text="Reconocimiento Créditos">
      <formula>NOT(ISERROR(SEARCH("Reconocimiento Créditos",B42)))</formula>
    </cfRule>
  </conditionalFormatting>
  <conditionalFormatting sqref="B42">
    <cfRule type="containsText" dxfId="4694" priority="1307" operator="containsText" text="Aprobado en otro curso">
      <formula>NOT(ISERROR(SEARCH("Aprobado en otro curso",B42)))</formula>
    </cfRule>
  </conditionalFormatting>
  <conditionalFormatting sqref="A43">
    <cfRule type="expression" dxfId="4693" priority="1302">
      <formula>AND(OR(ROW()=CELL("row"),COLUMN()=CELL("col")),NOT(ISBLANK($C43)),NOT(ISBLANK($B43)),ROW()&gt;2,COLUMN()&gt;1)</formula>
    </cfRule>
  </conditionalFormatting>
  <conditionalFormatting sqref="A43">
    <cfRule type="expression" dxfId="4692" priority="1301">
      <formula>SUM(--ISBLANK($B43:$J43))=COLUMNS($B43:$J43)</formula>
    </cfRule>
  </conditionalFormatting>
  <conditionalFormatting sqref="A43">
    <cfRule type="containsText" dxfId="4691" priority="1303" operator="containsText" text="NP">
      <formula>NOT(ISERROR(SEARCH("NP",A43)))</formula>
    </cfRule>
  </conditionalFormatting>
  <conditionalFormatting sqref="A43">
    <cfRule type="expression" dxfId="4690" priority="1300">
      <formula>ISBLANK(A43)</formula>
    </cfRule>
  </conditionalFormatting>
  <conditionalFormatting sqref="B43">
    <cfRule type="expression" dxfId="4689" priority="1296">
      <formula>B43=""</formula>
    </cfRule>
    <cfRule type="containsText" dxfId="4688" priority="1297" operator="containsText" text="NP">
      <formula>NOT(ISERROR(SEARCH("NP",B43)))</formula>
    </cfRule>
    <cfRule type="cellIs" dxfId="4687" priority="1298" operator="lessThan">
      <formula>4.95</formula>
    </cfRule>
  </conditionalFormatting>
  <conditionalFormatting sqref="B43">
    <cfRule type="expression" dxfId="4686" priority="1294">
      <formula>AND(OR(ROW()=CELL("row"),COLUMN()=CELL("col")),NOT(ISBLANK($C43)),NOT(ISBLANK($B43)),ROW()&gt;2,COLUMN()&gt;1)</formula>
    </cfRule>
  </conditionalFormatting>
  <conditionalFormatting sqref="B43">
    <cfRule type="expression" dxfId="4685" priority="1293">
      <formula>SUM(--ISBLANK($B43:$J43))=COLUMNS($B43:$J43)</formula>
    </cfRule>
  </conditionalFormatting>
  <conditionalFormatting sqref="B43">
    <cfRule type="containsText" dxfId="4684" priority="1295" operator="containsText" text="NP">
      <formula>NOT(ISERROR(SEARCH("NP",B43)))</formula>
    </cfRule>
  </conditionalFormatting>
  <conditionalFormatting sqref="B43">
    <cfRule type="cellIs" dxfId="4683" priority="1299" operator="greaterThanOrEqual">
      <formula>4.95</formula>
    </cfRule>
  </conditionalFormatting>
  <conditionalFormatting sqref="B43">
    <cfRule type="expression" dxfId="4682" priority="1292">
      <formula>ISBLANK(B43)</formula>
    </cfRule>
  </conditionalFormatting>
  <conditionalFormatting sqref="B43">
    <cfRule type="containsText" dxfId="4681" priority="1291" operator="containsText" text="Reconocimiento Créditos">
      <formula>NOT(ISERROR(SEARCH("Reconocimiento Créditos",B43)))</formula>
    </cfRule>
  </conditionalFormatting>
  <conditionalFormatting sqref="B43">
    <cfRule type="expression" dxfId="4680" priority="1289">
      <formula>AND(ISNUMBER(B43), OR(B43&gt;10, B43&lt;0))</formula>
    </cfRule>
  </conditionalFormatting>
  <conditionalFormatting sqref="B43">
    <cfRule type="expression" dxfId="4679" priority="1288">
      <formula>AND(NOT(ISNUMBER(B43)), B43&lt;&gt;"NP", B43&lt;&gt;"Reconocimiento Créditos", B43&lt;&gt;"Aprobado en otro curso")</formula>
    </cfRule>
  </conditionalFormatting>
  <conditionalFormatting sqref="B43">
    <cfRule type="containsText" dxfId="4678" priority="1287" operator="containsText" text="Reconocimiento Créditos">
      <formula>NOT(ISERROR(SEARCH("Reconocimiento Créditos",B43)))</formula>
    </cfRule>
  </conditionalFormatting>
  <conditionalFormatting sqref="B43">
    <cfRule type="containsText" dxfId="4677" priority="1290" operator="containsText" text="Aprobado en otro curso">
      <formula>NOT(ISERROR(SEARCH("Aprobado en otro curso",B43)))</formula>
    </cfRule>
  </conditionalFormatting>
  <conditionalFormatting sqref="A44">
    <cfRule type="expression" dxfId="4676" priority="1285">
      <formula>AND(OR(ROW()=CELL("row"),COLUMN()=CELL("col")),NOT(ISBLANK($C44)),NOT(ISBLANK($B44)),ROW()&gt;2,COLUMN()&gt;1)</formula>
    </cfRule>
  </conditionalFormatting>
  <conditionalFormatting sqref="A44">
    <cfRule type="expression" dxfId="4675" priority="1284">
      <formula>SUM(--ISBLANK($B44:$J44))=COLUMNS($B44:$J44)</formula>
    </cfRule>
  </conditionalFormatting>
  <conditionalFormatting sqref="A44">
    <cfRule type="containsText" dxfId="4674" priority="1286" operator="containsText" text="NP">
      <formula>NOT(ISERROR(SEARCH("NP",A44)))</formula>
    </cfRule>
  </conditionalFormatting>
  <conditionalFormatting sqref="A44">
    <cfRule type="expression" dxfId="4673" priority="1283">
      <formula>ISBLANK(A44)</formula>
    </cfRule>
  </conditionalFormatting>
  <conditionalFormatting sqref="B44">
    <cfRule type="expression" dxfId="4672" priority="1279">
      <formula>B44=""</formula>
    </cfRule>
    <cfRule type="containsText" dxfId="4671" priority="1280" operator="containsText" text="NP">
      <formula>NOT(ISERROR(SEARCH("NP",B44)))</formula>
    </cfRule>
    <cfRule type="cellIs" dxfId="4670" priority="1281" operator="lessThan">
      <formula>4.95</formula>
    </cfRule>
  </conditionalFormatting>
  <conditionalFormatting sqref="B44">
    <cfRule type="expression" dxfId="4669" priority="1277">
      <formula>AND(OR(ROW()=CELL("row"),COLUMN()=CELL("col")),NOT(ISBLANK($C44)),NOT(ISBLANK($B44)),ROW()&gt;2,COLUMN()&gt;1)</formula>
    </cfRule>
  </conditionalFormatting>
  <conditionalFormatting sqref="B44">
    <cfRule type="expression" dxfId="4668" priority="1276">
      <formula>SUM(--ISBLANK($B44:$J44))=COLUMNS($B44:$J44)</formula>
    </cfRule>
  </conditionalFormatting>
  <conditionalFormatting sqref="B44">
    <cfRule type="containsText" dxfId="4667" priority="1278" operator="containsText" text="NP">
      <formula>NOT(ISERROR(SEARCH("NP",B44)))</formula>
    </cfRule>
  </conditionalFormatting>
  <conditionalFormatting sqref="B44">
    <cfRule type="cellIs" dxfId="4666" priority="1282" operator="greaterThanOrEqual">
      <formula>4.95</formula>
    </cfRule>
  </conditionalFormatting>
  <conditionalFormatting sqref="B44">
    <cfRule type="expression" dxfId="4665" priority="1275">
      <formula>ISBLANK(B44)</formula>
    </cfRule>
  </conditionalFormatting>
  <conditionalFormatting sqref="B44">
    <cfRule type="containsText" dxfId="4664" priority="1274" operator="containsText" text="Reconocimiento Créditos">
      <formula>NOT(ISERROR(SEARCH("Reconocimiento Créditos",B44)))</formula>
    </cfRule>
  </conditionalFormatting>
  <conditionalFormatting sqref="B44">
    <cfRule type="expression" dxfId="4663" priority="1272">
      <formula>AND(ISNUMBER(B44), OR(B44&gt;10, B44&lt;0))</formula>
    </cfRule>
  </conditionalFormatting>
  <conditionalFormatting sqref="B44">
    <cfRule type="containsText" dxfId="4662" priority="1271" operator="containsText" text="Reconocimiento Créditos">
      <formula>NOT(ISERROR(SEARCH("Reconocimiento Créditos",B44)))</formula>
    </cfRule>
  </conditionalFormatting>
  <conditionalFormatting sqref="B44">
    <cfRule type="containsText" dxfId="4661" priority="1273" operator="containsText" text="Aprobado en otro curso">
      <formula>NOT(ISERROR(SEARCH("Aprobado en otro curso",B44)))</formula>
    </cfRule>
  </conditionalFormatting>
  <conditionalFormatting sqref="A45">
    <cfRule type="expression" dxfId="4660" priority="1269">
      <formula>AND(OR(ROW()=CELL("row"),COLUMN()=CELL("col")),NOT(ISBLANK($C45)),NOT(ISBLANK($B45)),ROW()&gt;2,COLUMN()&gt;1)</formula>
    </cfRule>
  </conditionalFormatting>
  <conditionalFormatting sqref="A45">
    <cfRule type="expression" dxfId="4659" priority="1268">
      <formula>SUM(--ISBLANK($B45:$J45))=COLUMNS($B45:$J45)</formula>
    </cfRule>
  </conditionalFormatting>
  <conditionalFormatting sqref="A45">
    <cfRule type="containsText" dxfId="4658" priority="1270" operator="containsText" text="NP">
      <formula>NOT(ISERROR(SEARCH("NP",A45)))</formula>
    </cfRule>
  </conditionalFormatting>
  <conditionalFormatting sqref="A45">
    <cfRule type="expression" dxfId="4657" priority="1267">
      <formula>ISBLANK(A45)</formula>
    </cfRule>
  </conditionalFormatting>
  <conditionalFormatting sqref="B45">
    <cfRule type="expression" dxfId="4656" priority="1263">
      <formula>B45=""</formula>
    </cfRule>
    <cfRule type="containsText" dxfId="4655" priority="1264" operator="containsText" text="NP">
      <formula>NOT(ISERROR(SEARCH("NP",B45)))</formula>
    </cfRule>
    <cfRule type="cellIs" dxfId="4654" priority="1265" operator="lessThan">
      <formula>4.95</formula>
    </cfRule>
  </conditionalFormatting>
  <conditionalFormatting sqref="B45">
    <cfRule type="expression" dxfId="4653" priority="1261">
      <formula>AND(OR(ROW()=CELL("row"),COLUMN()=CELL("col")),NOT(ISBLANK($C45)),NOT(ISBLANK($B45)),ROW()&gt;2,COLUMN()&gt;1)</formula>
    </cfRule>
  </conditionalFormatting>
  <conditionalFormatting sqref="B45">
    <cfRule type="expression" dxfId="4652" priority="1260">
      <formula>SUM(--ISBLANK($B45:$J45))=COLUMNS($B45:$J45)</formula>
    </cfRule>
  </conditionalFormatting>
  <conditionalFormatting sqref="B45">
    <cfRule type="containsText" dxfId="4651" priority="1262" operator="containsText" text="NP">
      <formula>NOT(ISERROR(SEARCH("NP",B45)))</formula>
    </cfRule>
  </conditionalFormatting>
  <conditionalFormatting sqref="B45">
    <cfRule type="cellIs" dxfId="4650" priority="1266" operator="greaterThanOrEqual">
      <formula>4.95</formula>
    </cfRule>
  </conditionalFormatting>
  <conditionalFormatting sqref="B45">
    <cfRule type="expression" dxfId="4649" priority="1259">
      <formula>ISBLANK(B45)</formula>
    </cfRule>
  </conditionalFormatting>
  <conditionalFormatting sqref="B45">
    <cfRule type="containsText" dxfId="4648" priority="1258" operator="containsText" text="Reconocimiento Créditos">
      <formula>NOT(ISERROR(SEARCH("Reconocimiento Créditos",B45)))</formula>
    </cfRule>
  </conditionalFormatting>
  <conditionalFormatting sqref="B45">
    <cfRule type="expression" dxfId="4647" priority="1256">
      <formula>AND(ISNUMBER(B45), OR(B45&gt;10, B45&lt;0))</formula>
    </cfRule>
  </conditionalFormatting>
  <conditionalFormatting sqref="B45">
    <cfRule type="expression" dxfId="4646" priority="1255">
      <formula>AND(NOT(ISNUMBER(B45)), B45&lt;&gt;"NP", B45&lt;&gt;"Reconocimiento Créditos", B45&lt;&gt;"Aprobado en otro curso")</formula>
    </cfRule>
  </conditionalFormatting>
  <conditionalFormatting sqref="B45">
    <cfRule type="containsText" dxfId="4645" priority="1254" operator="containsText" text="Reconocimiento Créditos">
      <formula>NOT(ISERROR(SEARCH("Reconocimiento Créditos",B45)))</formula>
    </cfRule>
  </conditionalFormatting>
  <conditionalFormatting sqref="B45">
    <cfRule type="containsText" dxfId="4644" priority="1257" operator="containsText" text="Aprobado en otro curso">
      <formula>NOT(ISERROR(SEARCH("Aprobado en otro curso",B45)))</formula>
    </cfRule>
  </conditionalFormatting>
  <conditionalFormatting sqref="A46">
    <cfRule type="expression" dxfId="4643" priority="1252">
      <formula>AND(OR(ROW()=CELL("row"),COLUMN()=CELL("col")),NOT(ISBLANK($C46)),NOT(ISBLANK($B46)),ROW()&gt;2,COLUMN()&gt;1)</formula>
    </cfRule>
  </conditionalFormatting>
  <conditionalFormatting sqref="A46">
    <cfRule type="expression" dxfId="4642" priority="1251">
      <formula>SUM(--ISBLANK($B46:$J46))=COLUMNS($B46:$J46)</formula>
    </cfRule>
  </conditionalFormatting>
  <conditionalFormatting sqref="A46">
    <cfRule type="containsText" dxfId="4641" priority="1253" operator="containsText" text="NP">
      <formula>NOT(ISERROR(SEARCH("NP",A46)))</formula>
    </cfRule>
  </conditionalFormatting>
  <conditionalFormatting sqref="A46">
    <cfRule type="expression" dxfId="4640" priority="1250">
      <formula>ISBLANK(A46)</formula>
    </cfRule>
  </conditionalFormatting>
  <conditionalFormatting sqref="B46">
    <cfRule type="expression" dxfId="4639" priority="1246">
      <formula>B46=""</formula>
    </cfRule>
    <cfRule type="containsText" dxfId="4638" priority="1247" operator="containsText" text="NP">
      <formula>NOT(ISERROR(SEARCH("NP",B46)))</formula>
    </cfRule>
    <cfRule type="cellIs" dxfId="4637" priority="1248" operator="lessThan">
      <formula>4.95</formula>
    </cfRule>
  </conditionalFormatting>
  <conditionalFormatting sqref="B46">
    <cfRule type="expression" dxfId="4636" priority="1244">
      <formula>AND(OR(ROW()=CELL("row"),COLUMN()=CELL("col")),NOT(ISBLANK($C46)),NOT(ISBLANK($B46)),ROW()&gt;2,COLUMN()&gt;1)</formula>
    </cfRule>
  </conditionalFormatting>
  <conditionalFormatting sqref="B46">
    <cfRule type="expression" dxfId="4635" priority="1243">
      <formula>SUM(--ISBLANK($B46:$J46))=COLUMNS($B46:$J46)</formula>
    </cfRule>
  </conditionalFormatting>
  <conditionalFormatting sqref="B46">
    <cfRule type="containsText" dxfId="4634" priority="1245" operator="containsText" text="NP">
      <formula>NOT(ISERROR(SEARCH("NP",B46)))</formula>
    </cfRule>
  </conditionalFormatting>
  <conditionalFormatting sqref="B46">
    <cfRule type="cellIs" dxfId="4633" priority="1249" operator="greaterThanOrEqual">
      <formula>4.95</formula>
    </cfRule>
  </conditionalFormatting>
  <conditionalFormatting sqref="B46">
    <cfRule type="expression" dxfId="4632" priority="1242">
      <formula>ISBLANK(B46)</formula>
    </cfRule>
  </conditionalFormatting>
  <conditionalFormatting sqref="B46">
    <cfRule type="containsText" dxfId="4631" priority="1241" operator="containsText" text="Reconocimiento Créditos">
      <formula>NOT(ISERROR(SEARCH("Reconocimiento Créditos",B46)))</formula>
    </cfRule>
  </conditionalFormatting>
  <conditionalFormatting sqref="B46">
    <cfRule type="expression" dxfId="4630" priority="1239">
      <formula>AND(ISNUMBER(B46), OR(B46&gt;10, B46&lt;0))</formula>
    </cfRule>
  </conditionalFormatting>
  <conditionalFormatting sqref="B46">
    <cfRule type="expression" dxfId="4629" priority="1238">
      <formula>AND(NOT(ISNUMBER(B46)), B46&lt;&gt;"NP", B46&lt;&gt;"Reconocimiento Créditos", B46&lt;&gt;"Aprobado en otro curso")</formula>
    </cfRule>
  </conditionalFormatting>
  <conditionalFormatting sqref="B46">
    <cfRule type="containsText" dxfId="4628" priority="1237" operator="containsText" text="Reconocimiento Créditos">
      <formula>NOT(ISERROR(SEARCH("Reconocimiento Créditos",B46)))</formula>
    </cfRule>
  </conditionalFormatting>
  <conditionalFormatting sqref="B46">
    <cfRule type="containsText" dxfId="4627" priority="1240" operator="containsText" text="Aprobado en otro curso">
      <formula>NOT(ISERROR(SEARCH("Aprobado en otro curso",B46)))</formula>
    </cfRule>
  </conditionalFormatting>
  <conditionalFormatting sqref="A47">
    <cfRule type="expression" dxfId="4626" priority="1235">
      <formula>AND(OR(ROW()=CELL("row"),COLUMN()=CELL("col")),NOT(ISBLANK($C47)),NOT(ISBLANK($B47)),ROW()&gt;2,COLUMN()&gt;1)</formula>
    </cfRule>
  </conditionalFormatting>
  <conditionalFormatting sqref="A47">
    <cfRule type="expression" dxfId="4625" priority="1234">
      <formula>SUM(--ISBLANK($B47:$J47))=COLUMNS($B47:$J47)</formula>
    </cfRule>
  </conditionalFormatting>
  <conditionalFormatting sqref="A47">
    <cfRule type="containsText" dxfId="4624" priority="1236" operator="containsText" text="NP">
      <formula>NOT(ISERROR(SEARCH("NP",A47)))</formula>
    </cfRule>
  </conditionalFormatting>
  <conditionalFormatting sqref="A47">
    <cfRule type="expression" dxfId="4623" priority="1233">
      <formula>ISBLANK(A47)</formula>
    </cfRule>
  </conditionalFormatting>
  <conditionalFormatting sqref="B47">
    <cfRule type="expression" dxfId="4622" priority="1229">
      <formula>B47=""</formula>
    </cfRule>
    <cfRule type="containsText" dxfId="4621" priority="1230" operator="containsText" text="NP">
      <formula>NOT(ISERROR(SEARCH("NP",B47)))</formula>
    </cfRule>
    <cfRule type="cellIs" dxfId="4620" priority="1231" operator="lessThan">
      <formula>4.95</formula>
    </cfRule>
  </conditionalFormatting>
  <conditionalFormatting sqref="B47">
    <cfRule type="expression" dxfId="4619" priority="1227">
      <formula>AND(OR(ROW()=CELL("row"),COLUMN()=CELL("col")),NOT(ISBLANK($C47)),NOT(ISBLANK($B47)),ROW()&gt;2,COLUMN()&gt;1)</formula>
    </cfRule>
  </conditionalFormatting>
  <conditionalFormatting sqref="B47">
    <cfRule type="expression" dxfId="4618" priority="1226">
      <formula>SUM(--ISBLANK($B47:$J47))=COLUMNS($B47:$J47)</formula>
    </cfRule>
  </conditionalFormatting>
  <conditionalFormatting sqref="B47">
    <cfRule type="containsText" dxfId="4617" priority="1228" operator="containsText" text="NP">
      <formula>NOT(ISERROR(SEARCH("NP",B47)))</formula>
    </cfRule>
  </conditionalFormatting>
  <conditionalFormatting sqref="B47">
    <cfRule type="cellIs" dxfId="4616" priority="1232" operator="greaterThanOrEqual">
      <formula>4.95</formula>
    </cfRule>
  </conditionalFormatting>
  <conditionalFormatting sqref="B47">
    <cfRule type="expression" dxfId="4615" priority="1225">
      <formula>ISBLANK(B47)</formula>
    </cfRule>
  </conditionalFormatting>
  <conditionalFormatting sqref="B47">
    <cfRule type="containsText" dxfId="4614" priority="1224" operator="containsText" text="Reconocimiento Créditos">
      <formula>NOT(ISERROR(SEARCH("Reconocimiento Créditos",B47)))</formula>
    </cfRule>
  </conditionalFormatting>
  <conditionalFormatting sqref="B47">
    <cfRule type="expression" dxfId="4613" priority="1222">
      <formula>AND(ISNUMBER(B47), OR(B47&gt;10, B47&lt;0))</formula>
    </cfRule>
  </conditionalFormatting>
  <conditionalFormatting sqref="B47">
    <cfRule type="expression" dxfId="4612" priority="1221">
      <formula>AND(NOT(ISNUMBER(B47)), B47&lt;&gt;"NP", B47&lt;&gt;"Reconocimiento Créditos", B47&lt;&gt;"Aprobado en otro curso")</formula>
    </cfRule>
  </conditionalFormatting>
  <conditionalFormatting sqref="B47">
    <cfRule type="containsText" dxfId="4611" priority="1220" operator="containsText" text="Reconocimiento Créditos">
      <formula>NOT(ISERROR(SEARCH("Reconocimiento Créditos",B47)))</formula>
    </cfRule>
  </conditionalFormatting>
  <conditionalFormatting sqref="B47">
    <cfRule type="containsText" dxfId="4610" priority="1223" operator="containsText" text="Aprobado en otro curso">
      <formula>NOT(ISERROR(SEARCH("Aprobado en otro curso",B47)))</formula>
    </cfRule>
  </conditionalFormatting>
  <conditionalFormatting sqref="A48">
    <cfRule type="expression" dxfId="4609" priority="1218">
      <formula>AND(OR(ROW()=CELL("row"),COLUMN()=CELL("col")),NOT(ISBLANK($C48)),NOT(ISBLANK($B48)),ROW()&gt;2,COLUMN()&gt;1)</formula>
    </cfRule>
  </conditionalFormatting>
  <conditionalFormatting sqref="A48">
    <cfRule type="expression" dxfId="4608" priority="1217">
      <formula>SUM(--ISBLANK($B48:$J48))=COLUMNS($B48:$J48)</formula>
    </cfRule>
  </conditionalFormatting>
  <conditionalFormatting sqref="A48">
    <cfRule type="containsText" dxfId="4607" priority="1219" operator="containsText" text="NP">
      <formula>NOT(ISERROR(SEARCH("NP",A48)))</formula>
    </cfRule>
  </conditionalFormatting>
  <conditionalFormatting sqref="A48">
    <cfRule type="expression" dxfId="4606" priority="1216">
      <formula>ISBLANK(A48)</formula>
    </cfRule>
  </conditionalFormatting>
  <conditionalFormatting sqref="B48">
    <cfRule type="expression" dxfId="4605" priority="1212">
      <formula>B48=""</formula>
    </cfRule>
    <cfRule type="containsText" dxfId="4604" priority="1213" operator="containsText" text="NP">
      <formula>NOT(ISERROR(SEARCH("NP",B48)))</formula>
    </cfRule>
    <cfRule type="cellIs" dxfId="4603" priority="1214" operator="lessThan">
      <formula>4.95</formula>
    </cfRule>
  </conditionalFormatting>
  <conditionalFormatting sqref="B48">
    <cfRule type="expression" dxfId="4602" priority="1210">
      <formula>AND(OR(ROW()=CELL("row"),COLUMN()=CELL("col")),NOT(ISBLANK($C48)),NOT(ISBLANK($B48)),ROW()&gt;2,COLUMN()&gt;1)</formula>
    </cfRule>
  </conditionalFormatting>
  <conditionalFormatting sqref="B48">
    <cfRule type="expression" dxfId="4601" priority="1209">
      <formula>SUM(--ISBLANK($B48:$J48))=COLUMNS($B48:$J48)</formula>
    </cfRule>
  </conditionalFormatting>
  <conditionalFormatting sqref="B48">
    <cfRule type="containsText" dxfId="4600" priority="1211" operator="containsText" text="NP">
      <formula>NOT(ISERROR(SEARCH("NP",B48)))</formula>
    </cfRule>
  </conditionalFormatting>
  <conditionalFormatting sqref="B48">
    <cfRule type="cellIs" dxfId="4599" priority="1215" operator="greaterThanOrEqual">
      <formula>4.95</formula>
    </cfRule>
  </conditionalFormatting>
  <conditionalFormatting sqref="B48">
    <cfRule type="expression" dxfId="4598" priority="1208">
      <formula>ISBLANK(B48)</formula>
    </cfRule>
  </conditionalFormatting>
  <conditionalFormatting sqref="B48">
    <cfRule type="containsText" dxfId="4597" priority="1207" operator="containsText" text="Reconocimiento Créditos">
      <formula>NOT(ISERROR(SEARCH("Reconocimiento Créditos",B48)))</formula>
    </cfRule>
  </conditionalFormatting>
  <conditionalFormatting sqref="B48">
    <cfRule type="expression" dxfId="4596" priority="1205">
      <formula>AND(ISNUMBER(B48), OR(B48&gt;10, B48&lt;0))</formula>
    </cfRule>
  </conditionalFormatting>
  <conditionalFormatting sqref="B48">
    <cfRule type="expression" dxfId="4595" priority="1204">
      <formula>AND(NOT(ISNUMBER(B48)), B48&lt;&gt;"NP", B48&lt;&gt;"Reconocimiento Créditos", B48&lt;&gt;"Aprobado en otro curso")</formula>
    </cfRule>
  </conditionalFormatting>
  <conditionalFormatting sqref="B48">
    <cfRule type="containsText" dxfId="4594" priority="1203" operator="containsText" text="Reconocimiento Créditos">
      <formula>NOT(ISERROR(SEARCH("Reconocimiento Créditos",B48)))</formula>
    </cfRule>
  </conditionalFormatting>
  <conditionalFormatting sqref="B48">
    <cfRule type="containsText" dxfId="4593" priority="1206" operator="containsText" text="Aprobado en otro curso">
      <formula>NOT(ISERROR(SEARCH("Aprobado en otro curso",B48)))</formula>
    </cfRule>
  </conditionalFormatting>
  <conditionalFormatting sqref="A49">
    <cfRule type="expression" dxfId="4592" priority="1201">
      <formula>AND(OR(ROW()=CELL("row"),COLUMN()=CELL("col")),NOT(ISBLANK($C49)),NOT(ISBLANK($B49)),ROW()&gt;2,COLUMN()&gt;1)</formula>
    </cfRule>
  </conditionalFormatting>
  <conditionalFormatting sqref="A49">
    <cfRule type="expression" dxfId="4591" priority="1200">
      <formula>SUM(--ISBLANK($B49:$J49))=COLUMNS($B49:$J49)</formula>
    </cfRule>
  </conditionalFormatting>
  <conditionalFormatting sqref="A49">
    <cfRule type="containsText" dxfId="4590" priority="1202" operator="containsText" text="NP">
      <formula>NOT(ISERROR(SEARCH("NP",A49)))</formula>
    </cfRule>
  </conditionalFormatting>
  <conditionalFormatting sqref="A49">
    <cfRule type="expression" dxfId="4589" priority="1199">
      <formula>ISBLANK(A49)</formula>
    </cfRule>
  </conditionalFormatting>
  <conditionalFormatting sqref="B49">
    <cfRule type="expression" dxfId="4588" priority="1195">
      <formula>B49=""</formula>
    </cfRule>
    <cfRule type="containsText" dxfId="4587" priority="1196" operator="containsText" text="NP">
      <formula>NOT(ISERROR(SEARCH("NP",B49)))</formula>
    </cfRule>
    <cfRule type="cellIs" dxfId="4586" priority="1197" operator="lessThan">
      <formula>4.95</formula>
    </cfRule>
  </conditionalFormatting>
  <conditionalFormatting sqref="B49">
    <cfRule type="expression" dxfId="4585" priority="1193">
      <formula>AND(OR(ROW()=CELL("row"),COLUMN()=CELL("col")),NOT(ISBLANK($C49)),NOT(ISBLANK($B49)),ROW()&gt;2,COLUMN()&gt;1)</formula>
    </cfRule>
  </conditionalFormatting>
  <conditionalFormatting sqref="B49">
    <cfRule type="expression" dxfId="4584" priority="1192">
      <formula>SUM(--ISBLANK($B49:$J49))=COLUMNS($B49:$J49)</formula>
    </cfRule>
  </conditionalFormatting>
  <conditionalFormatting sqref="B49">
    <cfRule type="containsText" dxfId="4583" priority="1194" operator="containsText" text="NP">
      <formula>NOT(ISERROR(SEARCH("NP",B49)))</formula>
    </cfRule>
  </conditionalFormatting>
  <conditionalFormatting sqref="B49">
    <cfRule type="cellIs" dxfId="4582" priority="1198" operator="greaterThanOrEqual">
      <formula>4.95</formula>
    </cfRule>
  </conditionalFormatting>
  <conditionalFormatting sqref="B49">
    <cfRule type="expression" dxfId="4581" priority="1191">
      <formula>ISBLANK(B49)</formula>
    </cfRule>
  </conditionalFormatting>
  <conditionalFormatting sqref="B49">
    <cfRule type="containsText" dxfId="4580" priority="1190" operator="containsText" text="Reconocimiento Créditos">
      <formula>NOT(ISERROR(SEARCH("Reconocimiento Créditos",B49)))</formula>
    </cfRule>
  </conditionalFormatting>
  <conditionalFormatting sqref="B49">
    <cfRule type="expression" dxfId="4579" priority="1188">
      <formula>AND(ISNUMBER(B49), OR(B49&gt;10, B49&lt;0))</formula>
    </cfRule>
  </conditionalFormatting>
  <conditionalFormatting sqref="B49">
    <cfRule type="expression" dxfId="4578" priority="1187">
      <formula>AND(NOT(ISNUMBER(B49)), B49&lt;&gt;"NP", B49&lt;&gt;"Reconocimiento Créditos", B49&lt;&gt;"Aprobado en otro curso")</formula>
    </cfRule>
  </conditionalFormatting>
  <conditionalFormatting sqref="B49">
    <cfRule type="containsText" dxfId="4577" priority="1186" operator="containsText" text="Reconocimiento Créditos">
      <formula>NOT(ISERROR(SEARCH("Reconocimiento Créditos",B49)))</formula>
    </cfRule>
  </conditionalFormatting>
  <conditionalFormatting sqref="B49">
    <cfRule type="containsText" dxfId="4576" priority="1189" operator="containsText" text="Aprobado en otro curso">
      <formula>NOT(ISERROR(SEARCH("Aprobado en otro curso",B49)))</formula>
    </cfRule>
  </conditionalFormatting>
  <conditionalFormatting sqref="A50">
    <cfRule type="expression" dxfId="4575" priority="1184">
      <formula>AND(OR(ROW()=CELL("row"),COLUMN()=CELL("col")),NOT(ISBLANK($C50)),NOT(ISBLANK($B50)),ROW()&gt;2,COLUMN()&gt;1)</formula>
    </cfRule>
  </conditionalFormatting>
  <conditionalFormatting sqref="A50">
    <cfRule type="expression" dxfId="4574" priority="1183">
      <formula>SUM(--ISBLANK($B50:$J50))=COLUMNS($B50:$J50)</formula>
    </cfRule>
  </conditionalFormatting>
  <conditionalFormatting sqref="A50">
    <cfRule type="containsText" dxfId="4573" priority="1185" operator="containsText" text="NP">
      <formula>NOT(ISERROR(SEARCH("NP",A50)))</formula>
    </cfRule>
  </conditionalFormatting>
  <conditionalFormatting sqref="A50">
    <cfRule type="expression" dxfId="4572" priority="1182">
      <formula>ISBLANK(A50)</formula>
    </cfRule>
  </conditionalFormatting>
  <conditionalFormatting sqref="B50">
    <cfRule type="expression" dxfId="4571" priority="1178">
      <formula>B50=""</formula>
    </cfRule>
    <cfRule type="containsText" dxfId="4570" priority="1179" operator="containsText" text="NP">
      <formula>NOT(ISERROR(SEARCH("NP",B50)))</formula>
    </cfRule>
    <cfRule type="cellIs" dxfId="4569" priority="1180" operator="lessThan">
      <formula>4.95</formula>
    </cfRule>
  </conditionalFormatting>
  <conditionalFormatting sqref="B50">
    <cfRule type="expression" dxfId="4568" priority="1176">
      <formula>AND(OR(ROW()=CELL("row"),COLUMN()=CELL("col")),NOT(ISBLANK($C50)),NOT(ISBLANK($B50)),ROW()&gt;2,COLUMN()&gt;1)</formula>
    </cfRule>
  </conditionalFormatting>
  <conditionalFormatting sqref="B50">
    <cfRule type="expression" dxfId="4567" priority="1175">
      <formula>SUM(--ISBLANK($B50:$J50))=COLUMNS($B50:$J50)</formula>
    </cfRule>
  </conditionalFormatting>
  <conditionalFormatting sqref="B50">
    <cfRule type="containsText" dxfId="4566" priority="1177" operator="containsText" text="NP">
      <formula>NOT(ISERROR(SEARCH("NP",B50)))</formula>
    </cfRule>
  </conditionalFormatting>
  <conditionalFormatting sqref="B50">
    <cfRule type="cellIs" dxfId="4565" priority="1181" operator="greaterThanOrEqual">
      <formula>4.95</formula>
    </cfRule>
  </conditionalFormatting>
  <conditionalFormatting sqref="B50">
    <cfRule type="expression" dxfId="4564" priority="1174">
      <formula>ISBLANK(B50)</formula>
    </cfRule>
  </conditionalFormatting>
  <conditionalFormatting sqref="B50">
    <cfRule type="containsText" dxfId="4563" priority="1173" operator="containsText" text="Reconocimiento Créditos">
      <formula>NOT(ISERROR(SEARCH("Reconocimiento Créditos",B50)))</formula>
    </cfRule>
  </conditionalFormatting>
  <conditionalFormatting sqref="B50">
    <cfRule type="expression" dxfId="4562" priority="1171">
      <formula>AND(ISNUMBER(B50), OR(B50&gt;10, B50&lt;0))</formula>
    </cfRule>
  </conditionalFormatting>
  <conditionalFormatting sqref="B50">
    <cfRule type="expression" dxfId="4561" priority="1170">
      <formula>AND(NOT(ISNUMBER(B50)), B50&lt;&gt;"NP", B50&lt;&gt;"Reconocimiento Créditos", B50&lt;&gt;"Aprobado en otro curso")</formula>
    </cfRule>
  </conditionalFormatting>
  <conditionalFormatting sqref="B50">
    <cfRule type="containsText" dxfId="4560" priority="1169" operator="containsText" text="Reconocimiento Créditos">
      <formula>NOT(ISERROR(SEARCH("Reconocimiento Créditos",B50)))</formula>
    </cfRule>
  </conditionalFormatting>
  <conditionalFormatting sqref="B50">
    <cfRule type="containsText" dxfId="4559" priority="1172" operator="containsText" text="Aprobado en otro curso">
      <formula>NOT(ISERROR(SEARCH("Aprobado en otro curso",B50)))</formula>
    </cfRule>
  </conditionalFormatting>
  <conditionalFormatting sqref="A51">
    <cfRule type="expression" dxfId="4558" priority="1167">
      <formula>AND(OR(ROW()=CELL("row"),COLUMN()=CELL("col")),NOT(ISBLANK($C51)),NOT(ISBLANK($B51)),ROW()&gt;2,COLUMN()&gt;1)</formula>
    </cfRule>
  </conditionalFormatting>
  <conditionalFormatting sqref="A51">
    <cfRule type="expression" dxfId="4557" priority="1166">
      <formula>SUM(--ISBLANK($B51:$J51))=COLUMNS($B51:$J51)</formula>
    </cfRule>
  </conditionalFormatting>
  <conditionalFormatting sqref="A51">
    <cfRule type="containsText" dxfId="4556" priority="1168" operator="containsText" text="NP">
      <formula>NOT(ISERROR(SEARCH("NP",A51)))</formula>
    </cfRule>
  </conditionalFormatting>
  <conditionalFormatting sqref="A51">
    <cfRule type="expression" dxfId="4555" priority="1165">
      <formula>ISBLANK(A51)</formula>
    </cfRule>
  </conditionalFormatting>
  <conditionalFormatting sqref="B51">
    <cfRule type="expression" dxfId="4554" priority="1161">
      <formula>B51=""</formula>
    </cfRule>
    <cfRule type="containsText" dxfId="4553" priority="1162" operator="containsText" text="NP">
      <formula>NOT(ISERROR(SEARCH("NP",B51)))</formula>
    </cfRule>
    <cfRule type="cellIs" dxfId="4552" priority="1163" operator="lessThan">
      <formula>4.95</formula>
    </cfRule>
  </conditionalFormatting>
  <conditionalFormatting sqref="B51">
    <cfRule type="expression" dxfId="4551" priority="1159">
      <formula>AND(OR(ROW()=CELL("row"),COLUMN()=CELL("col")),NOT(ISBLANK($C51)),NOT(ISBLANK($B51)),ROW()&gt;2,COLUMN()&gt;1)</formula>
    </cfRule>
  </conditionalFormatting>
  <conditionalFormatting sqref="B51">
    <cfRule type="expression" dxfId="4550" priority="1158">
      <formula>SUM(--ISBLANK($B51:$J51))=COLUMNS($B51:$J51)</formula>
    </cfRule>
  </conditionalFormatting>
  <conditionalFormatting sqref="B51">
    <cfRule type="containsText" dxfId="4549" priority="1160" operator="containsText" text="NP">
      <formula>NOT(ISERROR(SEARCH("NP",B51)))</formula>
    </cfRule>
  </conditionalFormatting>
  <conditionalFormatting sqref="B51">
    <cfRule type="cellIs" dxfId="4548" priority="1164" operator="greaterThanOrEqual">
      <formula>4.95</formula>
    </cfRule>
  </conditionalFormatting>
  <conditionalFormatting sqref="B51">
    <cfRule type="expression" dxfId="4547" priority="1157">
      <formula>ISBLANK(B51)</formula>
    </cfRule>
  </conditionalFormatting>
  <conditionalFormatting sqref="B51">
    <cfRule type="containsText" dxfId="4546" priority="1156" operator="containsText" text="Reconocimiento Créditos">
      <formula>NOT(ISERROR(SEARCH("Reconocimiento Créditos",B51)))</formula>
    </cfRule>
  </conditionalFormatting>
  <conditionalFormatting sqref="B51">
    <cfRule type="expression" dxfId="4545" priority="1154">
      <formula>AND(ISNUMBER(B51), OR(B51&gt;10, B51&lt;0))</formula>
    </cfRule>
  </conditionalFormatting>
  <conditionalFormatting sqref="B51">
    <cfRule type="expression" dxfId="4544" priority="1153">
      <formula>AND(NOT(ISNUMBER(B51)), B51&lt;&gt;"NP", B51&lt;&gt;"Reconocimiento Créditos", B51&lt;&gt;"Aprobado en otro curso")</formula>
    </cfRule>
  </conditionalFormatting>
  <conditionalFormatting sqref="B51">
    <cfRule type="containsText" dxfId="4543" priority="1152" operator="containsText" text="Reconocimiento Créditos">
      <formula>NOT(ISERROR(SEARCH("Reconocimiento Créditos",B51)))</formula>
    </cfRule>
  </conditionalFormatting>
  <conditionalFormatting sqref="B51">
    <cfRule type="containsText" dxfId="4542" priority="1155" operator="containsText" text="Aprobado en otro curso">
      <formula>NOT(ISERROR(SEARCH("Aprobado en otro curso",B51)))</formula>
    </cfRule>
  </conditionalFormatting>
  <conditionalFormatting sqref="A52">
    <cfRule type="expression" dxfId="4541" priority="1150">
      <formula>AND(OR(ROW()=CELL("row"),COLUMN()=CELL("col")),NOT(ISBLANK($C52)),NOT(ISBLANK($B52)),ROW()&gt;2,COLUMN()&gt;1)</formula>
    </cfRule>
  </conditionalFormatting>
  <conditionalFormatting sqref="A52">
    <cfRule type="expression" dxfId="4540" priority="1149">
      <formula>SUM(--ISBLANK($B52:$J52))=COLUMNS($B52:$J52)</formula>
    </cfRule>
  </conditionalFormatting>
  <conditionalFormatting sqref="A52">
    <cfRule type="containsText" dxfId="4539" priority="1151" operator="containsText" text="NP">
      <formula>NOT(ISERROR(SEARCH("NP",A52)))</formula>
    </cfRule>
  </conditionalFormatting>
  <conditionalFormatting sqref="A52">
    <cfRule type="expression" dxfId="4538" priority="1148">
      <formula>ISBLANK(A52)</formula>
    </cfRule>
  </conditionalFormatting>
  <conditionalFormatting sqref="B52">
    <cfRule type="expression" dxfId="4537" priority="1144">
      <formula>B52=""</formula>
    </cfRule>
    <cfRule type="containsText" dxfId="4536" priority="1145" operator="containsText" text="NP">
      <formula>NOT(ISERROR(SEARCH("NP",B52)))</formula>
    </cfRule>
    <cfRule type="cellIs" dxfId="4535" priority="1146" operator="lessThan">
      <formula>4.95</formula>
    </cfRule>
  </conditionalFormatting>
  <conditionalFormatting sqref="B52">
    <cfRule type="expression" dxfId="4534" priority="1142">
      <formula>AND(OR(ROW()=CELL("row"),COLUMN()=CELL("col")),NOT(ISBLANK($C52)),NOT(ISBLANK($B52)),ROW()&gt;2,COLUMN()&gt;1)</formula>
    </cfRule>
  </conditionalFormatting>
  <conditionalFormatting sqref="B52">
    <cfRule type="expression" dxfId="4533" priority="1141">
      <formula>SUM(--ISBLANK($B52:$J52))=COLUMNS($B52:$J52)</formula>
    </cfRule>
  </conditionalFormatting>
  <conditionalFormatting sqref="B52">
    <cfRule type="containsText" dxfId="4532" priority="1143" operator="containsText" text="NP">
      <formula>NOT(ISERROR(SEARCH("NP",B52)))</formula>
    </cfRule>
  </conditionalFormatting>
  <conditionalFormatting sqref="B52">
    <cfRule type="cellIs" dxfId="4531" priority="1147" operator="greaterThanOrEqual">
      <formula>4.95</formula>
    </cfRule>
  </conditionalFormatting>
  <conditionalFormatting sqref="B52">
    <cfRule type="expression" dxfId="4530" priority="1140">
      <formula>ISBLANK(B52)</formula>
    </cfRule>
  </conditionalFormatting>
  <conditionalFormatting sqref="B52">
    <cfRule type="containsText" dxfId="4529" priority="1139" operator="containsText" text="Reconocimiento Créditos">
      <formula>NOT(ISERROR(SEARCH("Reconocimiento Créditos",B52)))</formula>
    </cfRule>
  </conditionalFormatting>
  <conditionalFormatting sqref="B52">
    <cfRule type="expression" dxfId="4528" priority="1137">
      <formula>AND(ISNUMBER(B52), OR(B52&gt;10, B52&lt;0))</formula>
    </cfRule>
  </conditionalFormatting>
  <conditionalFormatting sqref="B52">
    <cfRule type="expression" dxfId="4527" priority="1136">
      <formula>AND(NOT(ISNUMBER(B52)), B52&lt;&gt;"NP", B52&lt;&gt;"Reconocimiento Créditos", B52&lt;&gt;"Aprobado en otro curso")</formula>
    </cfRule>
  </conditionalFormatting>
  <conditionalFormatting sqref="B52">
    <cfRule type="containsText" dxfId="4526" priority="1135" operator="containsText" text="Reconocimiento Créditos">
      <formula>NOT(ISERROR(SEARCH("Reconocimiento Créditos",B52)))</formula>
    </cfRule>
  </conditionalFormatting>
  <conditionalFormatting sqref="B52">
    <cfRule type="containsText" dxfId="4525" priority="1138" operator="containsText" text="Aprobado en otro curso">
      <formula>NOT(ISERROR(SEARCH("Aprobado en otro curso",B52)))</formula>
    </cfRule>
  </conditionalFormatting>
  <conditionalFormatting sqref="A53">
    <cfRule type="expression" dxfId="4524" priority="1133">
      <formula>AND(OR(ROW()=CELL("row"),COLUMN()=CELL("col")),NOT(ISBLANK($C53)),NOT(ISBLANK($B53)),ROW()&gt;2,COLUMN()&gt;1)</formula>
    </cfRule>
  </conditionalFormatting>
  <conditionalFormatting sqref="A53">
    <cfRule type="expression" dxfId="4523" priority="1132">
      <formula>SUM(--ISBLANK($B53:$J53))=COLUMNS($B53:$J53)</formula>
    </cfRule>
  </conditionalFormatting>
  <conditionalFormatting sqref="A53">
    <cfRule type="containsText" dxfId="4522" priority="1134" operator="containsText" text="NP">
      <formula>NOT(ISERROR(SEARCH("NP",A53)))</formula>
    </cfRule>
  </conditionalFormatting>
  <conditionalFormatting sqref="A53">
    <cfRule type="expression" dxfId="4521" priority="1131">
      <formula>ISBLANK(A53)</formula>
    </cfRule>
  </conditionalFormatting>
  <conditionalFormatting sqref="B53">
    <cfRule type="expression" dxfId="4520" priority="1127">
      <formula>B53=""</formula>
    </cfRule>
    <cfRule type="containsText" dxfId="4519" priority="1128" operator="containsText" text="NP">
      <formula>NOT(ISERROR(SEARCH("NP",B53)))</formula>
    </cfRule>
    <cfRule type="cellIs" dxfId="4518" priority="1129" operator="lessThan">
      <formula>4.95</formula>
    </cfRule>
  </conditionalFormatting>
  <conditionalFormatting sqref="B53">
    <cfRule type="expression" dxfId="4517" priority="1125">
      <formula>AND(OR(ROW()=CELL("row"),COLUMN()=CELL("col")),NOT(ISBLANK($C53)),NOT(ISBLANK($B53)),ROW()&gt;2,COLUMN()&gt;1)</formula>
    </cfRule>
  </conditionalFormatting>
  <conditionalFormatting sqref="B53">
    <cfRule type="expression" dxfId="4516" priority="1124">
      <formula>SUM(--ISBLANK($B53:$J53))=COLUMNS($B53:$J53)</formula>
    </cfRule>
  </conditionalFormatting>
  <conditionalFormatting sqref="B53">
    <cfRule type="containsText" dxfId="4515" priority="1126" operator="containsText" text="NP">
      <formula>NOT(ISERROR(SEARCH("NP",B53)))</formula>
    </cfRule>
  </conditionalFormatting>
  <conditionalFormatting sqref="B53">
    <cfRule type="cellIs" dxfId="4514" priority="1130" operator="greaterThanOrEqual">
      <formula>4.95</formula>
    </cfRule>
  </conditionalFormatting>
  <conditionalFormatting sqref="B53">
    <cfRule type="expression" dxfId="4513" priority="1123">
      <formula>ISBLANK(B53)</formula>
    </cfRule>
  </conditionalFormatting>
  <conditionalFormatting sqref="B53">
    <cfRule type="containsText" dxfId="4512" priority="1122" operator="containsText" text="Reconocimiento Créditos">
      <formula>NOT(ISERROR(SEARCH("Reconocimiento Créditos",B53)))</formula>
    </cfRule>
  </conditionalFormatting>
  <conditionalFormatting sqref="B53">
    <cfRule type="expression" dxfId="4511" priority="1120">
      <formula>AND(ISNUMBER(B53), OR(B53&gt;10, B53&lt;0))</formula>
    </cfRule>
  </conditionalFormatting>
  <conditionalFormatting sqref="B53">
    <cfRule type="expression" dxfId="4510" priority="1119">
      <formula>AND(NOT(ISNUMBER(B53)), B53&lt;&gt;"NP", B53&lt;&gt;"Reconocimiento Créditos", B53&lt;&gt;"Aprobado en otro curso")</formula>
    </cfRule>
  </conditionalFormatting>
  <conditionalFormatting sqref="B53">
    <cfRule type="containsText" dxfId="4509" priority="1118" operator="containsText" text="Reconocimiento Créditos">
      <formula>NOT(ISERROR(SEARCH("Reconocimiento Créditos",B53)))</formula>
    </cfRule>
  </conditionalFormatting>
  <conditionalFormatting sqref="B53">
    <cfRule type="containsText" dxfId="4508" priority="1121" operator="containsText" text="Aprobado en otro curso">
      <formula>NOT(ISERROR(SEARCH("Aprobado en otro curso",B53)))</formula>
    </cfRule>
  </conditionalFormatting>
  <conditionalFormatting sqref="A54">
    <cfRule type="expression" dxfId="4507" priority="1116">
      <formula>AND(OR(ROW()=CELL("row"),COLUMN()=CELL("col")),NOT(ISBLANK($C54)),NOT(ISBLANK($B54)),ROW()&gt;2,COLUMN()&gt;1)</formula>
    </cfRule>
  </conditionalFormatting>
  <conditionalFormatting sqref="A54">
    <cfRule type="expression" dxfId="4506" priority="1115">
      <formula>SUM(--ISBLANK($B54:$J54))=COLUMNS($B54:$J54)</formula>
    </cfRule>
  </conditionalFormatting>
  <conditionalFormatting sqref="A54">
    <cfRule type="containsText" dxfId="4505" priority="1117" operator="containsText" text="NP">
      <formula>NOT(ISERROR(SEARCH("NP",A54)))</formula>
    </cfRule>
  </conditionalFormatting>
  <conditionalFormatting sqref="A54">
    <cfRule type="expression" dxfId="4504" priority="1114">
      <formula>ISBLANK(A54)</formula>
    </cfRule>
  </conditionalFormatting>
  <conditionalFormatting sqref="B54">
    <cfRule type="expression" dxfId="4503" priority="1110">
      <formula>B54=""</formula>
    </cfRule>
    <cfRule type="containsText" dxfId="4502" priority="1111" operator="containsText" text="NP">
      <formula>NOT(ISERROR(SEARCH("NP",B54)))</formula>
    </cfRule>
    <cfRule type="cellIs" dxfId="4501" priority="1112" operator="lessThan">
      <formula>4.95</formula>
    </cfRule>
  </conditionalFormatting>
  <conditionalFormatting sqref="B54">
    <cfRule type="expression" dxfId="4500" priority="1108">
      <formula>AND(OR(ROW()=CELL("row"),COLUMN()=CELL("col")),NOT(ISBLANK($C54)),NOT(ISBLANK($B54)),ROW()&gt;2,COLUMN()&gt;1)</formula>
    </cfRule>
  </conditionalFormatting>
  <conditionalFormatting sqref="B54">
    <cfRule type="expression" dxfId="4499" priority="1107">
      <formula>SUM(--ISBLANK($B54:$J54))=COLUMNS($B54:$J54)</formula>
    </cfRule>
  </conditionalFormatting>
  <conditionalFormatting sqref="B54">
    <cfRule type="containsText" dxfId="4498" priority="1109" operator="containsText" text="NP">
      <formula>NOT(ISERROR(SEARCH("NP",B54)))</formula>
    </cfRule>
  </conditionalFormatting>
  <conditionalFormatting sqref="B54">
    <cfRule type="cellIs" dxfId="4497" priority="1113" operator="greaterThanOrEqual">
      <formula>4.95</formula>
    </cfRule>
  </conditionalFormatting>
  <conditionalFormatting sqref="B54">
    <cfRule type="expression" dxfId="4496" priority="1106">
      <formula>ISBLANK(B54)</formula>
    </cfRule>
  </conditionalFormatting>
  <conditionalFormatting sqref="B54">
    <cfRule type="containsText" dxfId="4495" priority="1105" operator="containsText" text="Reconocimiento Créditos">
      <formula>NOT(ISERROR(SEARCH("Reconocimiento Créditos",B54)))</formula>
    </cfRule>
  </conditionalFormatting>
  <conditionalFormatting sqref="B54">
    <cfRule type="expression" dxfId="4494" priority="1103">
      <formula>AND(ISNUMBER(B54), OR(B54&gt;10, B54&lt;0))</formula>
    </cfRule>
  </conditionalFormatting>
  <conditionalFormatting sqref="B54">
    <cfRule type="expression" dxfId="4493" priority="1102">
      <formula>AND(NOT(ISNUMBER(B54)), B54&lt;&gt;"NP", B54&lt;&gt;"Reconocimiento Créditos", B54&lt;&gt;"Aprobado en otro curso")</formula>
    </cfRule>
  </conditionalFormatting>
  <conditionalFormatting sqref="B54">
    <cfRule type="containsText" dxfId="4492" priority="1101" operator="containsText" text="Reconocimiento Créditos">
      <formula>NOT(ISERROR(SEARCH("Reconocimiento Créditos",B54)))</formula>
    </cfRule>
  </conditionalFormatting>
  <conditionalFormatting sqref="B54">
    <cfRule type="containsText" dxfId="4491" priority="1104" operator="containsText" text="Aprobado en otro curso">
      <formula>NOT(ISERROR(SEARCH("Aprobado en otro curso",B54)))</formula>
    </cfRule>
  </conditionalFormatting>
  <conditionalFormatting sqref="A55">
    <cfRule type="expression" dxfId="4490" priority="1099">
      <formula>AND(OR(ROW()=CELL("row"),COLUMN()=CELL("col")),NOT(ISBLANK($C55)),NOT(ISBLANK($B55)),ROW()&gt;2,COLUMN()&gt;1)</formula>
    </cfRule>
  </conditionalFormatting>
  <conditionalFormatting sqref="A55">
    <cfRule type="expression" dxfId="4489" priority="1098">
      <formula>SUM(--ISBLANK($B55:$J55))=COLUMNS($B55:$J55)</formula>
    </cfRule>
  </conditionalFormatting>
  <conditionalFormatting sqref="A55">
    <cfRule type="containsText" dxfId="4488" priority="1100" operator="containsText" text="NP">
      <formula>NOT(ISERROR(SEARCH("NP",A55)))</formula>
    </cfRule>
  </conditionalFormatting>
  <conditionalFormatting sqref="A55">
    <cfRule type="expression" dxfId="4487" priority="1097">
      <formula>ISBLANK(A55)</formula>
    </cfRule>
  </conditionalFormatting>
  <conditionalFormatting sqref="B55">
    <cfRule type="expression" dxfId="4486" priority="1093">
      <formula>B55=""</formula>
    </cfRule>
    <cfRule type="containsText" dxfId="4485" priority="1094" operator="containsText" text="NP">
      <formula>NOT(ISERROR(SEARCH("NP",B55)))</formula>
    </cfRule>
    <cfRule type="cellIs" dxfId="4484" priority="1095" operator="lessThan">
      <formula>4.95</formula>
    </cfRule>
  </conditionalFormatting>
  <conditionalFormatting sqref="B55">
    <cfRule type="expression" dxfId="4483" priority="1091">
      <formula>AND(OR(ROW()=CELL("row"),COLUMN()=CELL("col")),NOT(ISBLANK($C55)),NOT(ISBLANK($B55)),ROW()&gt;2,COLUMN()&gt;1)</formula>
    </cfRule>
  </conditionalFormatting>
  <conditionalFormatting sqref="B55">
    <cfRule type="expression" dxfId="4482" priority="1090">
      <formula>SUM(--ISBLANK($B55:$J55))=COLUMNS($B55:$J55)</formula>
    </cfRule>
  </conditionalFormatting>
  <conditionalFormatting sqref="B55">
    <cfRule type="containsText" dxfId="4481" priority="1092" operator="containsText" text="NP">
      <formula>NOT(ISERROR(SEARCH("NP",B55)))</formula>
    </cfRule>
  </conditionalFormatting>
  <conditionalFormatting sqref="B55">
    <cfRule type="cellIs" dxfId="4480" priority="1096" operator="greaterThanOrEqual">
      <formula>4.95</formula>
    </cfRule>
  </conditionalFormatting>
  <conditionalFormatting sqref="B55">
    <cfRule type="expression" dxfId="4479" priority="1089">
      <formula>ISBLANK(B55)</formula>
    </cfRule>
  </conditionalFormatting>
  <conditionalFormatting sqref="B55">
    <cfRule type="containsText" dxfId="4478" priority="1088" operator="containsText" text="Reconocimiento Créditos">
      <formula>NOT(ISERROR(SEARCH("Reconocimiento Créditos",B55)))</formula>
    </cfRule>
  </conditionalFormatting>
  <conditionalFormatting sqref="B55">
    <cfRule type="expression" dxfId="4477" priority="1086">
      <formula>AND(ISNUMBER(B55), OR(B55&gt;10, B55&lt;0))</formula>
    </cfRule>
  </conditionalFormatting>
  <conditionalFormatting sqref="B55">
    <cfRule type="expression" dxfId="4476" priority="1085">
      <formula>AND(NOT(ISNUMBER(B55)), B55&lt;&gt;"NP", B55&lt;&gt;"Reconocimiento Créditos", B55&lt;&gt;"Aprobado en otro curso")</formula>
    </cfRule>
  </conditionalFormatting>
  <conditionalFormatting sqref="B55">
    <cfRule type="containsText" dxfId="4475" priority="1084" operator="containsText" text="Reconocimiento Créditos">
      <formula>NOT(ISERROR(SEARCH("Reconocimiento Créditos",B55)))</formula>
    </cfRule>
  </conditionalFormatting>
  <conditionalFormatting sqref="B55">
    <cfRule type="containsText" dxfId="4474" priority="1087" operator="containsText" text="Aprobado en otro curso">
      <formula>NOT(ISERROR(SEARCH("Aprobado en otro curso",B55)))</formula>
    </cfRule>
  </conditionalFormatting>
  <conditionalFormatting sqref="A56">
    <cfRule type="expression" dxfId="4473" priority="1082">
      <formula>AND(OR(ROW()=CELL("row"),COLUMN()=CELL("col")),NOT(ISBLANK($C56)),NOT(ISBLANK($B56)),ROW()&gt;2,COLUMN()&gt;1)</formula>
    </cfRule>
  </conditionalFormatting>
  <conditionalFormatting sqref="A56">
    <cfRule type="expression" dxfId="4472" priority="1081">
      <formula>SUM(--ISBLANK($B56:$J56))=COLUMNS($B56:$J56)</formula>
    </cfRule>
  </conditionalFormatting>
  <conditionalFormatting sqref="A56">
    <cfRule type="containsText" dxfId="4471" priority="1083" operator="containsText" text="NP">
      <formula>NOT(ISERROR(SEARCH("NP",A56)))</formula>
    </cfRule>
  </conditionalFormatting>
  <conditionalFormatting sqref="A56">
    <cfRule type="expression" dxfId="4470" priority="1080">
      <formula>ISBLANK(A56)</formula>
    </cfRule>
  </conditionalFormatting>
  <conditionalFormatting sqref="B56">
    <cfRule type="expression" dxfId="4469" priority="1076">
      <formula>B56=""</formula>
    </cfRule>
    <cfRule type="containsText" dxfId="4468" priority="1077" operator="containsText" text="NP">
      <formula>NOT(ISERROR(SEARCH("NP",B56)))</formula>
    </cfRule>
    <cfRule type="cellIs" dxfId="4467" priority="1078" operator="lessThan">
      <formula>4.95</formula>
    </cfRule>
  </conditionalFormatting>
  <conditionalFormatting sqref="B56">
    <cfRule type="expression" dxfId="4466" priority="1074">
      <formula>AND(OR(ROW()=CELL("row"),COLUMN()=CELL("col")),NOT(ISBLANK($C56)),NOT(ISBLANK($B56)),ROW()&gt;2,COLUMN()&gt;1)</formula>
    </cfRule>
  </conditionalFormatting>
  <conditionalFormatting sqref="B56">
    <cfRule type="expression" dxfId="4465" priority="1073">
      <formula>SUM(--ISBLANK($B56:$J56))=COLUMNS($B56:$J56)</formula>
    </cfRule>
  </conditionalFormatting>
  <conditionalFormatting sqref="B56">
    <cfRule type="containsText" dxfId="4464" priority="1075" operator="containsText" text="NP">
      <formula>NOT(ISERROR(SEARCH("NP",B56)))</formula>
    </cfRule>
  </conditionalFormatting>
  <conditionalFormatting sqref="B56">
    <cfRule type="cellIs" dxfId="4463" priority="1079" operator="greaterThanOrEqual">
      <formula>4.95</formula>
    </cfRule>
  </conditionalFormatting>
  <conditionalFormatting sqref="B56">
    <cfRule type="expression" dxfId="4462" priority="1072">
      <formula>ISBLANK(B56)</formula>
    </cfRule>
  </conditionalFormatting>
  <conditionalFormatting sqref="B56">
    <cfRule type="containsText" dxfId="4461" priority="1071" operator="containsText" text="Reconocimiento Créditos">
      <formula>NOT(ISERROR(SEARCH("Reconocimiento Créditos",B56)))</formula>
    </cfRule>
  </conditionalFormatting>
  <conditionalFormatting sqref="B56">
    <cfRule type="expression" dxfId="4460" priority="1069">
      <formula>AND(ISNUMBER(B56), OR(B56&gt;10, B56&lt;0))</formula>
    </cfRule>
  </conditionalFormatting>
  <conditionalFormatting sqref="B56">
    <cfRule type="expression" dxfId="4459" priority="1068">
      <formula>AND(NOT(ISNUMBER(B56)), B56&lt;&gt;"NP", B56&lt;&gt;"Reconocimiento Créditos", B56&lt;&gt;"Aprobado en otro curso")</formula>
    </cfRule>
  </conditionalFormatting>
  <conditionalFormatting sqref="B56">
    <cfRule type="containsText" dxfId="4458" priority="1067" operator="containsText" text="Reconocimiento Créditos">
      <formula>NOT(ISERROR(SEARCH("Reconocimiento Créditos",B56)))</formula>
    </cfRule>
  </conditionalFormatting>
  <conditionalFormatting sqref="B56">
    <cfRule type="containsText" dxfId="4457" priority="1070" operator="containsText" text="Aprobado en otro curso">
      <formula>NOT(ISERROR(SEARCH("Aprobado en otro curso",B56)))</formula>
    </cfRule>
  </conditionalFormatting>
  <conditionalFormatting sqref="A57">
    <cfRule type="expression" dxfId="4456" priority="1065">
      <formula>AND(OR(ROW()=CELL("row"),COLUMN()=CELL("col")),NOT(ISBLANK($C57)),NOT(ISBLANK($B57)),ROW()&gt;2,COLUMN()&gt;1)</formula>
    </cfRule>
  </conditionalFormatting>
  <conditionalFormatting sqref="A57">
    <cfRule type="expression" dxfId="4455" priority="1064">
      <formula>SUM(--ISBLANK($B57:$J57))=COLUMNS($B57:$J57)</formula>
    </cfRule>
  </conditionalFormatting>
  <conditionalFormatting sqref="A57">
    <cfRule type="containsText" dxfId="4454" priority="1066" operator="containsText" text="NP">
      <formula>NOT(ISERROR(SEARCH("NP",A57)))</formula>
    </cfRule>
  </conditionalFormatting>
  <conditionalFormatting sqref="A57">
    <cfRule type="expression" dxfId="4453" priority="1063">
      <formula>ISBLANK(A57)</formula>
    </cfRule>
  </conditionalFormatting>
  <conditionalFormatting sqref="B57">
    <cfRule type="expression" dxfId="4452" priority="1059">
      <formula>B57=""</formula>
    </cfRule>
    <cfRule type="containsText" dxfId="4451" priority="1060" operator="containsText" text="NP">
      <formula>NOT(ISERROR(SEARCH("NP",B57)))</formula>
    </cfRule>
    <cfRule type="cellIs" dxfId="4450" priority="1061" operator="lessThan">
      <formula>4.95</formula>
    </cfRule>
  </conditionalFormatting>
  <conditionalFormatting sqref="B57">
    <cfRule type="expression" dxfId="4449" priority="1057">
      <formula>AND(OR(ROW()=CELL("row"),COLUMN()=CELL("col")),NOT(ISBLANK($C57)),NOT(ISBLANK($B57)),ROW()&gt;2,COLUMN()&gt;1)</formula>
    </cfRule>
  </conditionalFormatting>
  <conditionalFormatting sqref="B57">
    <cfRule type="expression" dxfId="4448" priority="1056">
      <formula>SUM(--ISBLANK($B57:$J57))=COLUMNS($B57:$J57)</formula>
    </cfRule>
  </conditionalFormatting>
  <conditionalFormatting sqref="B57">
    <cfRule type="containsText" dxfId="4447" priority="1058" operator="containsText" text="NP">
      <formula>NOT(ISERROR(SEARCH("NP",B57)))</formula>
    </cfRule>
  </conditionalFormatting>
  <conditionalFormatting sqref="B57">
    <cfRule type="cellIs" dxfId="4446" priority="1062" operator="greaterThanOrEqual">
      <formula>4.95</formula>
    </cfRule>
  </conditionalFormatting>
  <conditionalFormatting sqref="B57">
    <cfRule type="expression" dxfId="4445" priority="1055">
      <formula>ISBLANK(B57)</formula>
    </cfRule>
  </conditionalFormatting>
  <conditionalFormatting sqref="B57">
    <cfRule type="containsText" dxfId="4444" priority="1054" operator="containsText" text="Reconocimiento Créditos">
      <formula>NOT(ISERROR(SEARCH("Reconocimiento Créditos",B57)))</formula>
    </cfRule>
  </conditionalFormatting>
  <conditionalFormatting sqref="B57">
    <cfRule type="expression" dxfId="4443" priority="1052">
      <formula>AND(ISNUMBER(B57), OR(B57&gt;10, B57&lt;0))</formula>
    </cfRule>
  </conditionalFormatting>
  <conditionalFormatting sqref="B57">
    <cfRule type="expression" dxfId="4442" priority="1051">
      <formula>AND(NOT(ISNUMBER(B57)), B57&lt;&gt;"NP", B57&lt;&gt;"Reconocimiento Créditos", B57&lt;&gt;"Aprobado en otro curso")</formula>
    </cfRule>
  </conditionalFormatting>
  <conditionalFormatting sqref="B57">
    <cfRule type="containsText" dxfId="4441" priority="1050" operator="containsText" text="Reconocimiento Créditos">
      <formula>NOT(ISERROR(SEARCH("Reconocimiento Créditos",B57)))</formula>
    </cfRule>
  </conditionalFormatting>
  <conditionalFormatting sqref="B57">
    <cfRule type="containsText" dxfId="4440" priority="1053" operator="containsText" text="Aprobado en otro curso">
      <formula>NOT(ISERROR(SEARCH("Aprobado en otro curso",B57)))</formula>
    </cfRule>
  </conditionalFormatting>
  <conditionalFormatting sqref="A58">
    <cfRule type="expression" dxfId="4439" priority="1048">
      <formula>AND(OR(ROW()=CELL("row"),COLUMN()=CELL("col")),NOT(ISBLANK($C58)),NOT(ISBLANK($B58)),ROW()&gt;2,COLUMN()&gt;1)</formula>
    </cfRule>
  </conditionalFormatting>
  <conditionalFormatting sqref="A58">
    <cfRule type="expression" dxfId="4438" priority="1047">
      <formula>SUM(--ISBLANK($B58:$J58))=COLUMNS($B58:$J58)</formula>
    </cfRule>
  </conditionalFormatting>
  <conditionalFormatting sqref="A58">
    <cfRule type="containsText" dxfId="4437" priority="1049" operator="containsText" text="NP">
      <formula>NOT(ISERROR(SEARCH("NP",A58)))</formula>
    </cfRule>
  </conditionalFormatting>
  <conditionalFormatting sqref="A58">
    <cfRule type="expression" dxfId="4436" priority="1046">
      <formula>ISBLANK(A58)</formula>
    </cfRule>
  </conditionalFormatting>
  <conditionalFormatting sqref="B58">
    <cfRule type="expression" dxfId="4435" priority="1042">
      <formula>B58=""</formula>
    </cfRule>
    <cfRule type="containsText" dxfId="4434" priority="1043" operator="containsText" text="NP">
      <formula>NOT(ISERROR(SEARCH("NP",B58)))</formula>
    </cfRule>
    <cfRule type="cellIs" dxfId="4433" priority="1044" operator="lessThan">
      <formula>4.95</formula>
    </cfRule>
  </conditionalFormatting>
  <conditionalFormatting sqref="B58">
    <cfRule type="expression" dxfId="4432" priority="1040">
      <formula>AND(OR(ROW()=CELL("row"),COLUMN()=CELL("col")),NOT(ISBLANK($C58)),NOT(ISBLANK($B58)),ROW()&gt;2,COLUMN()&gt;1)</formula>
    </cfRule>
  </conditionalFormatting>
  <conditionalFormatting sqref="B58">
    <cfRule type="expression" dxfId="4431" priority="1039">
      <formula>SUM(--ISBLANK($B58:$J58))=COLUMNS($B58:$J58)</formula>
    </cfRule>
  </conditionalFormatting>
  <conditionalFormatting sqref="B58">
    <cfRule type="containsText" dxfId="4430" priority="1041" operator="containsText" text="NP">
      <formula>NOT(ISERROR(SEARCH("NP",B58)))</formula>
    </cfRule>
  </conditionalFormatting>
  <conditionalFormatting sqref="B58">
    <cfRule type="cellIs" dxfId="4429" priority="1045" operator="greaterThanOrEqual">
      <formula>4.95</formula>
    </cfRule>
  </conditionalFormatting>
  <conditionalFormatting sqref="B58">
    <cfRule type="expression" dxfId="4428" priority="1038">
      <formula>ISBLANK(B58)</formula>
    </cfRule>
  </conditionalFormatting>
  <conditionalFormatting sqref="B58">
    <cfRule type="containsText" dxfId="4427" priority="1037" operator="containsText" text="Reconocimiento Créditos">
      <formula>NOT(ISERROR(SEARCH("Reconocimiento Créditos",B58)))</formula>
    </cfRule>
  </conditionalFormatting>
  <conditionalFormatting sqref="B58">
    <cfRule type="expression" dxfId="4426" priority="1035">
      <formula>AND(ISNUMBER(B58), OR(B58&gt;10, B58&lt;0))</formula>
    </cfRule>
  </conditionalFormatting>
  <conditionalFormatting sqref="B58">
    <cfRule type="containsText" dxfId="4425" priority="1034" operator="containsText" text="Reconocimiento Créditos">
      <formula>NOT(ISERROR(SEARCH("Reconocimiento Créditos",B58)))</formula>
    </cfRule>
  </conditionalFormatting>
  <conditionalFormatting sqref="B58">
    <cfRule type="containsText" dxfId="4424" priority="1036" operator="containsText" text="Aprobado en otro curso">
      <formula>NOT(ISERROR(SEARCH("Aprobado en otro curso",B58)))</formula>
    </cfRule>
  </conditionalFormatting>
  <conditionalFormatting sqref="A59">
    <cfRule type="expression" dxfId="4423" priority="1032">
      <formula>AND(OR(ROW()=CELL("row"),COLUMN()=CELL("col")),NOT(ISBLANK($C59)),NOT(ISBLANK($B59)),ROW()&gt;2,COLUMN()&gt;1)</formula>
    </cfRule>
  </conditionalFormatting>
  <conditionalFormatting sqref="A59">
    <cfRule type="expression" dxfId="4422" priority="1031">
      <formula>SUM(--ISBLANK($B59:$J59))=COLUMNS($B59:$J59)</formula>
    </cfRule>
  </conditionalFormatting>
  <conditionalFormatting sqref="A59">
    <cfRule type="containsText" dxfId="4421" priority="1033" operator="containsText" text="NP">
      <formula>NOT(ISERROR(SEARCH("NP",A59)))</formula>
    </cfRule>
  </conditionalFormatting>
  <conditionalFormatting sqref="A59">
    <cfRule type="expression" dxfId="4420" priority="1030">
      <formula>ISBLANK(A59)</formula>
    </cfRule>
  </conditionalFormatting>
  <conditionalFormatting sqref="B59">
    <cfRule type="expression" dxfId="4419" priority="1026">
      <formula>B59=""</formula>
    </cfRule>
    <cfRule type="containsText" dxfId="4418" priority="1027" operator="containsText" text="NP">
      <formula>NOT(ISERROR(SEARCH("NP",B59)))</formula>
    </cfRule>
    <cfRule type="cellIs" dxfId="4417" priority="1028" operator="lessThan">
      <formula>4.95</formula>
    </cfRule>
  </conditionalFormatting>
  <conditionalFormatting sqref="B59">
    <cfRule type="expression" dxfId="4416" priority="1024">
      <formula>AND(OR(ROW()=CELL("row"),COLUMN()=CELL("col")),NOT(ISBLANK($C59)),NOT(ISBLANK($B59)),ROW()&gt;2,COLUMN()&gt;1)</formula>
    </cfRule>
  </conditionalFormatting>
  <conditionalFormatting sqref="B59">
    <cfRule type="expression" dxfId="4415" priority="1023">
      <formula>SUM(--ISBLANK($B59:$J59))=COLUMNS($B59:$J59)</formula>
    </cfRule>
  </conditionalFormatting>
  <conditionalFormatting sqref="B59">
    <cfRule type="containsText" dxfId="4414" priority="1025" operator="containsText" text="NP">
      <formula>NOT(ISERROR(SEARCH("NP",B59)))</formula>
    </cfRule>
  </conditionalFormatting>
  <conditionalFormatting sqref="B59">
    <cfRule type="cellIs" dxfId="4413" priority="1029" operator="greaterThanOrEqual">
      <formula>4.95</formula>
    </cfRule>
  </conditionalFormatting>
  <conditionalFormatting sqref="B59">
    <cfRule type="expression" dxfId="4412" priority="1022">
      <formula>ISBLANK(B59)</formula>
    </cfRule>
  </conditionalFormatting>
  <conditionalFormatting sqref="B59">
    <cfRule type="containsText" dxfId="4411" priority="1021" operator="containsText" text="Reconocimiento Créditos">
      <formula>NOT(ISERROR(SEARCH("Reconocimiento Créditos",B59)))</formula>
    </cfRule>
  </conditionalFormatting>
  <conditionalFormatting sqref="B59">
    <cfRule type="expression" dxfId="4410" priority="1019">
      <formula>AND(ISNUMBER(B59), OR(B59&gt;10, B59&lt;0))</formula>
    </cfRule>
  </conditionalFormatting>
  <conditionalFormatting sqref="B59">
    <cfRule type="expression" dxfId="4409" priority="1018">
      <formula>AND(NOT(ISNUMBER(B59)), B59&lt;&gt;"NP", B59&lt;&gt;"Reconocimiento Créditos", B59&lt;&gt;"Aprobado en otro curso")</formula>
    </cfRule>
  </conditionalFormatting>
  <conditionalFormatting sqref="B59">
    <cfRule type="containsText" dxfId="4408" priority="1017" operator="containsText" text="Reconocimiento Créditos">
      <formula>NOT(ISERROR(SEARCH("Reconocimiento Créditos",B59)))</formula>
    </cfRule>
  </conditionalFormatting>
  <conditionalFormatting sqref="B59">
    <cfRule type="containsText" dxfId="4407" priority="1020" operator="containsText" text="Aprobado en otro curso">
      <formula>NOT(ISERROR(SEARCH("Aprobado en otro curso",B59)))</formula>
    </cfRule>
  </conditionalFormatting>
  <conditionalFormatting sqref="A60">
    <cfRule type="expression" dxfId="4406" priority="1015">
      <formula>AND(OR(ROW()=CELL("row"),COLUMN()=CELL("col")),NOT(ISBLANK($C60)),NOT(ISBLANK($B60)),ROW()&gt;2,COLUMN()&gt;1)</formula>
    </cfRule>
  </conditionalFormatting>
  <conditionalFormatting sqref="A60">
    <cfRule type="expression" dxfId="4405" priority="1014">
      <formula>SUM(--ISBLANK($B60:$J60))=COLUMNS($B60:$J60)</formula>
    </cfRule>
  </conditionalFormatting>
  <conditionalFormatting sqref="A60">
    <cfRule type="containsText" dxfId="4404" priority="1016" operator="containsText" text="NP">
      <formula>NOT(ISERROR(SEARCH("NP",A60)))</formula>
    </cfRule>
  </conditionalFormatting>
  <conditionalFormatting sqref="A60">
    <cfRule type="expression" dxfId="4403" priority="1013">
      <formula>ISBLANK(A60)</formula>
    </cfRule>
  </conditionalFormatting>
  <conditionalFormatting sqref="B60">
    <cfRule type="expression" dxfId="4402" priority="1009">
      <formula>B60=""</formula>
    </cfRule>
    <cfRule type="containsText" dxfId="4401" priority="1010" operator="containsText" text="NP">
      <formula>NOT(ISERROR(SEARCH("NP",B60)))</formula>
    </cfRule>
    <cfRule type="cellIs" dxfId="4400" priority="1011" operator="lessThan">
      <formula>4.95</formula>
    </cfRule>
  </conditionalFormatting>
  <conditionalFormatting sqref="B60">
    <cfRule type="expression" dxfId="4399" priority="1007">
      <formula>AND(OR(ROW()=CELL("row"),COLUMN()=CELL("col")),NOT(ISBLANK($C60)),NOT(ISBLANK($B60)),ROW()&gt;2,COLUMN()&gt;1)</formula>
    </cfRule>
  </conditionalFormatting>
  <conditionalFormatting sqref="B60">
    <cfRule type="expression" dxfId="4398" priority="1006">
      <formula>SUM(--ISBLANK($B60:$J60))=COLUMNS($B60:$J60)</formula>
    </cfRule>
  </conditionalFormatting>
  <conditionalFormatting sqref="B60">
    <cfRule type="containsText" dxfId="4397" priority="1008" operator="containsText" text="NP">
      <formula>NOT(ISERROR(SEARCH("NP",B60)))</formula>
    </cfRule>
  </conditionalFormatting>
  <conditionalFormatting sqref="B60">
    <cfRule type="cellIs" dxfId="4396" priority="1012" operator="greaterThanOrEqual">
      <formula>4.95</formula>
    </cfRule>
  </conditionalFormatting>
  <conditionalFormatting sqref="B60">
    <cfRule type="expression" dxfId="4395" priority="1005">
      <formula>ISBLANK(B60)</formula>
    </cfRule>
  </conditionalFormatting>
  <conditionalFormatting sqref="B60">
    <cfRule type="containsText" dxfId="4394" priority="1004" operator="containsText" text="Reconocimiento Créditos">
      <formula>NOT(ISERROR(SEARCH("Reconocimiento Créditos",B60)))</formula>
    </cfRule>
  </conditionalFormatting>
  <conditionalFormatting sqref="B60">
    <cfRule type="expression" dxfId="4393" priority="1002">
      <formula>AND(ISNUMBER(B60), OR(B60&gt;10, B60&lt;0))</formula>
    </cfRule>
  </conditionalFormatting>
  <conditionalFormatting sqref="B60">
    <cfRule type="expression" dxfId="4392" priority="1001">
      <formula>AND(NOT(ISNUMBER(B60)), B60&lt;&gt;"NP", B60&lt;&gt;"Reconocimiento Créditos", B60&lt;&gt;"Aprobado en otro curso")</formula>
    </cfRule>
  </conditionalFormatting>
  <conditionalFormatting sqref="B60">
    <cfRule type="containsText" dxfId="4391" priority="1000" operator="containsText" text="Reconocimiento Créditos">
      <formula>NOT(ISERROR(SEARCH("Reconocimiento Créditos",B60)))</formula>
    </cfRule>
  </conditionalFormatting>
  <conditionalFormatting sqref="B60">
    <cfRule type="containsText" dxfId="4390" priority="1003" operator="containsText" text="Aprobado en otro curso">
      <formula>NOT(ISERROR(SEARCH("Aprobado en otro curso",B60)))</formula>
    </cfRule>
  </conditionalFormatting>
  <conditionalFormatting sqref="A61">
    <cfRule type="expression" dxfId="4389" priority="998">
      <formula>AND(OR(ROW()=CELL("row"),COLUMN()=CELL("col")),NOT(ISBLANK($C61)),NOT(ISBLANK($B61)),ROW()&gt;2,COLUMN()&gt;1)</formula>
    </cfRule>
  </conditionalFormatting>
  <conditionalFormatting sqref="A61">
    <cfRule type="expression" dxfId="4388" priority="997">
      <formula>SUM(--ISBLANK($B61:$J61))=COLUMNS($B61:$J61)</formula>
    </cfRule>
  </conditionalFormatting>
  <conditionalFormatting sqref="A61">
    <cfRule type="containsText" dxfId="4387" priority="999" operator="containsText" text="NP">
      <formula>NOT(ISERROR(SEARCH("NP",A61)))</formula>
    </cfRule>
  </conditionalFormatting>
  <conditionalFormatting sqref="A61">
    <cfRule type="expression" dxfId="4386" priority="996">
      <formula>ISBLANK(A61)</formula>
    </cfRule>
  </conditionalFormatting>
  <conditionalFormatting sqref="B61">
    <cfRule type="expression" dxfId="4385" priority="992">
      <formula>B61=""</formula>
    </cfRule>
    <cfRule type="containsText" dxfId="4384" priority="993" operator="containsText" text="NP">
      <formula>NOT(ISERROR(SEARCH("NP",B61)))</formula>
    </cfRule>
    <cfRule type="cellIs" dxfId="4383" priority="994" operator="lessThan">
      <formula>4.95</formula>
    </cfRule>
  </conditionalFormatting>
  <conditionalFormatting sqref="B61">
    <cfRule type="expression" dxfId="4382" priority="990">
      <formula>AND(OR(ROW()=CELL("row"),COLUMN()=CELL("col")),NOT(ISBLANK($C61)),NOT(ISBLANK($B61)),ROW()&gt;2,COLUMN()&gt;1)</formula>
    </cfRule>
  </conditionalFormatting>
  <conditionalFormatting sqref="B61">
    <cfRule type="expression" dxfId="4381" priority="989">
      <formula>SUM(--ISBLANK($B61:$J61))=COLUMNS($B61:$J61)</formula>
    </cfRule>
  </conditionalFormatting>
  <conditionalFormatting sqref="B61">
    <cfRule type="containsText" dxfId="4380" priority="991" operator="containsText" text="NP">
      <formula>NOT(ISERROR(SEARCH("NP",B61)))</formula>
    </cfRule>
  </conditionalFormatting>
  <conditionalFormatting sqref="B61">
    <cfRule type="cellIs" dxfId="4379" priority="995" operator="greaterThanOrEqual">
      <formula>4.95</formula>
    </cfRule>
  </conditionalFormatting>
  <conditionalFormatting sqref="B61">
    <cfRule type="expression" dxfId="4378" priority="988">
      <formula>ISBLANK(B61)</formula>
    </cfRule>
  </conditionalFormatting>
  <conditionalFormatting sqref="B61">
    <cfRule type="containsText" dxfId="4377" priority="987" operator="containsText" text="Reconocimiento Créditos">
      <formula>NOT(ISERROR(SEARCH("Reconocimiento Créditos",B61)))</formula>
    </cfRule>
  </conditionalFormatting>
  <conditionalFormatting sqref="B61">
    <cfRule type="expression" dxfId="4376" priority="985">
      <formula>AND(ISNUMBER(B61), OR(B61&gt;10, B61&lt;0))</formula>
    </cfRule>
  </conditionalFormatting>
  <conditionalFormatting sqref="B61">
    <cfRule type="expression" dxfId="4375" priority="984">
      <formula>AND(NOT(ISNUMBER(B61)), B61&lt;&gt;"NP", B61&lt;&gt;"Reconocimiento Créditos", B61&lt;&gt;"Aprobado en otro curso")</formula>
    </cfRule>
  </conditionalFormatting>
  <conditionalFormatting sqref="B61">
    <cfRule type="containsText" dxfId="4374" priority="983" operator="containsText" text="Reconocimiento Créditos">
      <formula>NOT(ISERROR(SEARCH("Reconocimiento Créditos",B61)))</formula>
    </cfRule>
  </conditionalFormatting>
  <conditionalFormatting sqref="B61">
    <cfRule type="containsText" dxfId="4373" priority="986" operator="containsText" text="Aprobado en otro curso">
      <formula>NOT(ISERROR(SEARCH("Aprobado en otro curso",B61)))</formula>
    </cfRule>
  </conditionalFormatting>
  <conditionalFormatting sqref="A62">
    <cfRule type="expression" dxfId="4372" priority="981">
      <formula>AND(OR(ROW()=CELL("row"),COLUMN()=CELL("col")),NOT(ISBLANK($C62)),NOT(ISBLANK($B62)),ROW()&gt;2,COLUMN()&gt;1)</formula>
    </cfRule>
  </conditionalFormatting>
  <conditionalFormatting sqref="A62">
    <cfRule type="expression" dxfId="4371" priority="980">
      <formula>SUM(--ISBLANK($B62:$J62))=COLUMNS($B62:$J62)</formula>
    </cfRule>
  </conditionalFormatting>
  <conditionalFormatting sqref="A62">
    <cfRule type="containsText" dxfId="4370" priority="982" operator="containsText" text="NP">
      <formula>NOT(ISERROR(SEARCH("NP",A62)))</formula>
    </cfRule>
  </conditionalFormatting>
  <conditionalFormatting sqref="A62">
    <cfRule type="expression" dxfId="4369" priority="979">
      <formula>ISBLANK(A62)</formula>
    </cfRule>
  </conditionalFormatting>
  <conditionalFormatting sqref="B62">
    <cfRule type="expression" dxfId="4368" priority="975">
      <formula>B62=""</formula>
    </cfRule>
    <cfRule type="containsText" dxfId="4367" priority="976" operator="containsText" text="NP">
      <formula>NOT(ISERROR(SEARCH("NP",B62)))</formula>
    </cfRule>
    <cfRule type="cellIs" dxfId="4366" priority="977" operator="lessThan">
      <formula>4.95</formula>
    </cfRule>
  </conditionalFormatting>
  <conditionalFormatting sqref="B62">
    <cfRule type="expression" dxfId="4365" priority="973">
      <formula>AND(OR(ROW()=CELL("row"),COLUMN()=CELL("col")),NOT(ISBLANK($C62)),NOT(ISBLANK($B62)),ROW()&gt;2,COLUMN()&gt;1)</formula>
    </cfRule>
  </conditionalFormatting>
  <conditionalFormatting sqref="B62">
    <cfRule type="expression" dxfId="4364" priority="972">
      <formula>SUM(--ISBLANK($B62:$J62))=COLUMNS($B62:$J62)</formula>
    </cfRule>
  </conditionalFormatting>
  <conditionalFormatting sqref="B62">
    <cfRule type="containsText" dxfId="4363" priority="974" operator="containsText" text="NP">
      <formula>NOT(ISERROR(SEARCH("NP",B62)))</formula>
    </cfRule>
  </conditionalFormatting>
  <conditionalFormatting sqref="B62">
    <cfRule type="cellIs" dxfId="4362" priority="978" operator="greaterThanOrEqual">
      <formula>4.95</formula>
    </cfRule>
  </conditionalFormatting>
  <conditionalFormatting sqref="B62">
    <cfRule type="expression" dxfId="4361" priority="971">
      <formula>ISBLANK(B62)</formula>
    </cfRule>
  </conditionalFormatting>
  <conditionalFormatting sqref="B62">
    <cfRule type="containsText" dxfId="4360" priority="970" operator="containsText" text="Reconocimiento Créditos">
      <formula>NOT(ISERROR(SEARCH("Reconocimiento Créditos",B62)))</formula>
    </cfRule>
  </conditionalFormatting>
  <conditionalFormatting sqref="B62">
    <cfRule type="expression" dxfId="4359" priority="968">
      <formula>AND(ISNUMBER(B62), OR(B62&gt;10, B62&lt;0))</formula>
    </cfRule>
  </conditionalFormatting>
  <conditionalFormatting sqref="B62">
    <cfRule type="expression" dxfId="4358" priority="967">
      <formula>AND(NOT(ISNUMBER(B62)), B62&lt;&gt;"NP", B62&lt;&gt;"Reconocimiento Créditos", B62&lt;&gt;"Aprobado en otro curso")</formula>
    </cfRule>
  </conditionalFormatting>
  <conditionalFormatting sqref="B62">
    <cfRule type="containsText" dxfId="4357" priority="966" operator="containsText" text="Reconocimiento Créditos">
      <formula>NOT(ISERROR(SEARCH("Reconocimiento Créditos",B62)))</formula>
    </cfRule>
  </conditionalFormatting>
  <conditionalFormatting sqref="B62">
    <cfRule type="containsText" dxfId="4356" priority="969" operator="containsText" text="Aprobado en otro curso">
      <formula>NOT(ISERROR(SEARCH("Aprobado en otro curso",B62)))</formula>
    </cfRule>
  </conditionalFormatting>
  <conditionalFormatting sqref="A63">
    <cfRule type="expression" dxfId="4355" priority="964">
      <formula>AND(OR(ROW()=CELL("row"),COLUMN()=CELL("col")),NOT(ISBLANK($C63)),NOT(ISBLANK($B63)),ROW()&gt;2,COLUMN()&gt;1)</formula>
    </cfRule>
  </conditionalFormatting>
  <conditionalFormatting sqref="A63">
    <cfRule type="expression" dxfId="4354" priority="963">
      <formula>SUM(--ISBLANK($B63:$J63))=COLUMNS($B63:$J63)</formula>
    </cfRule>
  </conditionalFormatting>
  <conditionalFormatting sqref="A63">
    <cfRule type="containsText" dxfId="4353" priority="965" operator="containsText" text="NP">
      <formula>NOT(ISERROR(SEARCH("NP",A63)))</formula>
    </cfRule>
  </conditionalFormatting>
  <conditionalFormatting sqref="A63">
    <cfRule type="expression" dxfId="4352" priority="962">
      <formula>ISBLANK(A63)</formula>
    </cfRule>
  </conditionalFormatting>
  <conditionalFormatting sqref="B63">
    <cfRule type="expression" dxfId="4351" priority="958">
      <formula>B63=""</formula>
    </cfRule>
    <cfRule type="containsText" dxfId="4350" priority="959" operator="containsText" text="NP">
      <formula>NOT(ISERROR(SEARCH("NP",B63)))</formula>
    </cfRule>
    <cfRule type="cellIs" dxfId="4349" priority="960" operator="lessThan">
      <formula>4.95</formula>
    </cfRule>
  </conditionalFormatting>
  <conditionalFormatting sqref="B63">
    <cfRule type="expression" dxfId="4348" priority="956">
      <formula>AND(OR(ROW()=CELL("row"),COLUMN()=CELL("col")),NOT(ISBLANK($C63)),NOT(ISBLANK($B63)),ROW()&gt;2,COLUMN()&gt;1)</formula>
    </cfRule>
  </conditionalFormatting>
  <conditionalFormatting sqref="B63">
    <cfRule type="expression" dxfId="4347" priority="955">
      <formula>SUM(--ISBLANK($B63:$J63))=COLUMNS($B63:$J63)</formula>
    </cfRule>
  </conditionalFormatting>
  <conditionalFormatting sqref="B63">
    <cfRule type="containsText" dxfId="4346" priority="957" operator="containsText" text="NP">
      <formula>NOT(ISERROR(SEARCH("NP",B63)))</formula>
    </cfRule>
  </conditionalFormatting>
  <conditionalFormatting sqref="B63">
    <cfRule type="cellIs" dxfId="4345" priority="961" operator="greaterThanOrEqual">
      <formula>4.95</formula>
    </cfRule>
  </conditionalFormatting>
  <conditionalFormatting sqref="B63">
    <cfRule type="expression" dxfId="4344" priority="954">
      <formula>ISBLANK(B63)</formula>
    </cfRule>
  </conditionalFormatting>
  <conditionalFormatting sqref="B63">
    <cfRule type="containsText" dxfId="4343" priority="953" operator="containsText" text="Reconocimiento Créditos">
      <formula>NOT(ISERROR(SEARCH("Reconocimiento Créditos",B63)))</formula>
    </cfRule>
  </conditionalFormatting>
  <conditionalFormatting sqref="B63">
    <cfRule type="expression" dxfId="4342" priority="951">
      <formula>AND(ISNUMBER(B63), OR(B63&gt;10, B63&lt;0))</formula>
    </cfRule>
  </conditionalFormatting>
  <conditionalFormatting sqref="B63">
    <cfRule type="expression" dxfId="4341" priority="950">
      <formula>AND(NOT(ISNUMBER(B63)), B63&lt;&gt;"NP", B63&lt;&gt;"Reconocimiento Créditos", B63&lt;&gt;"Aprobado en otro curso")</formula>
    </cfRule>
  </conditionalFormatting>
  <conditionalFormatting sqref="B63">
    <cfRule type="containsText" dxfId="4340" priority="949" operator="containsText" text="Reconocimiento Créditos">
      <formula>NOT(ISERROR(SEARCH("Reconocimiento Créditos",B63)))</formula>
    </cfRule>
  </conditionalFormatting>
  <conditionalFormatting sqref="B63">
    <cfRule type="containsText" dxfId="4339" priority="952" operator="containsText" text="Aprobado en otro curso">
      <formula>NOT(ISERROR(SEARCH("Aprobado en otro curso",B63)))</formula>
    </cfRule>
  </conditionalFormatting>
  <conditionalFormatting sqref="A64">
    <cfRule type="expression" dxfId="4338" priority="947">
      <formula>AND(OR(ROW()=CELL("row"),COLUMN()=CELL("col")),NOT(ISBLANK($C64)),NOT(ISBLANK($B64)),ROW()&gt;2,COLUMN()&gt;1)</formula>
    </cfRule>
  </conditionalFormatting>
  <conditionalFormatting sqref="A64">
    <cfRule type="expression" dxfId="4337" priority="946">
      <formula>SUM(--ISBLANK($B64:$J64))=COLUMNS($B64:$J64)</formula>
    </cfRule>
  </conditionalFormatting>
  <conditionalFormatting sqref="A64">
    <cfRule type="containsText" dxfId="4336" priority="948" operator="containsText" text="NP">
      <formula>NOT(ISERROR(SEARCH("NP",A64)))</formula>
    </cfRule>
  </conditionalFormatting>
  <conditionalFormatting sqref="A64">
    <cfRule type="expression" dxfId="4335" priority="945">
      <formula>ISBLANK(A64)</formula>
    </cfRule>
  </conditionalFormatting>
  <conditionalFormatting sqref="B64">
    <cfRule type="expression" dxfId="4334" priority="941">
      <formula>B64=""</formula>
    </cfRule>
    <cfRule type="containsText" dxfId="4333" priority="942" operator="containsText" text="NP">
      <formula>NOT(ISERROR(SEARCH("NP",B64)))</formula>
    </cfRule>
    <cfRule type="cellIs" dxfId="4332" priority="943" operator="lessThan">
      <formula>4.95</formula>
    </cfRule>
  </conditionalFormatting>
  <conditionalFormatting sqref="B64">
    <cfRule type="expression" dxfId="4331" priority="939">
      <formula>AND(OR(ROW()=CELL("row"),COLUMN()=CELL("col")),NOT(ISBLANK($C64)),NOT(ISBLANK($B64)),ROW()&gt;2,COLUMN()&gt;1)</formula>
    </cfRule>
  </conditionalFormatting>
  <conditionalFormatting sqref="B64">
    <cfRule type="expression" dxfId="4330" priority="938">
      <formula>SUM(--ISBLANK($B64:$J64))=COLUMNS($B64:$J64)</formula>
    </cfRule>
  </conditionalFormatting>
  <conditionalFormatting sqref="B64">
    <cfRule type="containsText" dxfId="4329" priority="940" operator="containsText" text="NP">
      <formula>NOT(ISERROR(SEARCH("NP",B64)))</formula>
    </cfRule>
  </conditionalFormatting>
  <conditionalFormatting sqref="B64">
    <cfRule type="cellIs" dxfId="4328" priority="944" operator="greaterThanOrEqual">
      <formula>4.95</formula>
    </cfRule>
  </conditionalFormatting>
  <conditionalFormatting sqref="B64">
    <cfRule type="expression" dxfId="4327" priority="937">
      <formula>ISBLANK(B64)</formula>
    </cfRule>
  </conditionalFormatting>
  <conditionalFormatting sqref="B64">
    <cfRule type="containsText" dxfId="4326" priority="936" operator="containsText" text="Reconocimiento Créditos">
      <formula>NOT(ISERROR(SEARCH("Reconocimiento Créditos",B64)))</formula>
    </cfRule>
  </conditionalFormatting>
  <conditionalFormatting sqref="B64">
    <cfRule type="expression" dxfId="4325" priority="934">
      <formula>AND(ISNUMBER(B64), OR(B64&gt;10, B64&lt;0))</formula>
    </cfRule>
  </conditionalFormatting>
  <conditionalFormatting sqref="B64">
    <cfRule type="expression" dxfId="4324" priority="933">
      <formula>AND(NOT(ISNUMBER(B64)), B64&lt;&gt;"NP", B64&lt;&gt;"Reconocimiento Créditos", B64&lt;&gt;"Aprobado en otro curso")</formula>
    </cfRule>
  </conditionalFormatting>
  <conditionalFormatting sqref="B64">
    <cfRule type="containsText" dxfId="4323" priority="932" operator="containsText" text="Reconocimiento Créditos">
      <formula>NOT(ISERROR(SEARCH("Reconocimiento Créditos",B64)))</formula>
    </cfRule>
  </conditionalFormatting>
  <conditionalFormatting sqref="B64">
    <cfRule type="containsText" dxfId="4322" priority="935" operator="containsText" text="Aprobado en otro curso">
      <formula>NOT(ISERROR(SEARCH("Aprobado en otro curso",B64)))</formula>
    </cfRule>
  </conditionalFormatting>
  <conditionalFormatting sqref="A65">
    <cfRule type="expression" dxfId="4321" priority="930">
      <formula>AND(OR(ROW()=CELL("row"),COLUMN()=CELL("col")),NOT(ISBLANK($C65)),NOT(ISBLANK($B65)),ROW()&gt;2,COLUMN()&gt;1)</formula>
    </cfRule>
  </conditionalFormatting>
  <conditionalFormatting sqref="A65">
    <cfRule type="expression" dxfId="4320" priority="929">
      <formula>SUM(--ISBLANK($B65:$J65))=COLUMNS($B65:$J65)</formula>
    </cfRule>
  </conditionalFormatting>
  <conditionalFormatting sqref="A65">
    <cfRule type="containsText" dxfId="4319" priority="931" operator="containsText" text="NP">
      <formula>NOT(ISERROR(SEARCH("NP",A65)))</formula>
    </cfRule>
  </conditionalFormatting>
  <conditionalFormatting sqref="A65">
    <cfRule type="expression" dxfId="4318" priority="928">
      <formula>ISBLANK(A65)</formula>
    </cfRule>
  </conditionalFormatting>
  <conditionalFormatting sqref="B65">
    <cfRule type="expression" dxfId="4317" priority="924">
      <formula>B65=""</formula>
    </cfRule>
    <cfRule type="containsText" dxfId="4316" priority="925" operator="containsText" text="NP">
      <formula>NOT(ISERROR(SEARCH("NP",B65)))</formula>
    </cfRule>
    <cfRule type="cellIs" dxfId="4315" priority="926" operator="lessThan">
      <formula>4.95</formula>
    </cfRule>
  </conditionalFormatting>
  <conditionalFormatting sqref="B65">
    <cfRule type="expression" dxfId="4314" priority="922">
      <formula>AND(OR(ROW()=CELL("row"),COLUMN()=CELL("col")),NOT(ISBLANK($C65)),NOT(ISBLANK($B65)),ROW()&gt;2,COLUMN()&gt;1)</formula>
    </cfRule>
  </conditionalFormatting>
  <conditionalFormatting sqref="B65">
    <cfRule type="expression" dxfId="4313" priority="921">
      <formula>SUM(--ISBLANK($B65:$J65))=COLUMNS($B65:$J65)</formula>
    </cfRule>
  </conditionalFormatting>
  <conditionalFormatting sqref="B65">
    <cfRule type="containsText" dxfId="4312" priority="923" operator="containsText" text="NP">
      <formula>NOT(ISERROR(SEARCH("NP",B65)))</formula>
    </cfRule>
  </conditionalFormatting>
  <conditionalFormatting sqref="B65">
    <cfRule type="cellIs" dxfId="4311" priority="927" operator="greaterThanOrEqual">
      <formula>4.95</formula>
    </cfRule>
  </conditionalFormatting>
  <conditionalFormatting sqref="B65">
    <cfRule type="expression" dxfId="4310" priority="920">
      <formula>ISBLANK(B65)</formula>
    </cfRule>
  </conditionalFormatting>
  <conditionalFormatting sqref="B65">
    <cfRule type="containsText" dxfId="4309" priority="919" operator="containsText" text="Reconocimiento Créditos">
      <formula>NOT(ISERROR(SEARCH("Reconocimiento Créditos",B65)))</formula>
    </cfRule>
  </conditionalFormatting>
  <conditionalFormatting sqref="B65">
    <cfRule type="expression" dxfId="4308" priority="917">
      <formula>AND(ISNUMBER(B65), OR(B65&gt;10, B65&lt;0))</formula>
    </cfRule>
  </conditionalFormatting>
  <conditionalFormatting sqref="B65">
    <cfRule type="expression" dxfId="4307" priority="916">
      <formula>AND(NOT(ISNUMBER(B65)), B65&lt;&gt;"NP", B65&lt;&gt;"Reconocimiento Créditos", B65&lt;&gt;"Aprobado en otro curso")</formula>
    </cfRule>
  </conditionalFormatting>
  <conditionalFormatting sqref="B65">
    <cfRule type="containsText" dxfId="4306" priority="915" operator="containsText" text="Reconocimiento Créditos">
      <formula>NOT(ISERROR(SEARCH("Reconocimiento Créditos",B65)))</formula>
    </cfRule>
  </conditionalFormatting>
  <conditionalFormatting sqref="B65">
    <cfRule type="containsText" dxfId="4305" priority="918" operator="containsText" text="Aprobado en otro curso">
      <formula>NOT(ISERROR(SEARCH("Aprobado en otro curso",B65)))</formula>
    </cfRule>
  </conditionalFormatting>
  <conditionalFormatting sqref="A66">
    <cfRule type="expression" dxfId="4304" priority="913">
      <formula>AND(OR(ROW()=CELL("row"),COLUMN()=CELL("col")),NOT(ISBLANK($C66)),NOT(ISBLANK($B66)),ROW()&gt;2,COLUMN()&gt;1)</formula>
    </cfRule>
  </conditionalFormatting>
  <conditionalFormatting sqref="A66">
    <cfRule type="expression" dxfId="4303" priority="912">
      <formula>SUM(--ISBLANK($B66:$J66))=COLUMNS($B66:$J66)</formula>
    </cfRule>
  </conditionalFormatting>
  <conditionalFormatting sqref="A66">
    <cfRule type="containsText" dxfId="4302" priority="914" operator="containsText" text="NP">
      <formula>NOT(ISERROR(SEARCH("NP",A66)))</formula>
    </cfRule>
  </conditionalFormatting>
  <conditionalFormatting sqref="A66">
    <cfRule type="expression" dxfId="4301" priority="911">
      <formula>ISBLANK(A66)</formula>
    </cfRule>
  </conditionalFormatting>
  <conditionalFormatting sqref="B66">
    <cfRule type="expression" dxfId="4300" priority="907">
      <formula>B66=""</formula>
    </cfRule>
    <cfRule type="containsText" dxfId="4299" priority="908" operator="containsText" text="NP">
      <formula>NOT(ISERROR(SEARCH("NP",B66)))</formula>
    </cfRule>
    <cfRule type="cellIs" dxfId="4298" priority="909" operator="lessThan">
      <formula>4.95</formula>
    </cfRule>
  </conditionalFormatting>
  <conditionalFormatting sqref="B66">
    <cfRule type="expression" dxfId="4297" priority="905">
      <formula>AND(OR(ROW()=CELL("row"),COLUMN()=CELL("col")),NOT(ISBLANK($C66)),NOT(ISBLANK($B66)),ROW()&gt;2,COLUMN()&gt;1)</formula>
    </cfRule>
  </conditionalFormatting>
  <conditionalFormatting sqref="B66">
    <cfRule type="expression" dxfId="4296" priority="904">
      <formula>SUM(--ISBLANK($B66:$J66))=COLUMNS($B66:$J66)</formula>
    </cfRule>
  </conditionalFormatting>
  <conditionalFormatting sqref="B66">
    <cfRule type="containsText" dxfId="4295" priority="906" operator="containsText" text="NP">
      <formula>NOT(ISERROR(SEARCH("NP",B66)))</formula>
    </cfRule>
  </conditionalFormatting>
  <conditionalFormatting sqref="B66">
    <cfRule type="cellIs" dxfId="4294" priority="910" operator="greaterThanOrEqual">
      <formula>4.95</formula>
    </cfRule>
  </conditionalFormatting>
  <conditionalFormatting sqref="B66">
    <cfRule type="expression" dxfId="4293" priority="903">
      <formula>ISBLANK(B66)</formula>
    </cfRule>
  </conditionalFormatting>
  <conditionalFormatting sqref="B66">
    <cfRule type="containsText" dxfId="4292" priority="902" operator="containsText" text="Reconocimiento Créditos">
      <formula>NOT(ISERROR(SEARCH("Reconocimiento Créditos",B66)))</formula>
    </cfRule>
  </conditionalFormatting>
  <conditionalFormatting sqref="B66">
    <cfRule type="expression" dxfId="4291" priority="900">
      <formula>AND(ISNUMBER(B66), OR(B66&gt;10, B66&lt;0))</formula>
    </cfRule>
  </conditionalFormatting>
  <conditionalFormatting sqref="B66">
    <cfRule type="expression" dxfId="4290" priority="899">
      <formula>AND(NOT(ISNUMBER(B66)), B66&lt;&gt;"NP", B66&lt;&gt;"Reconocimiento Créditos", B66&lt;&gt;"Aprobado en otro curso")</formula>
    </cfRule>
  </conditionalFormatting>
  <conditionalFormatting sqref="B66">
    <cfRule type="containsText" dxfId="4289" priority="898" operator="containsText" text="Reconocimiento Créditos">
      <formula>NOT(ISERROR(SEARCH("Reconocimiento Créditos",B66)))</formula>
    </cfRule>
  </conditionalFormatting>
  <conditionalFormatting sqref="B66">
    <cfRule type="containsText" dxfId="4288" priority="901" operator="containsText" text="Aprobado en otro curso">
      <formula>NOT(ISERROR(SEARCH("Aprobado en otro curso",B66)))</formula>
    </cfRule>
  </conditionalFormatting>
  <conditionalFormatting sqref="A67">
    <cfRule type="expression" dxfId="4287" priority="896">
      <formula>AND(OR(ROW()=CELL("row"),COLUMN()=CELL("col")),NOT(ISBLANK($C67)),NOT(ISBLANK($B67)),ROW()&gt;2,COLUMN()&gt;1)</formula>
    </cfRule>
  </conditionalFormatting>
  <conditionalFormatting sqref="A67">
    <cfRule type="expression" dxfId="4286" priority="895">
      <formula>SUM(--ISBLANK($B67:$J67))=COLUMNS($B67:$J67)</formula>
    </cfRule>
  </conditionalFormatting>
  <conditionalFormatting sqref="A67">
    <cfRule type="containsText" dxfId="4285" priority="897" operator="containsText" text="NP">
      <formula>NOT(ISERROR(SEARCH("NP",A67)))</formula>
    </cfRule>
  </conditionalFormatting>
  <conditionalFormatting sqref="A67">
    <cfRule type="expression" dxfId="4284" priority="894">
      <formula>ISBLANK(A67)</formula>
    </cfRule>
  </conditionalFormatting>
  <conditionalFormatting sqref="B67">
    <cfRule type="expression" dxfId="4283" priority="890">
      <formula>B67=""</formula>
    </cfRule>
    <cfRule type="containsText" dxfId="4282" priority="891" operator="containsText" text="NP">
      <formula>NOT(ISERROR(SEARCH("NP",B67)))</formula>
    </cfRule>
    <cfRule type="cellIs" dxfId="4281" priority="892" operator="lessThan">
      <formula>4.95</formula>
    </cfRule>
  </conditionalFormatting>
  <conditionalFormatting sqref="B67">
    <cfRule type="expression" dxfId="4280" priority="888">
      <formula>AND(OR(ROW()=CELL("row"),COLUMN()=CELL("col")),NOT(ISBLANK($C67)),NOT(ISBLANK($B67)),ROW()&gt;2,COLUMN()&gt;1)</formula>
    </cfRule>
  </conditionalFormatting>
  <conditionalFormatting sqref="B67">
    <cfRule type="expression" dxfId="4279" priority="887">
      <formula>SUM(--ISBLANK($B67:$J67))=COLUMNS($B67:$J67)</formula>
    </cfRule>
  </conditionalFormatting>
  <conditionalFormatting sqref="B67">
    <cfRule type="containsText" dxfId="4278" priority="889" operator="containsText" text="NP">
      <formula>NOT(ISERROR(SEARCH("NP",B67)))</formula>
    </cfRule>
  </conditionalFormatting>
  <conditionalFormatting sqref="B67">
    <cfRule type="cellIs" dxfId="4277" priority="893" operator="greaterThanOrEqual">
      <formula>4.95</formula>
    </cfRule>
  </conditionalFormatting>
  <conditionalFormatting sqref="B67">
    <cfRule type="expression" dxfId="4276" priority="886">
      <formula>ISBLANK(B67)</formula>
    </cfRule>
  </conditionalFormatting>
  <conditionalFormatting sqref="B67">
    <cfRule type="containsText" dxfId="4275" priority="885" operator="containsText" text="Reconocimiento Créditos">
      <formula>NOT(ISERROR(SEARCH("Reconocimiento Créditos",B67)))</formula>
    </cfRule>
  </conditionalFormatting>
  <conditionalFormatting sqref="B67">
    <cfRule type="expression" dxfId="4274" priority="883">
      <formula>AND(ISNUMBER(B67), OR(B67&gt;10, B67&lt;0))</formula>
    </cfRule>
  </conditionalFormatting>
  <conditionalFormatting sqref="B67">
    <cfRule type="expression" dxfId="4273" priority="882">
      <formula>AND(NOT(ISNUMBER(B67)), B67&lt;&gt;"NP", B67&lt;&gt;"Reconocimiento Créditos", B67&lt;&gt;"Aprobado en otro curso")</formula>
    </cfRule>
  </conditionalFormatting>
  <conditionalFormatting sqref="B67">
    <cfRule type="containsText" dxfId="4272" priority="881" operator="containsText" text="Reconocimiento Créditos">
      <formula>NOT(ISERROR(SEARCH("Reconocimiento Créditos",B67)))</formula>
    </cfRule>
  </conditionalFormatting>
  <conditionalFormatting sqref="B67">
    <cfRule type="containsText" dxfId="4271" priority="884" operator="containsText" text="Aprobado en otro curso">
      <formula>NOT(ISERROR(SEARCH("Aprobado en otro curso",B67)))</formula>
    </cfRule>
  </conditionalFormatting>
  <conditionalFormatting sqref="A68">
    <cfRule type="expression" dxfId="4270" priority="879">
      <formula>AND(OR(ROW()=CELL("row"),COLUMN()=CELL("col")),NOT(ISBLANK($C68)),NOT(ISBLANK($B68)),ROW()&gt;2,COLUMN()&gt;1)</formula>
    </cfRule>
  </conditionalFormatting>
  <conditionalFormatting sqref="A68">
    <cfRule type="expression" dxfId="4269" priority="878">
      <formula>SUM(--ISBLANK($B68:$J68))=COLUMNS($B68:$J68)</formula>
    </cfRule>
  </conditionalFormatting>
  <conditionalFormatting sqref="A68">
    <cfRule type="containsText" dxfId="4268" priority="880" operator="containsText" text="NP">
      <formula>NOT(ISERROR(SEARCH("NP",A68)))</formula>
    </cfRule>
  </conditionalFormatting>
  <conditionalFormatting sqref="A68">
    <cfRule type="expression" dxfId="4267" priority="877">
      <formula>ISBLANK(A68)</formula>
    </cfRule>
  </conditionalFormatting>
  <conditionalFormatting sqref="B68">
    <cfRule type="expression" dxfId="4266" priority="873">
      <formula>B68=""</formula>
    </cfRule>
    <cfRule type="containsText" dxfId="4265" priority="874" operator="containsText" text="NP">
      <formula>NOT(ISERROR(SEARCH("NP",B68)))</formula>
    </cfRule>
    <cfRule type="cellIs" dxfId="4264" priority="875" operator="lessThan">
      <formula>4.95</formula>
    </cfRule>
  </conditionalFormatting>
  <conditionalFormatting sqref="B68">
    <cfRule type="expression" dxfId="4263" priority="871">
      <formula>AND(OR(ROW()=CELL("row"),COLUMN()=CELL("col")),NOT(ISBLANK($C68)),NOT(ISBLANK($B68)),ROW()&gt;2,COLUMN()&gt;1)</formula>
    </cfRule>
  </conditionalFormatting>
  <conditionalFormatting sqref="B68">
    <cfRule type="expression" dxfId="4262" priority="870">
      <formula>SUM(--ISBLANK($B68:$J68))=COLUMNS($B68:$J68)</formula>
    </cfRule>
  </conditionalFormatting>
  <conditionalFormatting sqref="B68">
    <cfRule type="containsText" dxfId="4261" priority="872" operator="containsText" text="NP">
      <formula>NOT(ISERROR(SEARCH("NP",B68)))</formula>
    </cfRule>
  </conditionalFormatting>
  <conditionalFormatting sqref="B68">
    <cfRule type="cellIs" dxfId="4260" priority="876" operator="greaterThanOrEqual">
      <formula>4.95</formula>
    </cfRule>
  </conditionalFormatting>
  <conditionalFormatting sqref="B68">
    <cfRule type="expression" dxfId="4259" priority="869">
      <formula>ISBLANK(B68)</formula>
    </cfRule>
  </conditionalFormatting>
  <conditionalFormatting sqref="B68">
    <cfRule type="containsText" dxfId="4258" priority="868" operator="containsText" text="Reconocimiento Créditos">
      <formula>NOT(ISERROR(SEARCH("Reconocimiento Créditos",B68)))</formula>
    </cfRule>
  </conditionalFormatting>
  <conditionalFormatting sqref="B68">
    <cfRule type="expression" dxfId="4257" priority="866">
      <formula>AND(ISNUMBER(B68), OR(B68&gt;10, B68&lt;0))</formula>
    </cfRule>
  </conditionalFormatting>
  <conditionalFormatting sqref="B68">
    <cfRule type="expression" dxfId="4256" priority="865">
      <formula>AND(NOT(ISNUMBER(B68)), B68&lt;&gt;"NP", B68&lt;&gt;"Reconocimiento Créditos", B68&lt;&gt;"Aprobado en otro curso")</formula>
    </cfRule>
  </conditionalFormatting>
  <conditionalFormatting sqref="B68">
    <cfRule type="containsText" dxfId="4255" priority="864" operator="containsText" text="Reconocimiento Créditos">
      <formula>NOT(ISERROR(SEARCH("Reconocimiento Créditos",B68)))</formula>
    </cfRule>
  </conditionalFormatting>
  <conditionalFormatting sqref="B68">
    <cfRule type="containsText" dxfId="4254" priority="867" operator="containsText" text="Aprobado en otro curso">
      <formula>NOT(ISERROR(SEARCH("Aprobado en otro curso",B68)))</formula>
    </cfRule>
  </conditionalFormatting>
  <conditionalFormatting sqref="A69">
    <cfRule type="expression" dxfId="4253" priority="862">
      <formula>AND(OR(ROW()=CELL("row"),COLUMN()=CELL("col")),NOT(ISBLANK($C69)),NOT(ISBLANK($B69)),ROW()&gt;2,COLUMN()&gt;1)</formula>
    </cfRule>
  </conditionalFormatting>
  <conditionalFormatting sqref="A69">
    <cfRule type="expression" dxfId="4252" priority="861">
      <formula>SUM(--ISBLANK($B69:$J69))=COLUMNS($B69:$J69)</formula>
    </cfRule>
  </conditionalFormatting>
  <conditionalFormatting sqref="A69">
    <cfRule type="containsText" dxfId="4251" priority="863" operator="containsText" text="NP">
      <formula>NOT(ISERROR(SEARCH("NP",A69)))</formula>
    </cfRule>
  </conditionalFormatting>
  <conditionalFormatting sqref="A69">
    <cfRule type="expression" dxfId="4250" priority="860">
      <formula>ISBLANK(A69)</formula>
    </cfRule>
  </conditionalFormatting>
  <conditionalFormatting sqref="B69">
    <cfRule type="expression" dxfId="4249" priority="856">
      <formula>B69=""</formula>
    </cfRule>
    <cfRule type="containsText" dxfId="4248" priority="857" operator="containsText" text="NP">
      <formula>NOT(ISERROR(SEARCH("NP",B69)))</formula>
    </cfRule>
    <cfRule type="cellIs" dxfId="4247" priority="858" operator="lessThan">
      <formula>4.95</formula>
    </cfRule>
  </conditionalFormatting>
  <conditionalFormatting sqref="B69">
    <cfRule type="expression" dxfId="4246" priority="854">
      <formula>AND(OR(ROW()=CELL("row"),COLUMN()=CELL("col")),NOT(ISBLANK($C69)),NOT(ISBLANK($B69)),ROW()&gt;2,COLUMN()&gt;1)</formula>
    </cfRule>
  </conditionalFormatting>
  <conditionalFormatting sqref="B69">
    <cfRule type="expression" dxfId="4245" priority="853">
      <formula>SUM(--ISBLANK($B69:$J69))=COLUMNS($B69:$J69)</formula>
    </cfRule>
  </conditionalFormatting>
  <conditionalFormatting sqref="B69">
    <cfRule type="containsText" dxfId="4244" priority="855" operator="containsText" text="NP">
      <formula>NOT(ISERROR(SEARCH("NP",B69)))</formula>
    </cfRule>
  </conditionalFormatting>
  <conditionalFormatting sqref="B69">
    <cfRule type="cellIs" dxfId="4243" priority="859" operator="greaterThanOrEqual">
      <formula>4.95</formula>
    </cfRule>
  </conditionalFormatting>
  <conditionalFormatting sqref="B69">
    <cfRule type="expression" dxfId="4242" priority="852">
      <formula>ISBLANK(B69)</formula>
    </cfRule>
  </conditionalFormatting>
  <conditionalFormatting sqref="B69">
    <cfRule type="containsText" dxfId="4241" priority="851" operator="containsText" text="Reconocimiento Créditos">
      <formula>NOT(ISERROR(SEARCH("Reconocimiento Créditos",B69)))</formula>
    </cfRule>
  </conditionalFormatting>
  <conditionalFormatting sqref="B69">
    <cfRule type="expression" dxfId="4240" priority="849">
      <formula>AND(ISNUMBER(B69), OR(B69&gt;10, B69&lt;0))</formula>
    </cfRule>
  </conditionalFormatting>
  <conditionalFormatting sqref="B69">
    <cfRule type="expression" dxfId="4239" priority="848">
      <formula>AND(NOT(ISNUMBER(B69)), B69&lt;&gt;"NP", B69&lt;&gt;"Reconocimiento Créditos", B69&lt;&gt;"Aprobado en otro curso")</formula>
    </cfRule>
  </conditionalFormatting>
  <conditionalFormatting sqref="B69">
    <cfRule type="containsText" dxfId="4238" priority="847" operator="containsText" text="Reconocimiento Créditos">
      <formula>NOT(ISERROR(SEARCH("Reconocimiento Créditos",B69)))</formula>
    </cfRule>
  </conditionalFormatting>
  <conditionalFormatting sqref="B69">
    <cfRule type="containsText" dxfId="4237" priority="850" operator="containsText" text="Aprobado en otro curso">
      <formula>NOT(ISERROR(SEARCH("Aprobado en otro curso",B69)))</formula>
    </cfRule>
  </conditionalFormatting>
  <conditionalFormatting sqref="A70">
    <cfRule type="expression" dxfId="4236" priority="845">
      <formula>AND(OR(ROW()=CELL("row"),COLUMN()=CELL("col")),NOT(ISBLANK($C70)),NOT(ISBLANK($B70)),ROW()&gt;2,COLUMN()&gt;1)</formula>
    </cfRule>
  </conditionalFormatting>
  <conditionalFormatting sqref="A70">
    <cfRule type="expression" dxfId="4235" priority="844">
      <formula>SUM(--ISBLANK($B70:$J70))=COLUMNS($B70:$J70)</formula>
    </cfRule>
  </conditionalFormatting>
  <conditionalFormatting sqref="A70">
    <cfRule type="containsText" dxfId="4234" priority="846" operator="containsText" text="NP">
      <formula>NOT(ISERROR(SEARCH("NP",A70)))</formula>
    </cfRule>
  </conditionalFormatting>
  <conditionalFormatting sqref="A70">
    <cfRule type="expression" dxfId="4233" priority="843">
      <formula>ISBLANK(A70)</formula>
    </cfRule>
  </conditionalFormatting>
  <conditionalFormatting sqref="B70">
    <cfRule type="expression" dxfId="4232" priority="839">
      <formula>B70=""</formula>
    </cfRule>
    <cfRule type="containsText" dxfId="4231" priority="840" operator="containsText" text="NP">
      <formula>NOT(ISERROR(SEARCH("NP",B70)))</formula>
    </cfRule>
    <cfRule type="cellIs" dxfId="4230" priority="841" operator="lessThan">
      <formula>4.95</formula>
    </cfRule>
  </conditionalFormatting>
  <conditionalFormatting sqref="B70">
    <cfRule type="expression" dxfId="4229" priority="837">
      <formula>AND(OR(ROW()=CELL("row"),COLUMN()=CELL("col")),NOT(ISBLANK($C70)),NOT(ISBLANK($B70)),ROW()&gt;2,COLUMN()&gt;1)</formula>
    </cfRule>
  </conditionalFormatting>
  <conditionalFormatting sqref="B70">
    <cfRule type="expression" dxfId="4228" priority="836">
      <formula>SUM(--ISBLANK($B70:$J70))=COLUMNS($B70:$J70)</formula>
    </cfRule>
  </conditionalFormatting>
  <conditionalFormatting sqref="B70">
    <cfRule type="containsText" dxfId="4227" priority="838" operator="containsText" text="NP">
      <formula>NOT(ISERROR(SEARCH("NP",B70)))</formula>
    </cfRule>
  </conditionalFormatting>
  <conditionalFormatting sqref="B70">
    <cfRule type="cellIs" dxfId="4226" priority="842" operator="greaterThanOrEqual">
      <formula>4.95</formula>
    </cfRule>
  </conditionalFormatting>
  <conditionalFormatting sqref="B70">
    <cfRule type="expression" dxfId="4225" priority="835">
      <formula>ISBLANK(B70)</formula>
    </cfRule>
  </conditionalFormatting>
  <conditionalFormatting sqref="B70">
    <cfRule type="containsText" dxfId="4224" priority="834" operator="containsText" text="Reconocimiento Créditos">
      <formula>NOT(ISERROR(SEARCH("Reconocimiento Créditos",B70)))</formula>
    </cfRule>
  </conditionalFormatting>
  <conditionalFormatting sqref="B70">
    <cfRule type="expression" dxfId="4223" priority="832">
      <formula>AND(ISNUMBER(B70), OR(B70&gt;10, B70&lt;0))</formula>
    </cfRule>
  </conditionalFormatting>
  <conditionalFormatting sqref="B70">
    <cfRule type="expression" dxfId="4222" priority="831">
      <formula>AND(NOT(ISNUMBER(B70)), B70&lt;&gt;"NP", B70&lt;&gt;"Reconocimiento Créditos", B70&lt;&gt;"Aprobado en otro curso")</formula>
    </cfRule>
  </conditionalFormatting>
  <conditionalFormatting sqref="B70">
    <cfRule type="containsText" dxfId="4221" priority="830" operator="containsText" text="Reconocimiento Créditos">
      <formula>NOT(ISERROR(SEARCH("Reconocimiento Créditos",B70)))</formula>
    </cfRule>
  </conditionalFormatting>
  <conditionalFormatting sqref="B70">
    <cfRule type="containsText" dxfId="4220" priority="833" operator="containsText" text="Aprobado en otro curso">
      <formula>NOT(ISERROR(SEARCH("Aprobado en otro curso",B70)))</formula>
    </cfRule>
  </conditionalFormatting>
  <conditionalFormatting sqref="A71">
    <cfRule type="expression" dxfId="4219" priority="828">
      <formula>AND(OR(ROW()=CELL("row"),COLUMN()=CELL("col")),NOT(ISBLANK($C71)),NOT(ISBLANK($B71)),ROW()&gt;2,COLUMN()&gt;1)</formula>
    </cfRule>
  </conditionalFormatting>
  <conditionalFormatting sqref="A71">
    <cfRule type="expression" dxfId="4218" priority="827">
      <formula>SUM(--ISBLANK($B71:$J71))=COLUMNS($B71:$J71)</formula>
    </cfRule>
  </conditionalFormatting>
  <conditionalFormatting sqref="A71">
    <cfRule type="containsText" dxfId="4217" priority="829" operator="containsText" text="NP">
      <formula>NOT(ISERROR(SEARCH("NP",A71)))</formula>
    </cfRule>
  </conditionalFormatting>
  <conditionalFormatting sqref="A71">
    <cfRule type="expression" dxfId="4216" priority="826">
      <formula>ISBLANK(A71)</formula>
    </cfRule>
  </conditionalFormatting>
  <conditionalFormatting sqref="B71">
    <cfRule type="expression" dxfId="4215" priority="822">
      <formula>B71=""</formula>
    </cfRule>
    <cfRule type="containsText" dxfId="4214" priority="823" operator="containsText" text="NP">
      <formula>NOT(ISERROR(SEARCH("NP",B71)))</formula>
    </cfRule>
    <cfRule type="cellIs" dxfId="4213" priority="824" operator="lessThan">
      <formula>4.95</formula>
    </cfRule>
  </conditionalFormatting>
  <conditionalFormatting sqref="B71">
    <cfRule type="containsText" dxfId="4212" priority="820" operator="containsText" text="NP">
      <formula>NOT(ISERROR(SEARCH("NP",B71)))</formula>
    </cfRule>
    <cfRule type="cellIs" dxfId="4211" priority="821" operator="lessThan">
      <formula>5</formula>
    </cfRule>
  </conditionalFormatting>
  <conditionalFormatting sqref="B71">
    <cfRule type="expression" dxfId="4210" priority="818">
      <formula>AND(OR(ROW()=CELL("row"),COLUMN()=CELL("col")),NOT(ISBLANK($C71)),NOT(ISBLANK($B71)),ROW()&gt;2,COLUMN()&gt;1)</formula>
    </cfRule>
  </conditionalFormatting>
  <conditionalFormatting sqref="B71">
    <cfRule type="expression" dxfId="4209" priority="817">
      <formula>SUM(--ISBLANK($B71:$J71))=COLUMNS($B71:$J71)</formula>
    </cfRule>
  </conditionalFormatting>
  <conditionalFormatting sqref="B71">
    <cfRule type="containsText" dxfId="4208" priority="819" operator="containsText" text="NP">
      <formula>NOT(ISERROR(SEARCH("NP",B71)))</formula>
    </cfRule>
  </conditionalFormatting>
  <conditionalFormatting sqref="B71">
    <cfRule type="cellIs" dxfId="4207" priority="825" operator="greaterThanOrEqual">
      <formula>4.95</formula>
    </cfRule>
  </conditionalFormatting>
  <conditionalFormatting sqref="B71">
    <cfRule type="expression" dxfId="4206" priority="816">
      <formula>ISBLANK(B71)</formula>
    </cfRule>
  </conditionalFormatting>
  <conditionalFormatting sqref="B71">
    <cfRule type="containsText" dxfId="4205" priority="815" operator="containsText" text="Reconocimiento Créditos">
      <formula>NOT(ISERROR(SEARCH("Reconocimiento Créditos",B71)))</formula>
    </cfRule>
  </conditionalFormatting>
  <conditionalFormatting sqref="B71">
    <cfRule type="expression" dxfId="4204" priority="813">
      <formula>AND(ISNUMBER(B71), OR(B71&gt;10, B71&lt;0))</formula>
    </cfRule>
  </conditionalFormatting>
  <conditionalFormatting sqref="B71">
    <cfRule type="expression" dxfId="4203" priority="812">
      <formula>AND(NOT(ISNUMBER(B71)), B71&lt;&gt;"NP", B71&lt;&gt;"Reconocimiento Créditos", B71&lt;&gt;"Aprobado en otro curso")</formula>
    </cfRule>
  </conditionalFormatting>
  <conditionalFormatting sqref="B71">
    <cfRule type="containsText" dxfId="4202" priority="811" operator="containsText" text="Reconocimiento Créditos">
      <formula>NOT(ISERROR(SEARCH("Reconocimiento Créditos",B71)))</formula>
    </cfRule>
  </conditionalFormatting>
  <conditionalFormatting sqref="B71">
    <cfRule type="containsText" dxfId="4201" priority="814" operator="containsText" text="Aprobado en otro curso">
      <formula>NOT(ISERROR(SEARCH("Aprobado en otro curso",B71)))</formula>
    </cfRule>
  </conditionalFormatting>
  <conditionalFormatting sqref="B71">
    <cfRule type="containsText" dxfId="4200" priority="808" operator="containsText" text="NP">
      <formula>NOT(ISERROR(SEARCH("NP",B71)))</formula>
    </cfRule>
    <cfRule type="cellIs" dxfId="4199" priority="809" operator="lessThan">
      <formula>5</formula>
    </cfRule>
  </conditionalFormatting>
  <conditionalFormatting sqref="B71">
    <cfRule type="containsText" dxfId="4198" priority="807" operator="containsText" text="NP">
      <formula>NOT(ISERROR(SEARCH("NP",B71)))</formula>
    </cfRule>
  </conditionalFormatting>
  <conditionalFormatting sqref="B71">
    <cfRule type="expression" dxfId="4197" priority="806">
      <formula>ISBLANK(B71)</formula>
    </cfRule>
  </conditionalFormatting>
  <conditionalFormatting sqref="B71">
    <cfRule type="expression" dxfId="4196" priority="805">
      <formula>AND(OR(ROW()=CELL("row"),COLUMN()=CELL("col")),NOT(ISBLANK($C71)),NOT(ISBLANK($B71)),ROW()&gt;2,COLUMN()&gt;1)</formula>
    </cfRule>
  </conditionalFormatting>
  <conditionalFormatting sqref="B71">
    <cfRule type="containsText" dxfId="4195" priority="803" operator="containsText" text="Aprobado en otro curso">
      <formula>NOT(ISERROR(SEARCH("Aprobado en otro curso",B71)))</formula>
    </cfRule>
    <cfRule type="containsText" dxfId="4194" priority="804" operator="containsText" text="Reconocimiento Créditos">
      <formula>NOT(ISERROR(SEARCH("Reconocimiento Créditos",B71)))</formula>
    </cfRule>
  </conditionalFormatting>
  <conditionalFormatting sqref="B71">
    <cfRule type="expression" dxfId="4193" priority="810">
      <formula>SUM(--ISBLANK($B71:$J71))=COLUMNS($B71:$J71)</formula>
    </cfRule>
  </conditionalFormatting>
  <conditionalFormatting sqref="B71">
    <cfRule type="expression" dxfId="4192" priority="802">
      <formula>AND(ISNUMBER(B71), OR(B71&gt;10, B71&lt;0))</formula>
    </cfRule>
  </conditionalFormatting>
  <conditionalFormatting sqref="B71">
    <cfRule type="expression" dxfId="4191" priority="801">
      <formula>AND(NOT(ISNUMBER(B71)), B71&lt;&gt;"NP", B71&lt;&gt;"Reconocimiento Créditos", B71&lt;&gt;"Aprobado en otro curso")</formula>
    </cfRule>
  </conditionalFormatting>
  <conditionalFormatting sqref="A72">
    <cfRule type="expression" dxfId="4190" priority="799">
      <formula>AND(OR(ROW()=CELL("row"),COLUMN()=CELL("col")),NOT(ISBLANK($C72)),NOT(ISBLANK($B72)),ROW()&gt;2,COLUMN()&gt;1)</formula>
    </cfRule>
  </conditionalFormatting>
  <conditionalFormatting sqref="A72">
    <cfRule type="expression" dxfId="4189" priority="798">
      <formula>SUM(--ISBLANK($B72:$J72))=COLUMNS($B72:$J72)</formula>
    </cfRule>
  </conditionalFormatting>
  <conditionalFormatting sqref="A72">
    <cfRule type="containsText" dxfId="4188" priority="800" operator="containsText" text="NP">
      <formula>NOT(ISERROR(SEARCH("NP",A72)))</formula>
    </cfRule>
  </conditionalFormatting>
  <conditionalFormatting sqref="A72">
    <cfRule type="expression" dxfId="4187" priority="797">
      <formula>ISBLANK(A72)</formula>
    </cfRule>
  </conditionalFormatting>
  <conditionalFormatting sqref="B72">
    <cfRule type="expression" dxfId="4186" priority="793">
      <formula>B72=""</formula>
    </cfRule>
    <cfRule type="containsText" dxfId="4185" priority="794" operator="containsText" text="NP">
      <formula>NOT(ISERROR(SEARCH("NP",B72)))</formula>
    </cfRule>
    <cfRule type="cellIs" dxfId="4184" priority="795" operator="lessThan">
      <formula>4.95</formula>
    </cfRule>
  </conditionalFormatting>
  <conditionalFormatting sqref="B72">
    <cfRule type="expression" dxfId="4183" priority="791">
      <formula>AND(OR(ROW()=CELL("row"),COLUMN()=CELL("col")),NOT(ISBLANK($C72)),NOT(ISBLANK($B72)),ROW()&gt;2,COLUMN()&gt;1)</formula>
    </cfRule>
  </conditionalFormatting>
  <conditionalFormatting sqref="B72">
    <cfRule type="expression" dxfId="4182" priority="790">
      <formula>SUM(--ISBLANK($B72:$J72))=COLUMNS($B72:$J72)</formula>
    </cfRule>
  </conditionalFormatting>
  <conditionalFormatting sqref="B72">
    <cfRule type="containsText" dxfId="4181" priority="792" operator="containsText" text="NP">
      <formula>NOT(ISERROR(SEARCH("NP",B72)))</formula>
    </cfRule>
  </conditionalFormatting>
  <conditionalFormatting sqref="B72">
    <cfRule type="cellIs" dxfId="4180" priority="796" operator="greaterThanOrEqual">
      <formula>4.95</formula>
    </cfRule>
  </conditionalFormatting>
  <conditionalFormatting sqref="B72">
    <cfRule type="expression" dxfId="4179" priority="789">
      <formula>ISBLANK(B72)</formula>
    </cfRule>
  </conditionalFormatting>
  <conditionalFormatting sqref="B72">
    <cfRule type="containsText" dxfId="4178" priority="788" operator="containsText" text="Reconocimiento Créditos">
      <formula>NOT(ISERROR(SEARCH("Reconocimiento Créditos",B72)))</formula>
    </cfRule>
  </conditionalFormatting>
  <conditionalFormatting sqref="B72">
    <cfRule type="expression" dxfId="4177" priority="786">
      <formula>AND(ISNUMBER(B72), OR(B72&gt;10, B72&lt;0))</formula>
    </cfRule>
  </conditionalFormatting>
  <conditionalFormatting sqref="B72">
    <cfRule type="containsText" dxfId="4176" priority="785" operator="containsText" text="Reconocimiento Créditos">
      <formula>NOT(ISERROR(SEARCH("Reconocimiento Créditos",B72)))</formula>
    </cfRule>
  </conditionalFormatting>
  <conditionalFormatting sqref="B72">
    <cfRule type="containsText" dxfId="4175" priority="787" operator="containsText" text="Aprobado en otro curso">
      <formula>NOT(ISERROR(SEARCH("Aprobado en otro curso",B72)))</formula>
    </cfRule>
  </conditionalFormatting>
  <conditionalFormatting sqref="A73">
    <cfRule type="expression" dxfId="4174" priority="783">
      <formula>AND(OR(ROW()=CELL("row"),COLUMN()=CELL("col")),NOT(ISBLANK($C73)),NOT(ISBLANK($B73)),ROW()&gt;2,COLUMN()&gt;1)</formula>
    </cfRule>
  </conditionalFormatting>
  <conditionalFormatting sqref="A73">
    <cfRule type="expression" dxfId="4173" priority="782">
      <formula>SUM(--ISBLANK($B73:$J73))=COLUMNS($B73:$J73)</formula>
    </cfRule>
  </conditionalFormatting>
  <conditionalFormatting sqref="A73">
    <cfRule type="containsText" dxfId="4172" priority="784" operator="containsText" text="NP">
      <formula>NOT(ISERROR(SEARCH("NP",A73)))</formula>
    </cfRule>
  </conditionalFormatting>
  <conditionalFormatting sqref="A73">
    <cfRule type="expression" dxfId="4171" priority="781">
      <formula>ISBLANK(A73)</formula>
    </cfRule>
  </conditionalFormatting>
  <conditionalFormatting sqref="B73">
    <cfRule type="expression" dxfId="4170" priority="777">
      <formula>B73=""</formula>
    </cfRule>
    <cfRule type="containsText" dxfId="4169" priority="778" operator="containsText" text="NP">
      <formula>NOT(ISERROR(SEARCH("NP",B73)))</formula>
    </cfRule>
    <cfRule type="cellIs" dxfId="4168" priority="779" operator="lessThan">
      <formula>4.95</formula>
    </cfRule>
  </conditionalFormatting>
  <conditionalFormatting sqref="B73">
    <cfRule type="expression" dxfId="4167" priority="775">
      <formula>AND(OR(ROW()=CELL("row"),COLUMN()=CELL("col")),NOT(ISBLANK($C73)),NOT(ISBLANK($B73)),ROW()&gt;2,COLUMN()&gt;1)</formula>
    </cfRule>
  </conditionalFormatting>
  <conditionalFormatting sqref="B73">
    <cfRule type="expression" dxfId="4166" priority="774">
      <formula>SUM(--ISBLANK($B73:$J73))=COLUMNS($B73:$J73)</formula>
    </cfRule>
  </conditionalFormatting>
  <conditionalFormatting sqref="B73">
    <cfRule type="containsText" dxfId="4165" priority="776" operator="containsText" text="NP">
      <formula>NOT(ISERROR(SEARCH("NP",B73)))</formula>
    </cfRule>
  </conditionalFormatting>
  <conditionalFormatting sqref="B73">
    <cfRule type="cellIs" dxfId="4164" priority="780" operator="greaterThanOrEqual">
      <formula>4.95</formula>
    </cfRule>
  </conditionalFormatting>
  <conditionalFormatting sqref="B73">
    <cfRule type="expression" dxfId="4163" priority="773">
      <formula>ISBLANK(B73)</formula>
    </cfRule>
  </conditionalFormatting>
  <conditionalFormatting sqref="B73">
    <cfRule type="containsText" dxfId="4162" priority="772" operator="containsText" text="Reconocimiento Créditos">
      <formula>NOT(ISERROR(SEARCH("Reconocimiento Créditos",B73)))</formula>
    </cfRule>
  </conditionalFormatting>
  <conditionalFormatting sqref="B73">
    <cfRule type="expression" dxfId="4161" priority="770">
      <formula>AND(ISNUMBER(B73), OR(B73&gt;10, B73&lt;0))</formula>
    </cfRule>
  </conditionalFormatting>
  <conditionalFormatting sqref="B73">
    <cfRule type="expression" dxfId="4160" priority="769">
      <formula>AND(NOT(ISNUMBER(B73)), B73&lt;&gt;"NP", B73&lt;&gt;"Reconocimiento Créditos", B73&lt;&gt;"Aprobado en otro curso")</formula>
    </cfRule>
  </conditionalFormatting>
  <conditionalFormatting sqref="B73">
    <cfRule type="containsText" dxfId="4159" priority="768" operator="containsText" text="Reconocimiento Créditos">
      <formula>NOT(ISERROR(SEARCH("Reconocimiento Créditos",B73)))</formula>
    </cfRule>
  </conditionalFormatting>
  <conditionalFormatting sqref="B73">
    <cfRule type="containsText" dxfId="4158" priority="771" operator="containsText" text="Aprobado en otro curso">
      <formula>NOT(ISERROR(SEARCH("Aprobado en otro curso",B73)))</formula>
    </cfRule>
  </conditionalFormatting>
  <conditionalFormatting sqref="A74">
    <cfRule type="expression" dxfId="4157" priority="766">
      <formula>AND(OR(ROW()=CELL("row"),COLUMN()=CELL("col")),NOT(ISBLANK($C74)),NOT(ISBLANK($B74)),ROW()&gt;2,COLUMN()&gt;1)</formula>
    </cfRule>
  </conditionalFormatting>
  <conditionalFormatting sqref="A74">
    <cfRule type="expression" dxfId="4156" priority="765">
      <formula>SUM(--ISBLANK($B74:$J74))=COLUMNS($B74:$J74)</formula>
    </cfRule>
  </conditionalFormatting>
  <conditionalFormatting sqref="A74">
    <cfRule type="containsText" dxfId="4155" priority="767" operator="containsText" text="NP">
      <formula>NOT(ISERROR(SEARCH("NP",A74)))</formula>
    </cfRule>
  </conditionalFormatting>
  <conditionalFormatting sqref="A74">
    <cfRule type="expression" dxfId="4154" priority="764">
      <formula>ISBLANK(A74)</formula>
    </cfRule>
  </conditionalFormatting>
  <conditionalFormatting sqref="B74">
    <cfRule type="expression" dxfId="4153" priority="760">
      <formula>B74=""</formula>
    </cfRule>
    <cfRule type="containsText" dxfId="4152" priority="761" operator="containsText" text="NP">
      <formula>NOT(ISERROR(SEARCH("NP",B74)))</formula>
    </cfRule>
    <cfRule type="cellIs" dxfId="4151" priority="762" operator="lessThan">
      <formula>4.95</formula>
    </cfRule>
  </conditionalFormatting>
  <conditionalFormatting sqref="B74">
    <cfRule type="expression" dxfId="4150" priority="758">
      <formula>AND(OR(ROW()=CELL("row"),COLUMN()=CELL("col")),NOT(ISBLANK($C74)),NOT(ISBLANK($B74)),ROW()&gt;2,COLUMN()&gt;1)</formula>
    </cfRule>
  </conditionalFormatting>
  <conditionalFormatting sqref="B74">
    <cfRule type="expression" dxfId="4149" priority="757">
      <formula>SUM(--ISBLANK($B74:$J74))=COLUMNS($B74:$J74)</formula>
    </cfRule>
  </conditionalFormatting>
  <conditionalFormatting sqref="B74">
    <cfRule type="containsText" dxfId="4148" priority="759" operator="containsText" text="NP">
      <formula>NOT(ISERROR(SEARCH("NP",B74)))</formula>
    </cfRule>
  </conditionalFormatting>
  <conditionalFormatting sqref="B74">
    <cfRule type="cellIs" dxfId="4147" priority="763" operator="greaterThanOrEqual">
      <formula>4.95</formula>
    </cfRule>
  </conditionalFormatting>
  <conditionalFormatting sqref="B74">
    <cfRule type="expression" dxfId="4146" priority="756">
      <formula>ISBLANK(B74)</formula>
    </cfRule>
  </conditionalFormatting>
  <conditionalFormatting sqref="B74">
    <cfRule type="containsText" dxfId="4145" priority="755" operator="containsText" text="Reconocimiento Créditos">
      <formula>NOT(ISERROR(SEARCH("Reconocimiento Créditos",B74)))</formula>
    </cfRule>
  </conditionalFormatting>
  <conditionalFormatting sqref="B74">
    <cfRule type="expression" dxfId="4144" priority="753">
      <formula>AND(ISNUMBER(B74), OR(B74&gt;10, B74&lt;0))</formula>
    </cfRule>
  </conditionalFormatting>
  <conditionalFormatting sqref="B74">
    <cfRule type="expression" dxfId="4143" priority="752">
      <formula>AND(NOT(ISNUMBER(B74)), B74&lt;&gt;"NP", B74&lt;&gt;"Reconocimiento Créditos", B74&lt;&gt;"Aprobado en otro curso")</formula>
    </cfRule>
  </conditionalFormatting>
  <conditionalFormatting sqref="B74">
    <cfRule type="containsText" dxfId="4142" priority="751" operator="containsText" text="Reconocimiento Créditos">
      <formula>NOT(ISERROR(SEARCH("Reconocimiento Créditos",B74)))</formula>
    </cfRule>
  </conditionalFormatting>
  <conditionalFormatting sqref="B74">
    <cfRule type="containsText" dxfId="4141" priority="754" operator="containsText" text="Aprobado en otro curso">
      <formula>NOT(ISERROR(SEARCH("Aprobado en otro curso",B74)))</formula>
    </cfRule>
  </conditionalFormatting>
  <conditionalFormatting sqref="A75">
    <cfRule type="expression" dxfId="4140" priority="749">
      <formula>AND(OR(ROW()=CELL("row"),COLUMN()=CELL("col")),NOT(ISBLANK($C75)),NOT(ISBLANK($B75)),ROW()&gt;2,COLUMN()&gt;1)</formula>
    </cfRule>
  </conditionalFormatting>
  <conditionalFormatting sqref="A75">
    <cfRule type="expression" dxfId="4139" priority="748">
      <formula>SUM(--ISBLANK($B75:$J75))=COLUMNS($B75:$J75)</formula>
    </cfRule>
  </conditionalFormatting>
  <conditionalFormatting sqref="A75">
    <cfRule type="containsText" dxfId="4138" priority="750" operator="containsText" text="NP">
      <formula>NOT(ISERROR(SEARCH("NP",A75)))</formula>
    </cfRule>
  </conditionalFormatting>
  <conditionalFormatting sqref="A75">
    <cfRule type="expression" dxfId="4137" priority="747">
      <formula>ISBLANK(A75)</formula>
    </cfRule>
  </conditionalFormatting>
  <conditionalFormatting sqref="B75">
    <cfRule type="expression" dxfId="4136" priority="743">
      <formula>B75=""</formula>
    </cfRule>
    <cfRule type="containsText" dxfId="4135" priority="744" operator="containsText" text="NP">
      <formula>NOT(ISERROR(SEARCH("NP",B75)))</formula>
    </cfRule>
    <cfRule type="cellIs" dxfId="4134" priority="745" operator="lessThan">
      <formula>4.95</formula>
    </cfRule>
  </conditionalFormatting>
  <conditionalFormatting sqref="B75">
    <cfRule type="expression" dxfId="4133" priority="741">
      <formula>AND(OR(ROW()=CELL("row"),COLUMN()=CELL("col")),NOT(ISBLANK($C75)),NOT(ISBLANK($B75)),ROW()&gt;2,COLUMN()&gt;1)</formula>
    </cfRule>
  </conditionalFormatting>
  <conditionalFormatting sqref="B75">
    <cfRule type="expression" dxfId="4132" priority="740">
      <formula>SUM(--ISBLANK($B75:$J75))=COLUMNS($B75:$J75)</formula>
    </cfRule>
  </conditionalFormatting>
  <conditionalFormatting sqref="B75">
    <cfRule type="containsText" dxfId="4131" priority="742" operator="containsText" text="NP">
      <formula>NOT(ISERROR(SEARCH("NP",B75)))</formula>
    </cfRule>
  </conditionalFormatting>
  <conditionalFormatting sqref="B75">
    <cfRule type="cellIs" dxfId="4130" priority="746" operator="greaterThanOrEqual">
      <formula>4.95</formula>
    </cfRule>
  </conditionalFormatting>
  <conditionalFormatting sqref="B75">
    <cfRule type="expression" dxfId="4129" priority="739">
      <formula>ISBLANK(B75)</formula>
    </cfRule>
  </conditionalFormatting>
  <conditionalFormatting sqref="B75">
    <cfRule type="containsText" dxfId="4128" priority="738" operator="containsText" text="Reconocimiento Créditos">
      <formula>NOT(ISERROR(SEARCH("Reconocimiento Créditos",B75)))</formula>
    </cfRule>
  </conditionalFormatting>
  <conditionalFormatting sqref="B75">
    <cfRule type="expression" dxfId="4127" priority="736">
      <formula>AND(ISNUMBER(B75), OR(B75&gt;10, B75&lt;0))</formula>
    </cfRule>
  </conditionalFormatting>
  <conditionalFormatting sqref="B75">
    <cfRule type="expression" dxfId="4126" priority="735">
      <formula>AND(NOT(ISNUMBER(B75)), B75&lt;&gt;"NP", B75&lt;&gt;"Reconocimiento Créditos", B75&lt;&gt;"Aprobado en otro curso")</formula>
    </cfRule>
  </conditionalFormatting>
  <conditionalFormatting sqref="B75">
    <cfRule type="containsText" dxfId="4125" priority="734" operator="containsText" text="Reconocimiento Créditos">
      <formula>NOT(ISERROR(SEARCH("Reconocimiento Créditos",B75)))</formula>
    </cfRule>
  </conditionalFormatting>
  <conditionalFormatting sqref="B75">
    <cfRule type="containsText" dxfId="4124" priority="737" operator="containsText" text="Aprobado en otro curso">
      <formula>NOT(ISERROR(SEARCH("Aprobado en otro curso",B75)))</formula>
    </cfRule>
  </conditionalFormatting>
  <conditionalFormatting sqref="A76">
    <cfRule type="expression" dxfId="4123" priority="732">
      <formula>AND(OR(ROW()=CELL("row"),COLUMN()=CELL("col")),NOT(ISBLANK($C76)),NOT(ISBLANK($B76)),ROW()&gt;2,COLUMN()&gt;1)</formula>
    </cfRule>
  </conditionalFormatting>
  <conditionalFormatting sqref="A76">
    <cfRule type="expression" dxfId="4122" priority="731">
      <formula>SUM(--ISBLANK($B76:$J76))=COLUMNS($B76:$J76)</formula>
    </cfRule>
  </conditionalFormatting>
  <conditionalFormatting sqref="A76">
    <cfRule type="containsText" dxfId="4121" priority="733" operator="containsText" text="NP">
      <formula>NOT(ISERROR(SEARCH("NP",A76)))</formula>
    </cfRule>
  </conditionalFormatting>
  <conditionalFormatting sqref="A76">
    <cfRule type="expression" dxfId="4120" priority="730">
      <formula>ISBLANK(A76)</formula>
    </cfRule>
  </conditionalFormatting>
  <conditionalFormatting sqref="B76">
    <cfRule type="expression" dxfId="4119" priority="726">
      <formula>B76=""</formula>
    </cfRule>
    <cfRule type="containsText" dxfId="4118" priority="727" operator="containsText" text="NP">
      <formula>NOT(ISERROR(SEARCH("NP",B76)))</formula>
    </cfRule>
    <cfRule type="cellIs" dxfId="4117" priority="728" operator="lessThan">
      <formula>4.95</formula>
    </cfRule>
  </conditionalFormatting>
  <conditionalFormatting sqref="B76">
    <cfRule type="expression" dxfId="4116" priority="724">
      <formula>AND(OR(ROW()=CELL("row"),COLUMN()=CELL("col")),NOT(ISBLANK($C76)),NOT(ISBLANK($B76)),ROW()&gt;2,COLUMN()&gt;1)</formula>
    </cfRule>
  </conditionalFormatting>
  <conditionalFormatting sqref="B76">
    <cfRule type="expression" dxfId="4115" priority="723">
      <formula>SUM(--ISBLANK($B76:$J76))=COLUMNS($B76:$J76)</formula>
    </cfRule>
  </conditionalFormatting>
  <conditionalFormatting sqref="B76">
    <cfRule type="containsText" dxfId="4114" priority="725" operator="containsText" text="NP">
      <formula>NOT(ISERROR(SEARCH("NP",B76)))</formula>
    </cfRule>
  </conditionalFormatting>
  <conditionalFormatting sqref="B76">
    <cfRule type="cellIs" dxfId="4113" priority="729" operator="greaterThanOrEqual">
      <formula>4.95</formula>
    </cfRule>
  </conditionalFormatting>
  <conditionalFormatting sqref="B76">
    <cfRule type="expression" dxfId="4112" priority="722">
      <formula>ISBLANK(B76)</formula>
    </cfRule>
  </conditionalFormatting>
  <conditionalFormatting sqref="B76">
    <cfRule type="containsText" dxfId="4111" priority="721" operator="containsText" text="Reconocimiento Créditos">
      <formula>NOT(ISERROR(SEARCH("Reconocimiento Créditos",B76)))</formula>
    </cfRule>
  </conditionalFormatting>
  <conditionalFormatting sqref="B76">
    <cfRule type="expression" dxfId="4110" priority="719">
      <formula>AND(ISNUMBER(B76), OR(B76&gt;10, B76&lt;0))</formula>
    </cfRule>
  </conditionalFormatting>
  <conditionalFormatting sqref="B76">
    <cfRule type="expression" dxfId="4109" priority="718">
      <formula>AND(NOT(ISNUMBER(B76)), B76&lt;&gt;"NP", B76&lt;&gt;"Reconocimiento Créditos", B76&lt;&gt;"Aprobado en otro curso")</formula>
    </cfRule>
  </conditionalFormatting>
  <conditionalFormatting sqref="B76">
    <cfRule type="containsText" dxfId="4108" priority="717" operator="containsText" text="Reconocimiento Créditos">
      <formula>NOT(ISERROR(SEARCH("Reconocimiento Créditos",B76)))</formula>
    </cfRule>
  </conditionalFormatting>
  <conditionalFormatting sqref="B76">
    <cfRule type="containsText" dxfId="4107" priority="720" operator="containsText" text="Aprobado en otro curso">
      <formula>NOT(ISERROR(SEARCH("Aprobado en otro curso",B76)))</formula>
    </cfRule>
  </conditionalFormatting>
  <conditionalFormatting sqref="A77">
    <cfRule type="expression" dxfId="4106" priority="715">
      <formula>AND(OR(ROW()=CELL("row"),COLUMN()=CELL("col")),NOT(ISBLANK($C77)),NOT(ISBLANK($B77)),ROW()&gt;2,COLUMN()&gt;1)</formula>
    </cfRule>
  </conditionalFormatting>
  <conditionalFormatting sqref="A77">
    <cfRule type="expression" dxfId="4105" priority="714">
      <formula>SUM(--ISBLANK($B77:$J77))=COLUMNS($B77:$J77)</formula>
    </cfRule>
  </conditionalFormatting>
  <conditionalFormatting sqref="A77">
    <cfRule type="containsText" dxfId="4104" priority="716" operator="containsText" text="NP">
      <formula>NOT(ISERROR(SEARCH("NP",A77)))</formula>
    </cfRule>
  </conditionalFormatting>
  <conditionalFormatting sqref="A77">
    <cfRule type="expression" dxfId="4103" priority="713">
      <formula>ISBLANK(A77)</formula>
    </cfRule>
  </conditionalFormatting>
  <conditionalFormatting sqref="B77">
    <cfRule type="expression" dxfId="4102" priority="709">
      <formula>B77=""</formula>
    </cfRule>
    <cfRule type="containsText" dxfId="4101" priority="710" operator="containsText" text="NP">
      <formula>NOT(ISERROR(SEARCH("NP",B77)))</formula>
    </cfRule>
    <cfRule type="cellIs" dxfId="4100" priority="711" operator="lessThan">
      <formula>4.95</formula>
    </cfRule>
  </conditionalFormatting>
  <conditionalFormatting sqref="B77">
    <cfRule type="expression" dxfId="4099" priority="707">
      <formula>AND(OR(ROW()=CELL("row"),COLUMN()=CELL("col")),NOT(ISBLANK($C77)),NOT(ISBLANK($B77)),ROW()&gt;2,COLUMN()&gt;1)</formula>
    </cfRule>
  </conditionalFormatting>
  <conditionalFormatting sqref="B77">
    <cfRule type="expression" dxfId="4098" priority="706">
      <formula>SUM(--ISBLANK($B77:$J77))=COLUMNS($B77:$J77)</formula>
    </cfRule>
  </conditionalFormatting>
  <conditionalFormatting sqref="B77">
    <cfRule type="containsText" dxfId="4097" priority="708" operator="containsText" text="NP">
      <formula>NOT(ISERROR(SEARCH("NP",B77)))</formula>
    </cfRule>
  </conditionalFormatting>
  <conditionalFormatting sqref="B77">
    <cfRule type="cellIs" dxfId="4096" priority="712" operator="greaterThanOrEqual">
      <formula>4.95</formula>
    </cfRule>
  </conditionalFormatting>
  <conditionalFormatting sqref="B77">
    <cfRule type="expression" dxfId="4095" priority="705">
      <formula>ISBLANK(B77)</formula>
    </cfRule>
  </conditionalFormatting>
  <conditionalFormatting sqref="B77">
    <cfRule type="containsText" dxfId="4094" priority="704" operator="containsText" text="Reconocimiento Créditos">
      <formula>NOT(ISERROR(SEARCH("Reconocimiento Créditos",B77)))</formula>
    </cfRule>
  </conditionalFormatting>
  <conditionalFormatting sqref="B77">
    <cfRule type="expression" dxfId="4093" priority="702">
      <formula>AND(ISNUMBER(B77), OR(B77&gt;10, B77&lt;0))</formula>
    </cfRule>
  </conditionalFormatting>
  <conditionalFormatting sqref="B77">
    <cfRule type="expression" dxfId="4092" priority="701">
      <formula>AND(NOT(ISNUMBER(B77)), B77&lt;&gt;"NP", B77&lt;&gt;"Reconocimiento Créditos", B77&lt;&gt;"Aprobado en otro curso")</formula>
    </cfRule>
  </conditionalFormatting>
  <conditionalFormatting sqref="B77">
    <cfRule type="containsText" dxfId="4091" priority="700" operator="containsText" text="Reconocimiento Créditos">
      <formula>NOT(ISERROR(SEARCH("Reconocimiento Créditos",B77)))</formula>
    </cfRule>
  </conditionalFormatting>
  <conditionalFormatting sqref="B77">
    <cfRule type="containsText" dxfId="4090" priority="703" operator="containsText" text="Aprobado en otro curso">
      <formula>NOT(ISERROR(SEARCH("Aprobado en otro curso",B77)))</formula>
    </cfRule>
  </conditionalFormatting>
  <conditionalFormatting sqref="A78">
    <cfRule type="expression" dxfId="4089" priority="698">
      <formula>AND(OR(ROW()=CELL("row"),COLUMN()=CELL("col")),NOT(ISBLANK($C78)),NOT(ISBLANK($B78)),ROW()&gt;2,COLUMN()&gt;1)</formula>
    </cfRule>
  </conditionalFormatting>
  <conditionalFormatting sqref="A78">
    <cfRule type="expression" dxfId="4088" priority="697">
      <formula>SUM(--ISBLANK($B78:$J78))=COLUMNS($B78:$J78)</formula>
    </cfRule>
  </conditionalFormatting>
  <conditionalFormatting sqref="A78">
    <cfRule type="containsText" dxfId="4087" priority="699" operator="containsText" text="NP">
      <formula>NOT(ISERROR(SEARCH("NP",A78)))</formula>
    </cfRule>
  </conditionalFormatting>
  <conditionalFormatting sqref="A78">
    <cfRule type="expression" dxfId="4086" priority="696">
      <formula>ISBLANK(A78)</formula>
    </cfRule>
  </conditionalFormatting>
  <conditionalFormatting sqref="B78">
    <cfRule type="expression" dxfId="4085" priority="692">
      <formula>B78=""</formula>
    </cfRule>
    <cfRule type="containsText" dxfId="4084" priority="693" operator="containsText" text="NP">
      <formula>NOT(ISERROR(SEARCH("NP",B78)))</formula>
    </cfRule>
    <cfRule type="cellIs" dxfId="4083" priority="694" operator="lessThan">
      <formula>4.95</formula>
    </cfRule>
  </conditionalFormatting>
  <conditionalFormatting sqref="B78">
    <cfRule type="expression" dxfId="4082" priority="690">
      <formula>AND(OR(ROW()=CELL("row"),COLUMN()=CELL("col")),NOT(ISBLANK($C78)),NOT(ISBLANK($B78)),ROW()&gt;2,COLUMN()&gt;1)</formula>
    </cfRule>
  </conditionalFormatting>
  <conditionalFormatting sqref="B78">
    <cfRule type="expression" dxfId="4081" priority="689">
      <formula>SUM(--ISBLANK($B78:$J78))=COLUMNS($B78:$J78)</formula>
    </cfRule>
  </conditionalFormatting>
  <conditionalFormatting sqref="B78">
    <cfRule type="containsText" dxfId="4080" priority="691" operator="containsText" text="NP">
      <formula>NOT(ISERROR(SEARCH("NP",B78)))</formula>
    </cfRule>
  </conditionalFormatting>
  <conditionalFormatting sqref="B78">
    <cfRule type="cellIs" dxfId="4079" priority="695" operator="greaterThanOrEqual">
      <formula>4.95</formula>
    </cfRule>
  </conditionalFormatting>
  <conditionalFormatting sqref="B78">
    <cfRule type="expression" dxfId="4078" priority="688">
      <formula>ISBLANK(B78)</formula>
    </cfRule>
  </conditionalFormatting>
  <conditionalFormatting sqref="B78">
    <cfRule type="containsText" dxfId="4077" priority="687" operator="containsText" text="Reconocimiento Créditos">
      <formula>NOT(ISERROR(SEARCH("Reconocimiento Créditos",B78)))</formula>
    </cfRule>
  </conditionalFormatting>
  <conditionalFormatting sqref="B78">
    <cfRule type="expression" dxfId="4076" priority="685">
      <formula>AND(ISNUMBER(B78), OR(B78&gt;10, B78&lt;0))</formula>
    </cfRule>
  </conditionalFormatting>
  <conditionalFormatting sqref="B78">
    <cfRule type="expression" dxfId="4075" priority="684">
      <formula>AND(NOT(ISNUMBER(B78)), B78&lt;&gt;"NP", B78&lt;&gt;"Reconocimiento Créditos", B78&lt;&gt;"Aprobado en otro curso")</formula>
    </cfRule>
  </conditionalFormatting>
  <conditionalFormatting sqref="B78">
    <cfRule type="containsText" dxfId="4074" priority="683" operator="containsText" text="Reconocimiento Créditos">
      <formula>NOT(ISERROR(SEARCH("Reconocimiento Créditos",B78)))</formula>
    </cfRule>
  </conditionalFormatting>
  <conditionalFormatting sqref="B78">
    <cfRule type="containsText" dxfId="4073" priority="686" operator="containsText" text="Aprobado en otro curso">
      <formula>NOT(ISERROR(SEARCH("Aprobado en otro curso",B78)))</formula>
    </cfRule>
  </conditionalFormatting>
  <conditionalFormatting sqref="A79">
    <cfRule type="expression" dxfId="4072" priority="681">
      <formula>AND(OR(ROW()=CELL("row"),COLUMN()=CELL("col")),NOT(ISBLANK($C79)),NOT(ISBLANK($B79)),ROW()&gt;2,COLUMN()&gt;1)</formula>
    </cfRule>
  </conditionalFormatting>
  <conditionalFormatting sqref="A79">
    <cfRule type="expression" dxfId="4071" priority="680">
      <formula>SUM(--ISBLANK($B79:$J79))=COLUMNS($B79:$J79)</formula>
    </cfRule>
  </conditionalFormatting>
  <conditionalFormatting sqref="A79">
    <cfRule type="containsText" dxfId="4070" priority="682" operator="containsText" text="NP">
      <formula>NOT(ISERROR(SEARCH("NP",A79)))</formula>
    </cfRule>
  </conditionalFormatting>
  <conditionalFormatting sqref="A79">
    <cfRule type="expression" dxfId="4069" priority="679">
      <formula>ISBLANK(A79)</formula>
    </cfRule>
  </conditionalFormatting>
  <conditionalFormatting sqref="B79">
    <cfRule type="expression" dxfId="4068" priority="675">
      <formula>B79=""</formula>
    </cfRule>
    <cfRule type="containsText" dxfId="4067" priority="676" operator="containsText" text="NP">
      <formula>NOT(ISERROR(SEARCH("NP",B79)))</formula>
    </cfRule>
    <cfRule type="cellIs" dxfId="4066" priority="677" operator="lessThan">
      <formula>4.95</formula>
    </cfRule>
  </conditionalFormatting>
  <conditionalFormatting sqref="B79">
    <cfRule type="expression" dxfId="4065" priority="673">
      <formula>AND(OR(ROW()=CELL("row"),COLUMN()=CELL("col")),NOT(ISBLANK($C79)),NOT(ISBLANK($B79)),ROW()&gt;2,COLUMN()&gt;1)</formula>
    </cfRule>
  </conditionalFormatting>
  <conditionalFormatting sqref="B79">
    <cfRule type="expression" dxfId="4064" priority="672">
      <formula>SUM(--ISBLANK($B79:$J79))=COLUMNS($B79:$J79)</formula>
    </cfRule>
  </conditionalFormatting>
  <conditionalFormatting sqref="B79">
    <cfRule type="containsText" dxfId="4063" priority="674" operator="containsText" text="NP">
      <formula>NOT(ISERROR(SEARCH("NP",B79)))</formula>
    </cfRule>
  </conditionalFormatting>
  <conditionalFormatting sqref="B79">
    <cfRule type="cellIs" dxfId="4062" priority="678" operator="greaterThanOrEqual">
      <formula>4.95</formula>
    </cfRule>
  </conditionalFormatting>
  <conditionalFormatting sqref="B79">
    <cfRule type="expression" dxfId="4061" priority="671">
      <formula>ISBLANK(B79)</formula>
    </cfRule>
  </conditionalFormatting>
  <conditionalFormatting sqref="B79">
    <cfRule type="containsText" dxfId="4060" priority="670" operator="containsText" text="Reconocimiento Créditos">
      <formula>NOT(ISERROR(SEARCH("Reconocimiento Créditos",B79)))</formula>
    </cfRule>
  </conditionalFormatting>
  <conditionalFormatting sqref="B79">
    <cfRule type="expression" dxfId="4059" priority="668">
      <formula>AND(ISNUMBER(B79), OR(B79&gt;10, B79&lt;0))</formula>
    </cfRule>
  </conditionalFormatting>
  <conditionalFormatting sqref="B79">
    <cfRule type="expression" dxfId="4058" priority="667">
      <formula>AND(NOT(ISNUMBER(B79)), B79&lt;&gt;"NP", B79&lt;&gt;"Reconocimiento Créditos", B79&lt;&gt;"Aprobado en otro curso")</formula>
    </cfRule>
  </conditionalFormatting>
  <conditionalFormatting sqref="B79">
    <cfRule type="containsText" dxfId="4057" priority="666" operator="containsText" text="Reconocimiento Créditos">
      <formula>NOT(ISERROR(SEARCH("Reconocimiento Créditos",B79)))</formula>
    </cfRule>
  </conditionalFormatting>
  <conditionalFormatting sqref="B79">
    <cfRule type="containsText" dxfId="4056" priority="669" operator="containsText" text="Aprobado en otro curso">
      <formula>NOT(ISERROR(SEARCH("Aprobado en otro curso",B79)))</formula>
    </cfRule>
  </conditionalFormatting>
  <conditionalFormatting sqref="A80">
    <cfRule type="expression" dxfId="4055" priority="664">
      <formula>AND(OR(ROW()=CELL("row"),COLUMN()=CELL("col")),NOT(ISBLANK($C80)),NOT(ISBLANK($B80)),ROW()&gt;2,COLUMN()&gt;1)</formula>
    </cfRule>
  </conditionalFormatting>
  <conditionalFormatting sqref="A80">
    <cfRule type="expression" dxfId="4054" priority="663">
      <formula>SUM(--ISBLANK($B80:$J80))=COLUMNS($B80:$J80)</formula>
    </cfRule>
  </conditionalFormatting>
  <conditionalFormatting sqref="A80">
    <cfRule type="containsText" dxfId="4053" priority="665" operator="containsText" text="NP">
      <formula>NOT(ISERROR(SEARCH("NP",A80)))</formula>
    </cfRule>
  </conditionalFormatting>
  <conditionalFormatting sqref="A80">
    <cfRule type="expression" dxfId="4052" priority="662">
      <formula>ISBLANK(A80)</formula>
    </cfRule>
  </conditionalFormatting>
  <conditionalFormatting sqref="B80">
    <cfRule type="expression" dxfId="4051" priority="658">
      <formula>B80=""</formula>
    </cfRule>
    <cfRule type="containsText" dxfId="4050" priority="659" operator="containsText" text="NP">
      <formula>NOT(ISERROR(SEARCH("NP",B80)))</formula>
    </cfRule>
    <cfRule type="cellIs" dxfId="4049" priority="660" operator="lessThan">
      <formula>4.95</formula>
    </cfRule>
  </conditionalFormatting>
  <conditionalFormatting sqref="B80">
    <cfRule type="expression" dxfId="4048" priority="656">
      <formula>AND(OR(ROW()=CELL("row"),COLUMN()=CELL("col")),NOT(ISBLANK($C80)),NOT(ISBLANK($B80)),ROW()&gt;2,COLUMN()&gt;1)</formula>
    </cfRule>
  </conditionalFormatting>
  <conditionalFormatting sqref="B80">
    <cfRule type="expression" dxfId="4047" priority="655">
      <formula>SUM(--ISBLANK($B80:$J80))=COLUMNS($B80:$J80)</formula>
    </cfRule>
  </conditionalFormatting>
  <conditionalFormatting sqref="B80">
    <cfRule type="containsText" dxfId="4046" priority="657" operator="containsText" text="NP">
      <formula>NOT(ISERROR(SEARCH("NP",B80)))</formula>
    </cfRule>
  </conditionalFormatting>
  <conditionalFormatting sqref="B80">
    <cfRule type="cellIs" dxfId="4045" priority="661" operator="greaterThanOrEqual">
      <formula>4.95</formula>
    </cfRule>
  </conditionalFormatting>
  <conditionalFormatting sqref="B80">
    <cfRule type="expression" dxfId="4044" priority="654">
      <formula>ISBLANK(B80)</formula>
    </cfRule>
  </conditionalFormatting>
  <conditionalFormatting sqref="B80">
    <cfRule type="containsText" dxfId="4043" priority="653" operator="containsText" text="Reconocimiento Créditos">
      <formula>NOT(ISERROR(SEARCH("Reconocimiento Créditos",B80)))</formula>
    </cfRule>
  </conditionalFormatting>
  <conditionalFormatting sqref="B80">
    <cfRule type="expression" dxfId="4042" priority="651">
      <formula>AND(ISNUMBER(B80), OR(B80&gt;10, B80&lt;0))</formula>
    </cfRule>
  </conditionalFormatting>
  <conditionalFormatting sqref="B80">
    <cfRule type="expression" dxfId="4041" priority="650">
      <formula>AND(NOT(ISNUMBER(B80)), B80&lt;&gt;"NP", B80&lt;&gt;"Reconocimiento Créditos", B80&lt;&gt;"Aprobado en otro curso")</formula>
    </cfRule>
  </conditionalFormatting>
  <conditionalFormatting sqref="B80">
    <cfRule type="containsText" dxfId="4040" priority="649" operator="containsText" text="Reconocimiento Créditos">
      <formula>NOT(ISERROR(SEARCH("Reconocimiento Créditos",B80)))</formula>
    </cfRule>
  </conditionalFormatting>
  <conditionalFormatting sqref="B80">
    <cfRule type="containsText" dxfId="4039" priority="652" operator="containsText" text="Aprobado en otro curso">
      <formula>NOT(ISERROR(SEARCH("Aprobado en otro curso",B80)))</formula>
    </cfRule>
  </conditionalFormatting>
  <conditionalFormatting sqref="A81">
    <cfRule type="expression" dxfId="4038" priority="647">
      <formula>AND(OR(ROW()=CELL("row"),COLUMN()=CELL("col")),NOT(ISBLANK($C81)),NOT(ISBLANK($B81)),ROW()&gt;2,COLUMN()&gt;1)</formula>
    </cfRule>
  </conditionalFormatting>
  <conditionalFormatting sqref="A81">
    <cfRule type="expression" dxfId="4037" priority="646">
      <formula>SUM(--ISBLANK($B81:$J81))=COLUMNS($B81:$J81)</formula>
    </cfRule>
  </conditionalFormatting>
  <conditionalFormatting sqref="A81">
    <cfRule type="containsText" dxfId="4036" priority="648" operator="containsText" text="NP">
      <formula>NOT(ISERROR(SEARCH("NP",A81)))</formula>
    </cfRule>
  </conditionalFormatting>
  <conditionalFormatting sqref="A81">
    <cfRule type="expression" dxfId="4035" priority="645">
      <formula>ISBLANK(A81)</formula>
    </cfRule>
  </conditionalFormatting>
  <conditionalFormatting sqref="B81">
    <cfRule type="expression" dxfId="4034" priority="641">
      <formula>B81=""</formula>
    </cfRule>
    <cfRule type="containsText" dxfId="4033" priority="642" operator="containsText" text="NP">
      <formula>NOT(ISERROR(SEARCH("NP",B81)))</formula>
    </cfRule>
    <cfRule type="cellIs" dxfId="4032" priority="643" operator="lessThan">
      <formula>4.95</formula>
    </cfRule>
  </conditionalFormatting>
  <conditionalFormatting sqref="B81">
    <cfRule type="expression" dxfId="4031" priority="639">
      <formula>AND(OR(ROW()=CELL("row"),COLUMN()=CELL("col")),NOT(ISBLANK($C81)),NOT(ISBLANK($B81)),ROW()&gt;2,COLUMN()&gt;1)</formula>
    </cfRule>
  </conditionalFormatting>
  <conditionalFormatting sqref="B81">
    <cfRule type="expression" dxfId="4030" priority="638">
      <formula>SUM(--ISBLANK($B81:$J81))=COLUMNS($B81:$J81)</formula>
    </cfRule>
  </conditionalFormatting>
  <conditionalFormatting sqref="B81">
    <cfRule type="containsText" dxfId="4029" priority="640" operator="containsText" text="NP">
      <formula>NOT(ISERROR(SEARCH("NP",B81)))</formula>
    </cfRule>
  </conditionalFormatting>
  <conditionalFormatting sqref="B81">
    <cfRule type="cellIs" dxfId="4028" priority="644" operator="greaterThanOrEqual">
      <formula>4.95</formula>
    </cfRule>
  </conditionalFormatting>
  <conditionalFormatting sqref="B81">
    <cfRule type="expression" dxfId="4027" priority="637">
      <formula>ISBLANK(B81)</formula>
    </cfRule>
  </conditionalFormatting>
  <conditionalFormatting sqref="B81">
    <cfRule type="containsText" dxfId="4026" priority="636" operator="containsText" text="Reconocimiento Créditos">
      <formula>NOT(ISERROR(SEARCH("Reconocimiento Créditos",B81)))</formula>
    </cfRule>
  </conditionalFormatting>
  <conditionalFormatting sqref="B81">
    <cfRule type="expression" dxfId="4025" priority="634">
      <formula>AND(ISNUMBER(B81), OR(B81&gt;10, B81&lt;0))</formula>
    </cfRule>
  </conditionalFormatting>
  <conditionalFormatting sqref="B81">
    <cfRule type="expression" dxfId="4024" priority="633">
      <formula>AND(NOT(ISNUMBER(B81)), B81&lt;&gt;"NP", B81&lt;&gt;"Reconocimiento Créditos", B81&lt;&gt;"Aprobado en otro curso")</formula>
    </cfRule>
  </conditionalFormatting>
  <conditionalFormatting sqref="B81">
    <cfRule type="containsText" dxfId="4023" priority="632" operator="containsText" text="Reconocimiento Créditos">
      <formula>NOT(ISERROR(SEARCH("Reconocimiento Créditos",B81)))</formula>
    </cfRule>
  </conditionalFormatting>
  <conditionalFormatting sqref="B81">
    <cfRule type="containsText" dxfId="4022" priority="635" operator="containsText" text="Aprobado en otro curso">
      <formula>NOT(ISERROR(SEARCH("Aprobado en otro curso",B81)))</formula>
    </cfRule>
  </conditionalFormatting>
  <conditionalFormatting sqref="A82">
    <cfRule type="expression" dxfId="4021" priority="630">
      <formula>AND(OR(ROW()=CELL("row"),COLUMN()=CELL("col")),NOT(ISBLANK($C82)),NOT(ISBLANK($B82)),ROW()&gt;2,COLUMN()&gt;1)</formula>
    </cfRule>
  </conditionalFormatting>
  <conditionalFormatting sqref="A82">
    <cfRule type="expression" dxfId="4020" priority="629">
      <formula>SUM(--ISBLANK($B82:$J82))=COLUMNS($B82:$J82)</formula>
    </cfRule>
  </conditionalFormatting>
  <conditionalFormatting sqref="A82">
    <cfRule type="containsText" dxfId="4019" priority="631" operator="containsText" text="NP">
      <formula>NOT(ISERROR(SEARCH("NP",A82)))</formula>
    </cfRule>
  </conditionalFormatting>
  <conditionalFormatting sqref="A82">
    <cfRule type="expression" dxfId="4018" priority="628">
      <formula>ISBLANK(A82)</formula>
    </cfRule>
  </conditionalFormatting>
  <conditionalFormatting sqref="B82">
    <cfRule type="expression" dxfId="4017" priority="624">
      <formula>B82=""</formula>
    </cfRule>
    <cfRule type="containsText" dxfId="4016" priority="625" operator="containsText" text="NP">
      <formula>NOT(ISERROR(SEARCH("NP",B82)))</formula>
    </cfRule>
    <cfRule type="cellIs" dxfId="4015" priority="626" operator="lessThan">
      <formula>4.95</formula>
    </cfRule>
  </conditionalFormatting>
  <conditionalFormatting sqref="B82">
    <cfRule type="expression" dxfId="4014" priority="622">
      <formula>AND(OR(ROW()=CELL("row"),COLUMN()=CELL("col")),NOT(ISBLANK($C82)),NOT(ISBLANK($B82)),ROW()&gt;2,COLUMN()&gt;1)</formula>
    </cfRule>
  </conditionalFormatting>
  <conditionalFormatting sqref="B82">
    <cfRule type="expression" dxfId="4013" priority="621">
      <formula>SUM(--ISBLANK($B82:$J82))=COLUMNS($B82:$J82)</formula>
    </cfRule>
  </conditionalFormatting>
  <conditionalFormatting sqref="B82">
    <cfRule type="containsText" dxfId="4012" priority="623" operator="containsText" text="NP">
      <formula>NOT(ISERROR(SEARCH("NP",B82)))</formula>
    </cfRule>
  </conditionalFormatting>
  <conditionalFormatting sqref="B82">
    <cfRule type="cellIs" dxfId="4011" priority="627" operator="greaterThanOrEqual">
      <formula>4.95</formula>
    </cfRule>
  </conditionalFormatting>
  <conditionalFormatting sqref="B82">
    <cfRule type="expression" dxfId="4010" priority="620">
      <formula>ISBLANK(B82)</formula>
    </cfRule>
  </conditionalFormatting>
  <conditionalFormatting sqref="B82">
    <cfRule type="containsText" dxfId="4009" priority="619" operator="containsText" text="Reconocimiento Créditos">
      <formula>NOT(ISERROR(SEARCH("Reconocimiento Créditos",B82)))</formula>
    </cfRule>
  </conditionalFormatting>
  <conditionalFormatting sqref="B82">
    <cfRule type="expression" dxfId="4008" priority="617">
      <formula>AND(ISNUMBER(B82), OR(B82&gt;10, B82&lt;0))</formula>
    </cfRule>
  </conditionalFormatting>
  <conditionalFormatting sqref="B82">
    <cfRule type="expression" dxfId="4007" priority="616">
      <formula>AND(NOT(ISNUMBER(B82)), B82&lt;&gt;"NP", B82&lt;&gt;"Reconocimiento Créditos", B82&lt;&gt;"Aprobado en otro curso")</formula>
    </cfRule>
  </conditionalFormatting>
  <conditionalFormatting sqref="B82">
    <cfRule type="containsText" dxfId="4006" priority="615" operator="containsText" text="Reconocimiento Créditos">
      <formula>NOT(ISERROR(SEARCH("Reconocimiento Créditos",B82)))</formula>
    </cfRule>
  </conditionalFormatting>
  <conditionalFormatting sqref="B82">
    <cfRule type="containsText" dxfId="4005" priority="618" operator="containsText" text="Aprobado en otro curso">
      <formula>NOT(ISERROR(SEARCH("Aprobado en otro curso",B82)))</formula>
    </cfRule>
  </conditionalFormatting>
  <conditionalFormatting sqref="A83">
    <cfRule type="expression" dxfId="4004" priority="613">
      <formula>AND(OR(ROW()=CELL("row"),COLUMN()=CELL("col")),NOT(ISBLANK($C83)),NOT(ISBLANK($B83)),ROW()&gt;2,COLUMN()&gt;1)</formula>
    </cfRule>
  </conditionalFormatting>
  <conditionalFormatting sqref="A83">
    <cfRule type="expression" dxfId="4003" priority="612">
      <formula>SUM(--ISBLANK($B83:$J83))=COLUMNS($B83:$J83)</formula>
    </cfRule>
  </conditionalFormatting>
  <conditionalFormatting sqref="A83">
    <cfRule type="containsText" dxfId="4002" priority="614" operator="containsText" text="NP">
      <formula>NOT(ISERROR(SEARCH("NP",A83)))</formula>
    </cfRule>
  </conditionalFormatting>
  <conditionalFormatting sqref="A83">
    <cfRule type="expression" dxfId="4001" priority="611">
      <formula>ISBLANK(A83)</formula>
    </cfRule>
  </conditionalFormatting>
  <conditionalFormatting sqref="B83">
    <cfRule type="expression" dxfId="4000" priority="607">
      <formula>B83=""</formula>
    </cfRule>
    <cfRule type="containsText" dxfId="3999" priority="608" operator="containsText" text="NP">
      <formula>NOT(ISERROR(SEARCH("NP",B83)))</formula>
    </cfRule>
    <cfRule type="cellIs" dxfId="3998" priority="609" operator="lessThan">
      <formula>4.95</formula>
    </cfRule>
  </conditionalFormatting>
  <conditionalFormatting sqref="B83">
    <cfRule type="expression" dxfId="3997" priority="605">
      <formula>AND(OR(ROW()=CELL("row"),COLUMN()=CELL("col")),NOT(ISBLANK($C83)),NOT(ISBLANK($B83)),ROW()&gt;2,COLUMN()&gt;1)</formula>
    </cfRule>
  </conditionalFormatting>
  <conditionalFormatting sqref="B83">
    <cfRule type="expression" dxfId="3996" priority="604">
      <formula>SUM(--ISBLANK($B83:$J83))=COLUMNS($B83:$J83)</formula>
    </cfRule>
  </conditionalFormatting>
  <conditionalFormatting sqref="B83">
    <cfRule type="containsText" dxfId="3995" priority="606" operator="containsText" text="NP">
      <formula>NOT(ISERROR(SEARCH("NP",B83)))</formula>
    </cfRule>
  </conditionalFormatting>
  <conditionalFormatting sqref="B83">
    <cfRule type="cellIs" dxfId="3994" priority="610" operator="greaterThanOrEqual">
      <formula>4.95</formula>
    </cfRule>
  </conditionalFormatting>
  <conditionalFormatting sqref="B83">
    <cfRule type="expression" dxfId="3993" priority="603">
      <formula>ISBLANK(B83)</formula>
    </cfRule>
  </conditionalFormatting>
  <conditionalFormatting sqref="B83">
    <cfRule type="containsText" dxfId="3992" priority="602" operator="containsText" text="Reconocimiento Créditos">
      <formula>NOT(ISERROR(SEARCH("Reconocimiento Créditos",B83)))</formula>
    </cfRule>
  </conditionalFormatting>
  <conditionalFormatting sqref="B83">
    <cfRule type="expression" dxfId="3991" priority="600">
      <formula>AND(ISNUMBER(B83), OR(B83&gt;10, B83&lt;0))</formula>
    </cfRule>
  </conditionalFormatting>
  <conditionalFormatting sqref="B83">
    <cfRule type="expression" dxfId="3990" priority="599">
      <formula>AND(NOT(ISNUMBER(B83)), B83&lt;&gt;"NP", B83&lt;&gt;"Reconocimiento Créditos", B83&lt;&gt;"Aprobado en otro curso")</formula>
    </cfRule>
  </conditionalFormatting>
  <conditionalFormatting sqref="B83">
    <cfRule type="containsText" dxfId="3989" priority="598" operator="containsText" text="Reconocimiento Créditos">
      <formula>NOT(ISERROR(SEARCH("Reconocimiento Créditos",B83)))</formula>
    </cfRule>
  </conditionalFormatting>
  <conditionalFormatting sqref="B83">
    <cfRule type="containsText" dxfId="3988" priority="601" operator="containsText" text="Aprobado en otro curso">
      <formula>NOT(ISERROR(SEARCH("Aprobado en otro curso",B83)))</formula>
    </cfRule>
  </conditionalFormatting>
  <conditionalFormatting sqref="A84">
    <cfRule type="expression" dxfId="3987" priority="596">
      <formula>AND(OR(ROW()=CELL("row"),COLUMN()=CELL("col")),NOT(ISBLANK($C84)),NOT(ISBLANK($B84)),ROW()&gt;2,COLUMN()&gt;1)</formula>
    </cfRule>
  </conditionalFormatting>
  <conditionalFormatting sqref="A84">
    <cfRule type="expression" dxfId="3986" priority="595">
      <formula>SUM(--ISBLANK($B84:$J84))=COLUMNS($B84:$J84)</formula>
    </cfRule>
  </conditionalFormatting>
  <conditionalFormatting sqref="A84">
    <cfRule type="containsText" dxfId="3985" priority="597" operator="containsText" text="NP">
      <formula>NOT(ISERROR(SEARCH("NP",A84)))</formula>
    </cfRule>
  </conditionalFormatting>
  <conditionalFormatting sqref="A84">
    <cfRule type="expression" dxfId="3984" priority="594">
      <formula>ISBLANK(A84)</formula>
    </cfRule>
  </conditionalFormatting>
  <conditionalFormatting sqref="B84">
    <cfRule type="expression" dxfId="3983" priority="590">
      <formula>B84=""</formula>
    </cfRule>
    <cfRule type="containsText" dxfId="3982" priority="591" operator="containsText" text="NP">
      <formula>NOT(ISERROR(SEARCH("NP",B84)))</formula>
    </cfRule>
    <cfRule type="cellIs" dxfId="3981" priority="592" operator="lessThan">
      <formula>4.95</formula>
    </cfRule>
  </conditionalFormatting>
  <conditionalFormatting sqref="B84">
    <cfRule type="expression" dxfId="3980" priority="588">
      <formula>AND(OR(ROW()=CELL("row"),COLUMN()=CELL("col")),NOT(ISBLANK($C84)),NOT(ISBLANK($B84)),ROW()&gt;2,COLUMN()&gt;1)</formula>
    </cfRule>
  </conditionalFormatting>
  <conditionalFormatting sqref="B84">
    <cfRule type="expression" dxfId="3979" priority="587">
      <formula>SUM(--ISBLANK($B84:$J84))=COLUMNS($B84:$J84)</formula>
    </cfRule>
  </conditionalFormatting>
  <conditionalFormatting sqref="B84">
    <cfRule type="containsText" dxfId="3978" priority="589" operator="containsText" text="NP">
      <formula>NOT(ISERROR(SEARCH("NP",B84)))</formula>
    </cfRule>
  </conditionalFormatting>
  <conditionalFormatting sqref="B84">
    <cfRule type="cellIs" dxfId="3977" priority="593" operator="greaterThanOrEqual">
      <formula>4.95</formula>
    </cfRule>
  </conditionalFormatting>
  <conditionalFormatting sqref="B84">
    <cfRule type="expression" dxfId="3976" priority="586">
      <formula>ISBLANK(B84)</formula>
    </cfRule>
  </conditionalFormatting>
  <conditionalFormatting sqref="B84">
    <cfRule type="containsText" dxfId="3975" priority="585" operator="containsText" text="Reconocimiento Créditos">
      <formula>NOT(ISERROR(SEARCH("Reconocimiento Créditos",B84)))</formula>
    </cfRule>
  </conditionalFormatting>
  <conditionalFormatting sqref="B84">
    <cfRule type="expression" dxfId="3974" priority="583">
      <formula>AND(ISNUMBER(B84), OR(B84&gt;10, B84&lt;0))</formula>
    </cfRule>
  </conditionalFormatting>
  <conditionalFormatting sqref="B84">
    <cfRule type="expression" dxfId="3973" priority="582">
      <formula>AND(NOT(ISNUMBER(B84)), B84&lt;&gt;"NP", B84&lt;&gt;"Reconocimiento Créditos", B84&lt;&gt;"Aprobado en otro curso")</formula>
    </cfRule>
  </conditionalFormatting>
  <conditionalFormatting sqref="B84">
    <cfRule type="containsText" dxfId="3972" priority="581" operator="containsText" text="Reconocimiento Créditos">
      <formula>NOT(ISERROR(SEARCH("Reconocimiento Créditos",B84)))</formula>
    </cfRule>
  </conditionalFormatting>
  <conditionalFormatting sqref="B84">
    <cfRule type="containsText" dxfId="3971" priority="584" operator="containsText" text="Aprobado en otro curso">
      <formula>NOT(ISERROR(SEARCH("Aprobado en otro curso",B84)))</formula>
    </cfRule>
  </conditionalFormatting>
  <conditionalFormatting sqref="A85">
    <cfRule type="containsText" dxfId="3970" priority="577" operator="containsText" text="NP">
      <formula>NOT(ISERROR(SEARCH("NP",A85)))</formula>
    </cfRule>
    <cfRule type="cellIs" dxfId="3969" priority="578" operator="lessThan">
      <formula>5</formula>
    </cfRule>
  </conditionalFormatting>
  <conditionalFormatting sqref="A85">
    <cfRule type="expression" dxfId="3968" priority="575">
      <formula>SUM(--ISBLANK($B85:$J85))=COLUMNS($B85:$J85)</formula>
    </cfRule>
  </conditionalFormatting>
  <conditionalFormatting sqref="A85">
    <cfRule type="containsText" dxfId="3967" priority="576" operator="containsText" text="NP">
      <formula>NOT(ISERROR(SEARCH("NP",A85)))</formula>
    </cfRule>
  </conditionalFormatting>
  <conditionalFormatting sqref="A85">
    <cfRule type="expression" dxfId="3966" priority="579">
      <formula>AND(OR(ROW()=CELL("row"),COLUMN()=CELL("col")),NOT(ISBLANK(#REF!)),NOT(ISBLANK(#REF!)),ROW()&gt;2,COLUMN()&gt;1)</formula>
    </cfRule>
  </conditionalFormatting>
  <conditionalFormatting sqref="A85">
    <cfRule type="expression" dxfId="3965" priority="580">
      <formula>SUM(--ISBLANK($B85:$F85))=COLUMNS($B85:$F85)</formula>
    </cfRule>
  </conditionalFormatting>
  <conditionalFormatting sqref="A85">
    <cfRule type="expression" dxfId="3964" priority="574">
      <formula>AND(OR(ROW()=CELL("row"),COLUMN()=CELL("col")),NOT(ISBLANK($C85)),NOT(ISBLANK($B85)),ROW()&gt;2,COLUMN()&gt;1)</formula>
    </cfRule>
  </conditionalFormatting>
  <conditionalFormatting sqref="A85">
    <cfRule type="expression" dxfId="3963" priority="573">
      <formula>ISBLANK(A85)</formula>
    </cfRule>
  </conditionalFormatting>
  <conditionalFormatting sqref="B85">
    <cfRule type="containsText" dxfId="3962" priority="572" operator="containsText" text="NP">
      <formula>NOT(ISERROR(SEARCH("NP",B85)))</formula>
    </cfRule>
  </conditionalFormatting>
  <conditionalFormatting sqref="B85">
    <cfRule type="expression" dxfId="3961" priority="571">
      <formula>ISBLANK(B85)</formula>
    </cfRule>
  </conditionalFormatting>
  <conditionalFormatting sqref="B85">
    <cfRule type="containsText" dxfId="3960" priority="570" operator="containsText" text="Reconocimiento Créditos">
      <formula>NOT(ISERROR(SEARCH("Reconocimiento Créditos",B85)))</formula>
    </cfRule>
  </conditionalFormatting>
  <conditionalFormatting sqref="B85">
    <cfRule type="expression" dxfId="3959" priority="568">
      <formula>AND(ISNUMBER(B85), OR(B85&gt;10, B85&lt;0))</formula>
    </cfRule>
  </conditionalFormatting>
  <conditionalFormatting sqref="B85">
    <cfRule type="containsText" dxfId="3958" priority="567" operator="containsText" text="Reconocimiento Créditos">
      <formula>NOT(ISERROR(SEARCH("Reconocimiento Créditos",B85)))</formula>
    </cfRule>
  </conditionalFormatting>
  <conditionalFormatting sqref="B85">
    <cfRule type="containsText" dxfId="3957" priority="569" operator="containsText" text="Aprobado en otro curso">
      <formula>NOT(ISERROR(SEARCH("Aprobado en otro curso",B85)))</formula>
    </cfRule>
  </conditionalFormatting>
  <conditionalFormatting sqref="A86">
    <cfRule type="expression" dxfId="3956" priority="565">
      <formula>AND(OR(ROW()=CELL("row"),COLUMN()=CELL("col")),NOT(ISBLANK($C86)),NOT(ISBLANK($B86)),ROW()&gt;2,COLUMN()&gt;1)</formula>
    </cfRule>
  </conditionalFormatting>
  <conditionalFormatting sqref="A86">
    <cfRule type="expression" dxfId="3955" priority="564">
      <formula>SUM(--ISBLANK($B86:$J86))=COLUMNS($B86:$J86)</formula>
    </cfRule>
  </conditionalFormatting>
  <conditionalFormatting sqref="A86">
    <cfRule type="containsText" dxfId="3954" priority="566" operator="containsText" text="NP">
      <formula>NOT(ISERROR(SEARCH("NP",A86)))</formula>
    </cfRule>
  </conditionalFormatting>
  <conditionalFormatting sqref="A86">
    <cfRule type="expression" dxfId="3953" priority="563">
      <formula>ISBLANK(A86)</formula>
    </cfRule>
  </conditionalFormatting>
  <conditionalFormatting sqref="B86">
    <cfRule type="expression" dxfId="3952" priority="559">
      <formula>B86=""</formula>
    </cfRule>
    <cfRule type="containsText" dxfId="3951" priority="560" operator="containsText" text="NP">
      <formula>NOT(ISERROR(SEARCH("NP",B86)))</formula>
    </cfRule>
    <cfRule type="cellIs" dxfId="3950" priority="561" operator="lessThan">
      <formula>4.95</formula>
    </cfRule>
  </conditionalFormatting>
  <conditionalFormatting sqref="B86">
    <cfRule type="expression" dxfId="3949" priority="557">
      <formula>AND(OR(ROW()=CELL("row"),COLUMN()=CELL("col")),NOT(ISBLANK($C86)),NOT(ISBLANK($B86)),ROW()&gt;2,COLUMN()&gt;1)</formula>
    </cfRule>
  </conditionalFormatting>
  <conditionalFormatting sqref="B86">
    <cfRule type="expression" dxfId="3948" priority="556">
      <formula>SUM(--ISBLANK($B86:$J86))=COLUMNS($B86:$J86)</formula>
    </cfRule>
  </conditionalFormatting>
  <conditionalFormatting sqref="B86">
    <cfRule type="containsText" dxfId="3947" priority="558" operator="containsText" text="NP">
      <formula>NOT(ISERROR(SEARCH("NP",B86)))</formula>
    </cfRule>
  </conditionalFormatting>
  <conditionalFormatting sqref="B86">
    <cfRule type="cellIs" dxfId="3946" priority="562" operator="greaterThanOrEqual">
      <formula>4.95</formula>
    </cfRule>
  </conditionalFormatting>
  <conditionalFormatting sqref="B86">
    <cfRule type="expression" dxfId="3945" priority="555">
      <formula>ISBLANK(B86)</formula>
    </cfRule>
  </conditionalFormatting>
  <conditionalFormatting sqref="B86">
    <cfRule type="containsText" dxfId="3944" priority="554" operator="containsText" text="Reconocimiento Créditos">
      <formula>NOT(ISERROR(SEARCH("Reconocimiento Créditos",B86)))</formula>
    </cfRule>
  </conditionalFormatting>
  <conditionalFormatting sqref="B86">
    <cfRule type="expression" dxfId="3943" priority="552">
      <formula>AND(ISNUMBER(B86), OR(B86&gt;10, B86&lt;0))</formula>
    </cfRule>
  </conditionalFormatting>
  <conditionalFormatting sqref="B86">
    <cfRule type="containsText" dxfId="3942" priority="551" operator="containsText" text="Reconocimiento Créditos">
      <formula>NOT(ISERROR(SEARCH("Reconocimiento Créditos",B86)))</formula>
    </cfRule>
  </conditionalFormatting>
  <conditionalFormatting sqref="B86">
    <cfRule type="containsText" dxfId="3941" priority="553" operator="containsText" text="Aprobado en otro curso">
      <formula>NOT(ISERROR(SEARCH("Aprobado en otro curso",B86)))</formula>
    </cfRule>
  </conditionalFormatting>
  <conditionalFormatting sqref="A87">
    <cfRule type="expression" dxfId="3940" priority="549">
      <formula>AND(OR(ROW()=CELL("row"),COLUMN()=CELL("col")),NOT(ISBLANK($C87)),NOT(ISBLANK($B87)),ROW()&gt;2,COLUMN()&gt;1)</formula>
    </cfRule>
  </conditionalFormatting>
  <conditionalFormatting sqref="A87">
    <cfRule type="expression" dxfId="3939" priority="548">
      <formula>SUM(--ISBLANK($B87:$J87))=COLUMNS($B87:$J87)</formula>
    </cfRule>
  </conditionalFormatting>
  <conditionalFormatting sqref="A87">
    <cfRule type="containsText" dxfId="3938" priority="550" operator="containsText" text="NP">
      <formula>NOT(ISERROR(SEARCH("NP",A87)))</formula>
    </cfRule>
  </conditionalFormatting>
  <conditionalFormatting sqref="A87">
    <cfRule type="expression" dxfId="3937" priority="547">
      <formula>ISBLANK(A87)</formula>
    </cfRule>
  </conditionalFormatting>
  <conditionalFormatting sqref="B87">
    <cfRule type="expression" dxfId="3936" priority="543">
      <formula>B87=""</formula>
    </cfRule>
    <cfRule type="containsText" dxfId="3935" priority="544" operator="containsText" text="NP">
      <formula>NOT(ISERROR(SEARCH("NP",B87)))</formula>
    </cfRule>
    <cfRule type="cellIs" dxfId="3934" priority="545" operator="lessThan">
      <formula>4.95</formula>
    </cfRule>
  </conditionalFormatting>
  <conditionalFormatting sqref="B87">
    <cfRule type="expression" dxfId="3933" priority="541">
      <formula>AND(OR(ROW()=CELL("row"),COLUMN()=CELL("col")),NOT(ISBLANK($C87)),NOT(ISBLANK($B87)),ROW()&gt;2,COLUMN()&gt;1)</formula>
    </cfRule>
  </conditionalFormatting>
  <conditionalFormatting sqref="B87">
    <cfRule type="expression" dxfId="3932" priority="540">
      <formula>SUM(--ISBLANK($B87:$J87))=COLUMNS($B87:$J87)</formula>
    </cfRule>
  </conditionalFormatting>
  <conditionalFormatting sqref="B87">
    <cfRule type="containsText" dxfId="3931" priority="542" operator="containsText" text="NP">
      <formula>NOT(ISERROR(SEARCH("NP",B87)))</formula>
    </cfRule>
  </conditionalFormatting>
  <conditionalFormatting sqref="B87">
    <cfRule type="cellIs" dxfId="3930" priority="546" operator="greaterThanOrEqual">
      <formula>4.95</formula>
    </cfRule>
  </conditionalFormatting>
  <conditionalFormatting sqref="B87">
    <cfRule type="expression" dxfId="3929" priority="539">
      <formula>ISBLANK(B87)</formula>
    </cfRule>
  </conditionalFormatting>
  <conditionalFormatting sqref="B87">
    <cfRule type="containsText" dxfId="3928" priority="538" operator="containsText" text="Reconocimiento Créditos">
      <formula>NOT(ISERROR(SEARCH("Reconocimiento Créditos",B87)))</formula>
    </cfRule>
  </conditionalFormatting>
  <conditionalFormatting sqref="B87">
    <cfRule type="expression" dxfId="3927" priority="536">
      <formula>AND(ISNUMBER(B87), OR(B87&gt;10, B87&lt;0))</formula>
    </cfRule>
  </conditionalFormatting>
  <conditionalFormatting sqref="B87">
    <cfRule type="containsText" dxfId="3926" priority="535" operator="containsText" text="Reconocimiento Créditos">
      <formula>NOT(ISERROR(SEARCH("Reconocimiento Créditos",B87)))</formula>
    </cfRule>
  </conditionalFormatting>
  <conditionalFormatting sqref="B87">
    <cfRule type="containsText" dxfId="3925" priority="537" operator="containsText" text="Aprobado en otro curso">
      <formula>NOT(ISERROR(SEARCH("Aprobado en otro curso",B87)))</formula>
    </cfRule>
  </conditionalFormatting>
  <conditionalFormatting sqref="A88">
    <cfRule type="expression" dxfId="3924" priority="533">
      <formula>AND(OR(ROW()=CELL("row"),COLUMN()=CELL("col")),NOT(ISBLANK($C88)),NOT(ISBLANK($B88)),ROW()&gt;2,COLUMN()&gt;1)</formula>
    </cfRule>
  </conditionalFormatting>
  <conditionalFormatting sqref="A88">
    <cfRule type="expression" dxfId="3923" priority="532">
      <formula>SUM(--ISBLANK($B88:$J88))=COLUMNS($B88:$J88)</formula>
    </cfRule>
  </conditionalFormatting>
  <conditionalFormatting sqref="A88">
    <cfRule type="containsText" dxfId="3922" priority="534" operator="containsText" text="NP">
      <formula>NOT(ISERROR(SEARCH("NP",A88)))</formula>
    </cfRule>
  </conditionalFormatting>
  <conditionalFormatting sqref="A88">
    <cfRule type="expression" dxfId="3921" priority="531">
      <formula>ISBLANK(A88)</formula>
    </cfRule>
  </conditionalFormatting>
  <conditionalFormatting sqref="B88">
    <cfRule type="expression" dxfId="3920" priority="527">
      <formula>B88=""</formula>
    </cfRule>
    <cfRule type="containsText" dxfId="3919" priority="528" operator="containsText" text="NP">
      <formula>NOT(ISERROR(SEARCH("NP",B88)))</formula>
    </cfRule>
    <cfRule type="cellIs" dxfId="3918" priority="529" operator="lessThan">
      <formula>4.95</formula>
    </cfRule>
  </conditionalFormatting>
  <conditionalFormatting sqref="B88">
    <cfRule type="expression" dxfId="3917" priority="525">
      <formula>AND(OR(ROW()=CELL("row"),COLUMN()=CELL("col")),NOT(ISBLANK($C88)),NOT(ISBLANK($B88)),ROW()&gt;2,COLUMN()&gt;1)</formula>
    </cfRule>
  </conditionalFormatting>
  <conditionalFormatting sqref="B88">
    <cfRule type="expression" dxfId="3916" priority="524">
      <formula>SUM(--ISBLANK($B88:$J88))=COLUMNS($B88:$J88)</formula>
    </cfRule>
  </conditionalFormatting>
  <conditionalFormatting sqref="B88">
    <cfRule type="containsText" dxfId="3915" priority="526" operator="containsText" text="NP">
      <formula>NOT(ISERROR(SEARCH("NP",B88)))</formula>
    </cfRule>
  </conditionalFormatting>
  <conditionalFormatting sqref="B88">
    <cfRule type="cellIs" dxfId="3914" priority="530" operator="greaterThanOrEqual">
      <formula>4.95</formula>
    </cfRule>
  </conditionalFormatting>
  <conditionalFormatting sqref="B88">
    <cfRule type="expression" dxfId="3913" priority="523">
      <formula>ISBLANK(B88)</formula>
    </cfRule>
  </conditionalFormatting>
  <conditionalFormatting sqref="B88">
    <cfRule type="containsText" dxfId="3912" priority="522" operator="containsText" text="Reconocimiento Créditos">
      <formula>NOT(ISERROR(SEARCH("Reconocimiento Créditos",B88)))</formula>
    </cfRule>
  </conditionalFormatting>
  <conditionalFormatting sqref="B88">
    <cfRule type="expression" dxfId="3911" priority="520">
      <formula>AND(ISNUMBER(B88), OR(B88&gt;10, B88&lt;0))</formula>
    </cfRule>
  </conditionalFormatting>
  <conditionalFormatting sqref="B88">
    <cfRule type="expression" dxfId="3910" priority="519">
      <formula>AND(NOT(ISNUMBER(B88)), B88&lt;&gt;"NP", B88&lt;&gt;"Reconocimiento Créditos", B88&lt;&gt;"Aprobado en otro curso")</formula>
    </cfRule>
  </conditionalFormatting>
  <conditionalFormatting sqref="B88">
    <cfRule type="containsText" dxfId="3909" priority="518" operator="containsText" text="Reconocimiento Créditos">
      <formula>NOT(ISERROR(SEARCH("Reconocimiento Créditos",B88)))</formula>
    </cfRule>
  </conditionalFormatting>
  <conditionalFormatting sqref="B88">
    <cfRule type="containsText" dxfId="3908" priority="521" operator="containsText" text="Aprobado en otro curso">
      <formula>NOT(ISERROR(SEARCH("Aprobado en otro curso",B88)))</formula>
    </cfRule>
  </conditionalFormatting>
  <conditionalFormatting sqref="A89">
    <cfRule type="expression" dxfId="3907" priority="516">
      <formula>AND(OR(ROW()=CELL("row"),COLUMN()=CELL("col")),NOT(ISBLANK($C89)),NOT(ISBLANK($B89)),ROW()&gt;2,COLUMN()&gt;1)</formula>
    </cfRule>
  </conditionalFormatting>
  <conditionalFormatting sqref="A89">
    <cfRule type="expression" dxfId="3906" priority="515">
      <formula>SUM(--ISBLANK($B89:$J89))=COLUMNS($B89:$J89)</formula>
    </cfRule>
  </conditionalFormatting>
  <conditionalFormatting sqref="A89">
    <cfRule type="containsText" dxfId="3905" priority="517" operator="containsText" text="NP">
      <formula>NOT(ISERROR(SEARCH("NP",A89)))</formula>
    </cfRule>
  </conditionalFormatting>
  <conditionalFormatting sqref="A89">
    <cfRule type="expression" dxfId="3904" priority="514">
      <formula>ISBLANK(A89)</formula>
    </cfRule>
  </conditionalFormatting>
  <conditionalFormatting sqref="B89">
    <cfRule type="expression" dxfId="3903" priority="510">
      <formula>B89=""</formula>
    </cfRule>
    <cfRule type="containsText" dxfId="3902" priority="511" operator="containsText" text="NP">
      <formula>NOT(ISERROR(SEARCH("NP",B89)))</formula>
    </cfRule>
    <cfRule type="cellIs" dxfId="3901" priority="512" operator="lessThan">
      <formula>4.95</formula>
    </cfRule>
  </conditionalFormatting>
  <conditionalFormatting sqref="B89">
    <cfRule type="expression" dxfId="3900" priority="508">
      <formula>AND(OR(ROW()=CELL("row"),COLUMN()=CELL("col")),NOT(ISBLANK($C89)),NOT(ISBLANK($B89)),ROW()&gt;2,COLUMN()&gt;1)</formula>
    </cfRule>
  </conditionalFormatting>
  <conditionalFormatting sqref="B89">
    <cfRule type="expression" dxfId="3899" priority="507">
      <formula>SUM(--ISBLANK($B89:$J89))=COLUMNS($B89:$J89)</formula>
    </cfRule>
  </conditionalFormatting>
  <conditionalFormatting sqref="B89">
    <cfRule type="containsText" dxfId="3898" priority="509" operator="containsText" text="NP">
      <formula>NOT(ISERROR(SEARCH("NP",B89)))</formula>
    </cfRule>
  </conditionalFormatting>
  <conditionalFormatting sqref="B89">
    <cfRule type="cellIs" dxfId="3897" priority="513" operator="greaterThanOrEqual">
      <formula>4.95</formula>
    </cfRule>
  </conditionalFormatting>
  <conditionalFormatting sqref="B89">
    <cfRule type="expression" dxfId="3896" priority="506">
      <formula>ISBLANK(B89)</formula>
    </cfRule>
  </conditionalFormatting>
  <conditionalFormatting sqref="B89">
    <cfRule type="containsText" dxfId="3895" priority="505" operator="containsText" text="Reconocimiento Créditos">
      <formula>NOT(ISERROR(SEARCH("Reconocimiento Créditos",B89)))</formula>
    </cfRule>
  </conditionalFormatting>
  <conditionalFormatting sqref="B89">
    <cfRule type="expression" dxfId="3894" priority="503">
      <formula>AND(ISNUMBER(B89), OR(B89&gt;10, B89&lt;0))</formula>
    </cfRule>
  </conditionalFormatting>
  <conditionalFormatting sqref="B89">
    <cfRule type="expression" dxfId="3893" priority="502">
      <formula>AND(NOT(ISNUMBER(B89)), B89&lt;&gt;"NP", B89&lt;&gt;"Reconocimiento Créditos", B89&lt;&gt;"Aprobado en otro curso")</formula>
    </cfRule>
  </conditionalFormatting>
  <conditionalFormatting sqref="B89">
    <cfRule type="containsText" dxfId="3892" priority="501" operator="containsText" text="Reconocimiento Créditos">
      <formula>NOT(ISERROR(SEARCH("Reconocimiento Créditos",B89)))</formula>
    </cfRule>
  </conditionalFormatting>
  <conditionalFormatting sqref="B89">
    <cfRule type="containsText" dxfId="3891" priority="504" operator="containsText" text="Aprobado en otro curso">
      <formula>NOT(ISERROR(SEARCH("Aprobado en otro curso",B89)))</formula>
    </cfRule>
  </conditionalFormatting>
  <conditionalFormatting sqref="A90">
    <cfRule type="expression" dxfId="3890" priority="499">
      <formula>AND(OR(ROW()=CELL("row"),COLUMN()=CELL("col")),NOT(ISBLANK($C90)),NOT(ISBLANK($B90)),ROW()&gt;2,COLUMN()&gt;1)</formula>
    </cfRule>
  </conditionalFormatting>
  <conditionalFormatting sqref="A90">
    <cfRule type="expression" dxfId="3889" priority="498">
      <formula>SUM(--ISBLANK($B90:$J90))=COLUMNS($B90:$J90)</formula>
    </cfRule>
  </conditionalFormatting>
  <conditionalFormatting sqref="A90">
    <cfRule type="containsText" dxfId="3888" priority="500" operator="containsText" text="NP">
      <formula>NOT(ISERROR(SEARCH("NP",A90)))</formula>
    </cfRule>
  </conditionalFormatting>
  <conditionalFormatting sqref="A90">
    <cfRule type="expression" dxfId="3887" priority="497">
      <formula>ISBLANK(A90)</formula>
    </cfRule>
  </conditionalFormatting>
  <conditionalFormatting sqref="B90">
    <cfRule type="containsText" dxfId="3886" priority="495" operator="containsText" text="NP">
      <formula>NOT(ISERROR(SEARCH("NP",B90)))</formula>
    </cfRule>
    <cfRule type="cellIs" dxfId="3885" priority="496" operator="lessThan">
      <formula>5</formula>
    </cfRule>
  </conditionalFormatting>
  <conditionalFormatting sqref="B90">
    <cfRule type="expression" dxfId="3884" priority="493">
      <formula>AND(OR(ROW()=CELL("row"),COLUMN()=CELL("col")),NOT(ISBLANK($C90)),NOT(ISBLANK($B90)),ROW()&gt;2,COLUMN()&gt;1)</formula>
    </cfRule>
  </conditionalFormatting>
  <conditionalFormatting sqref="B90">
    <cfRule type="expression" dxfId="3883" priority="492">
      <formula>SUM(--ISBLANK($B90:$J90))=COLUMNS($B90:$J90)</formula>
    </cfRule>
  </conditionalFormatting>
  <conditionalFormatting sqref="B90">
    <cfRule type="containsText" dxfId="3882" priority="494" operator="containsText" text="NP">
      <formula>NOT(ISERROR(SEARCH("NP",B90)))</formula>
    </cfRule>
  </conditionalFormatting>
  <conditionalFormatting sqref="B90">
    <cfRule type="expression" dxfId="3881" priority="491">
      <formula>ISBLANK(B90)</formula>
    </cfRule>
  </conditionalFormatting>
  <conditionalFormatting sqref="B90">
    <cfRule type="containsText" dxfId="3880" priority="490" operator="containsText" text="Reconocimiento Créditos">
      <formula>NOT(ISERROR(SEARCH("Reconocimiento Créditos",B90)))</formula>
    </cfRule>
  </conditionalFormatting>
  <conditionalFormatting sqref="B90">
    <cfRule type="expression" dxfId="3879" priority="488">
      <formula>AND(ISNUMBER(B90), OR(B90&gt;10, B90&lt;0))</formula>
    </cfRule>
  </conditionalFormatting>
  <conditionalFormatting sqref="B90">
    <cfRule type="expression" dxfId="3878" priority="487">
      <formula>AND(NOT(ISNUMBER(B90)), B90&lt;&gt;"NP", B90&lt;&gt;"Reconocimiento Créditos", B90&lt;&gt;"Aprobado en otro curso")</formula>
    </cfRule>
  </conditionalFormatting>
  <conditionalFormatting sqref="B90">
    <cfRule type="containsText" dxfId="3877" priority="486" operator="containsText" text="Reconocimiento Créditos">
      <formula>NOT(ISERROR(SEARCH("Reconocimiento Créditos",B90)))</formula>
    </cfRule>
  </conditionalFormatting>
  <conditionalFormatting sqref="B90">
    <cfRule type="containsText" dxfId="3876" priority="489" operator="containsText" text="Aprobado en otro curso">
      <formula>NOT(ISERROR(SEARCH("Aprobado en otro curso",B90)))</formula>
    </cfRule>
  </conditionalFormatting>
  <conditionalFormatting sqref="A91">
    <cfRule type="expression" dxfId="3875" priority="484">
      <formula>AND(OR(ROW()=CELL("row"),COLUMN()=CELL("col")),NOT(ISBLANK($C91)),NOT(ISBLANK($B91)),ROW()&gt;2,COLUMN()&gt;1)</formula>
    </cfRule>
  </conditionalFormatting>
  <conditionalFormatting sqref="A91">
    <cfRule type="expression" dxfId="3874" priority="483">
      <formula>SUM(--ISBLANK($B91:$J91))=COLUMNS($B91:$J91)</formula>
    </cfRule>
  </conditionalFormatting>
  <conditionalFormatting sqref="A91">
    <cfRule type="containsText" dxfId="3873" priority="485" operator="containsText" text="NP">
      <formula>NOT(ISERROR(SEARCH("NP",A91)))</formula>
    </cfRule>
  </conditionalFormatting>
  <conditionalFormatting sqref="A91">
    <cfRule type="expression" dxfId="3872" priority="482">
      <formula>ISBLANK(A91)</formula>
    </cfRule>
  </conditionalFormatting>
  <conditionalFormatting sqref="B91">
    <cfRule type="expression" dxfId="3871" priority="478">
      <formula>B91=""</formula>
    </cfRule>
    <cfRule type="containsText" dxfId="3870" priority="479" operator="containsText" text="NP">
      <formula>NOT(ISERROR(SEARCH("NP",B91)))</formula>
    </cfRule>
    <cfRule type="cellIs" dxfId="3869" priority="480" operator="lessThan">
      <formula>4.95</formula>
    </cfRule>
  </conditionalFormatting>
  <conditionalFormatting sqref="B91">
    <cfRule type="expression" dxfId="3868" priority="476">
      <formula>AND(OR(ROW()=CELL("row"),COLUMN()=CELL("col")),NOT(ISBLANK($C91)),NOT(ISBLANK($B91)),ROW()&gt;2,COLUMN()&gt;1)</formula>
    </cfRule>
  </conditionalFormatting>
  <conditionalFormatting sqref="B91">
    <cfRule type="expression" dxfId="3867" priority="475">
      <formula>SUM(--ISBLANK($B91:$J91))=COLUMNS($B91:$J91)</formula>
    </cfRule>
  </conditionalFormatting>
  <conditionalFormatting sqref="B91">
    <cfRule type="containsText" dxfId="3866" priority="477" operator="containsText" text="NP">
      <formula>NOT(ISERROR(SEARCH("NP",B91)))</formula>
    </cfRule>
  </conditionalFormatting>
  <conditionalFormatting sqref="B91">
    <cfRule type="cellIs" dxfId="3865" priority="481" operator="greaterThanOrEqual">
      <formula>4.95</formula>
    </cfRule>
  </conditionalFormatting>
  <conditionalFormatting sqref="B91">
    <cfRule type="expression" dxfId="3864" priority="474">
      <formula>ISBLANK(B91)</formula>
    </cfRule>
  </conditionalFormatting>
  <conditionalFormatting sqref="B91">
    <cfRule type="containsText" dxfId="3863" priority="473" operator="containsText" text="Reconocimiento Créditos">
      <formula>NOT(ISERROR(SEARCH("Reconocimiento Créditos",B91)))</formula>
    </cfRule>
  </conditionalFormatting>
  <conditionalFormatting sqref="B91">
    <cfRule type="expression" dxfId="3862" priority="471">
      <formula>AND(ISNUMBER(B91), OR(B91&gt;10, B91&lt;0))</formula>
    </cfRule>
  </conditionalFormatting>
  <conditionalFormatting sqref="B91">
    <cfRule type="expression" dxfId="3861" priority="470">
      <formula>AND(NOT(ISNUMBER(B91)), B91&lt;&gt;"NP", B91&lt;&gt;"Reconocimiento Créditos", B91&lt;&gt;"Aprobado en otro curso")</formula>
    </cfRule>
  </conditionalFormatting>
  <conditionalFormatting sqref="B91">
    <cfRule type="containsText" dxfId="3860" priority="469" operator="containsText" text="Reconocimiento Créditos">
      <formula>NOT(ISERROR(SEARCH("Reconocimiento Créditos",B91)))</formula>
    </cfRule>
  </conditionalFormatting>
  <conditionalFormatting sqref="B91">
    <cfRule type="containsText" dxfId="3859" priority="472" operator="containsText" text="Aprobado en otro curso">
      <formula>NOT(ISERROR(SEARCH("Aprobado en otro curso",B91)))</formula>
    </cfRule>
  </conditionalFormatting>
  <conditionalFormatting sqref="A92">
    <cfRule type="expression" dxfId="3858" priority="467">
      <formula>AND(OR(ROW()=CELL("row"),COLUMN()=CELL("col")),NOT(ISBLANK($C92)),NOT(ISBLANK($B92)),ROW()&gt;2,COLUMN()&gt;1)</formula>
    </cfRule>
  </conditionalFormatting>
  <conditionalFormatting sqref="A92">
    <cfRule type="expression" dxfId="3857" priority="466">
      <formula>SUM(--ISBLANK($B92:$J92))=COLUMNS($B92:$J92)</formula>
    </cfRule>
  </conditionalFormatting>
  <conditionalFormatting sqref="A92">
    <cfRule type="containsText" dxfId="3856" priority="468" operator="containsText" text="NP">
      <formula>NOT(ISERROR(SEARCH("NP",A92)))</formula>
    </cfRule>
  </conditionalFormatting>
  <conditionalFormatting sqref="A92">
    <cfRule type="expression" dxfId="3855" priority="465">
      <formula>ISBLANK(A92)</formula>
    </cfRule>
  </conditionalFormatting>
  <conditionalFormatting sqref="B92">
    <cfRule type="expression" dxfId="3854" priority="461">
      <formula>B92=""</formula>
    </cfRule>
    <cfRule type="containsText" dxfId="3853" priority="462" operator="containsText" text="NP">
      <formula>NOT(ISERROR(SEARCH("NP",B92)))</formula>
    </cfRule>
    <cfRule type="cellIs" dxfId="3852" priority="463" operator="lessThan">
      <formula>4.95</formula>
    </cfRule>
  </conditionalFormatting>
  <conditionalFormatting sqref="B92">
    <cfRule type="expression" dxfId="3851" priority="459">
      <formula>AND(OR(ROW()=CELL("row"),COLUMN()=CELL("col")),NOT(ISBLANK($C92)),NOT(ISBLANK($B92)),ROW()&gt;2,COLUMN()&gt;1)</formula>
    </cfRule>
  </conditionalFormatting>
  <conditionalFormatting sqref="B92">
    <cfRule type="expression" dxfId="3850" priority="458">
      <formula>SUM(--ISBLANK($B92:$J92))=COLUMNS($B92:$J92)</formula>
    </cfRule>
  </conditionalFormatting>
  <conditionalFormatting sqref="B92">
    <cfRule type="containsText" dxfId="3849" priority="460" operator="containsText" text="NP">
      <formula>NOT(ISERROR(SEARCH("NP",B92)))</formula>
    </cfRule>
  </conditionalFormatting>
  <conditionalFormatting sqref="B92">
    <cfRule type="cellIs" dxfId="3848" priority="464" operator="greaterThanOrEqual">
      <formula>4.95</formula>
    </cfRule>
  </conditionalFormatting>
  <conditionalFormatting sqref="B92">
    <cfRule type="expression" dxfId="3847" priority="457">
      <formula>ISBLANK(B92)</formula>
    </cfRule>
  </conditionalFormatting>
  <conditionalFormatting sqref="B92">
    <cfRule type="containsText" dxfId="3846" priority="456" operator="containsText" text="Reconocimiento Créditos">
      <formula>NOT(ISERROR(SEARCH("Reconocimiento Créditos",B92)))</formula>
    </cfRule>
  </conditionalFormatting>
  <conditionalFormatting sqref="B92">
    <cfRule type="expression" dxfId="3845" priority="454">
      <formula>AND(ISNUMBER(B92), OR(B92&gt;10, B92&lt;0))</formula>
    </cfRule>
  </conditionalFormatting>
  <conditionalFormatting sqref="B92">
    <cfRule type="expression" dxfId="3844" priority="453">
      <formula>AND(NOT(ISNUMBER(B92)), B92&lt;&gt;"NP", B92&lt;&gt;"Reconocimiento Créditos", B92&lt;&gt;"Aprobado en otro curso")</formula>
    </cfRule>
  </conditionalFormatting>
  <conditionalFormatting sqref="B92">
    <cfRule type="containsText" dxfId="3843" priority="452" operator="containsText" text="Reconocimiento Créditos">
      <formula>NOT(ISERROR(SEARCH("Reconocimiento Créditos",B92)))</formula>
    </cfRule>
  </conditionalFormatting>
  <conditionalFormatting sqref="B92">
    <cfRule type="containsText" dxfId="3842" priority="455" operator="containsText" text="Aprobado en otro curso">
      <formula>NOT(ISERROR(SEARCH("Aprobado en otro curso",B92)))</formula>
    </cfRule>
  </conditionalFormatting>
  <conditionalFormatting sqref="A93">
    <cfRule type="expression" dxfId="3841" priority="450">
      <formula>AND(OR(ROW()=CELL("row"),COLUMN()=CELL("col")),NOT(ISBLANK($C93)),NOT(ISBLANK($B93)),ROW()&gt;2,COLUMN()&gt;1)</formula>
    </cfRule>
  </conditionalFormatting>
  <conditionalFormatting sqref="A93">
    <cfRule type="expression" dxfId="3840" priority="449">
      <formula>SUM(--ISBLANK($B93:$J93))=COLUMNS($B93:$J93)</formula>
    </cfRule>
  </conditionalFormatting>
  <conditionalFormatting sqref="A93">
    <cfRule type="containsText" dxfId="3839" priority="451" operator="containsText" text="NP">
      <formula>NOT(ISERROR(SEARCH("NP",A93)))</formula>
    </cfRule>
  </conditionalFormatting>
  <conditionalFormatting sqref="A93">
    <cfRule type="expression" dxfId="3838" priority="448">
      <formula>ISBLANK(A93)</formula>
    </cfRule>
  </conditionalFormatting>
  <conditionalFormatting sqref="B93">
    <cfRule type="expression" dxfId="3837" priority="444">
      <formula>B93=""</formula>
    </cfRule>
    <cfRule type="containsText" dxfId="3836" priority="445" operator="containsText" text="NP">
      <formula>NOT(ISERROR(SEARCH("NP",B93)))</formula>
    </cfRule>
    <cfRule type="cellIs" dxfId="3835" priority="446" operator="lessThan">
      <formula>4.95</formula>
    </cfRule>
  </conditionalFormatting>
  <conditionalFormatting sqref="B93">
    <cfRule type="expression" dxfId="3834" priority="442">
      <formula>AND(OR(ROW()=CELL("row"),COLUMN()=CELL("col")),NOT(ISBLANK($C93)),NOT(ISBLANK($B93)),ROW()&gt;2,COLUMN()&gt;1)</formula>
    </cfRule>
  </conditionalFormatting>
  <conditionalFormatting sqref="B93">
    <cfRule type="expression" dxfId="3833" priority="441">
      <formula>SUM(--ISBLANK($B93:$J93))=COLUMNS($B93:$J93)</formula>
    </cfRule>
  </conditionalFormatting>
  <conditionalFormatting sqref="B93">
    <cfRule type="containsText" dxfId="3832" priority="443" operator="containsText" text="NP">
      <formula>NOT(ISERROR(SEARCH("NP",B93)))</formula>
    </cfRule>
  </conditionalFormatting>
  <conditionalFormatting sqref="B93">
    <cfRule type="cellIs" dxfId="3831" priority="447" operator="greaterThanOrEqual">
      <formula>4.95</formula>
    </cfRule>
  </conditionalFormatting>
  <conditionalFormatting sqref="B93">
    <cfRule type="expression" dxfId="3830" priority="440">
      <formula>ISBLANK(B93)</formula>
    </cfRule>
  </conditionalFormatting>
  <conditionalFormatting sqref="B93">
    <cfRule type="containsText" dxfId="3829" priority="439" operator="containsText" text="Reconocimiento Créditos">
      <formula>NOT(ISERROR(SEARCH("Reconocimiento Créditos",B93)))</formula>
    </cfRule>
  </conditionalFormatting>
  <conditionalFormatting sqref="B93">
    <cfRule type="expression" dxfId="3828" priority="437">
      <formula>AND(ISNUMBER(B93), OR(B93&gt;10, B93&lt;0))</formula>
    </cfRule>
  </conditionalFormatting>
  <conditionalFormatting sqref="B93">
    <cfRule type="expression" dxfId="3827" priority="436">
      <formula>AND(NOT(ISNUMBER(B93)), B93&lt;&gt;"NP", B93&lt;&gt;"Reconocimiento Créditos", B93&lt;&gt;"Aprobado en otro curso")</formula>
    </cfRule>
  </conditionalFormatting>
  <conditionalFormatting sqref="B93">
    <cfRule type="containsText" dxfId="3826" priority="435" operator="containsText" text="Reconocimiento Créditos">
      <formula>NOT(ISERROR(SEARCH("Reconocimiento Créditos",B93)))</formula>
    </cfRule>
  </conditionalFormatting>
  <conditionalFormatting sqref="B93">
    <cfRule type="containsText" dxfId="3825" priority="438" operator="containsText" text="Aprobado en otro curso">
      <formula>NOT(ISERROR(SEARCH("Aprobado en otro curso",B93)))</formula>
    </cfRule>
  </conditionalFormatting>
  <conditionalFormatting sqref="A94">
    <cfRule type="expression" dxfId="3824" priority="433">
      <formula>AND(OR(ROW()=CELL("row"),COLUMN()=CELL("col")),NOT(ISBLANK($C94)),NOT(ISBLANK($B94)),ROW()&gt;2,COLUMN()&gt;1)</formula>
    </cfRule>
  </conditionalFormatting>
  <conditionalFormatting sqref="A94">
    <cfRule type="expression" dxfId="3823" priority="432">
      <formula>SUM(--ISBLANK($B94:$J94))=COLUMNS($B94:$J94)</formula>
    </cfRule>
  </conditionalFormatting>
  <conditionalFormatting sqref="A94">
    <cfRule type="containsText" dxfId="3822" priority="434" operator="containsText" text="NP">
      <formula>NOT(ISERROR(SEARCH("NP",A94)))</formula>
    </cfRule>
  </conditionalFormatting>
  <conditionalFormatting sqref="A94">
    <cfRule type="expression" dxfId="3821" priority="431">
      <formula>ISBLANK(A94)</formula>
    </cfRule>
  </conditionalFormatting>
  <conditionalFormatting sqref="B94">
    <cfRule type="expression" dxfId="3820" priority="427">
      <formula>B94=""</formula>
    </cfRule>
    <cfRule type="containsText" dxfId="3819" priority="428" operator="containsText" text="NP">
      <formula>NOT(ISERROR(SEARCH("NP",B94)))</formula>
    </cfRule>
    <cfRule type="cellIs" dxfId="3818" priority="429" operator="lessThan">
      <formula>4.95</formula>
    </cfRule>
  </conditionalFormatting>
  <conditionalFormatting sqref="B94">
    <cfRule type="expression" dxfId="3817" priority="425">
      <formula>AND(OR(ROW()=CELL("row"),COLUMN()=CELL("col")),NOT(ISBLANK($C94)),NOT(ISBLANK($B94)),ROW()&gt;2,COLUMN()&gt;1)</formula>
    </cfRule>
  </conditionalFormatting>
  <conditionalFormatting sqref="B94">
    <cfRule type="expression" dxfId="3816" priority="424">
      <formula>SUM(--ISBLANK($B94:$J94))=COLUMNS($B94:$J94)</formula>
    </cfRule>
  </conditionalFormatting>
  <conditionalFormatting sqref="B94">
    <cfRule type="containsText" dxfId="3815" priority="426" operator="containsText" text="NP">
      <formula>NOT(ISERROR(SEARCH("NP",B94)))</formula>
    </cfRule>
  </conditionalFormatting>
  <conditionalFormatting sqref="B94">
    <cfRule type="cellIs" dxfId="3814" priority="430" operator="greaterThanOrEqual">
      <formula>4.95</formula>
    </cfRule>
  </conditionalFormatting>
  <conditionalFormatting sqref="B94">
    <cfRule type="expression" dxfId="3813" priority="423">
      <formula>ISBLANK(B94)</formula>
    </cfRule>
  </conditionalFormatting>
  <conditionalFormatting sqref="B94">
    <cfRule type="containsText" dxfId="3812" priority="422" operator="containsText" text="Reconocimiento Créditos">
      <formula>NOT(ISERROR(SEARCH("Reconocimiento Créditos",B94)))</formula>
    </cfRule>
  </conditionalFormatting>
  <conditionalFormatting sqref="B94">
    <cfRule type="expression" dxfId="3811" priority="420">
      <formula>AND(ISNUMBER(B94), OR(B94&gt;10, B94&lt;0))</formula>
    </cfRule>
  </conditionalFormatting>
  <conditionalFormatting sqref="B94">
    <cfRule type="expression" dxfId="3810" priority="419">
      <formula>AND(NOT(ISNUMBER(B94)), B94&lt;&gt;"NP", B94&lt;&gt;"Reconocimiento Créditos", B94&lt;&gt;"Aprobado en otro curso")</formula>
    </cfRule>
  </conditionalFormatting>
  <conditionalFormatting sqref="B94">
    <cfRule type="containsText" dxfId="3809" priority="418" operator="containsText" text="Reconocimiento Créditos">
      <formula>NOT(ISERROR(SEARCH("Reconocimiento Créditos",B94)))</formula>
    </cfRule>
  </conditionalFormatting>
  <conditionalFormatting sqref="B94">
    <cfRule type="containsText" dxfId="3808" priority="421" operator="containsText" text="Aprobado en otro curso">
      <formula>NOT(ISERROR(SEARCH("Aprobado en otro curso",B94)))</formula>
    </cfRule>
  </conditionalFormatting>
  <conditionalFormatting sqref="A95">
    <cfRule type="expression" dxfId="3807" priority="416">
      <formula>AND(OR(ROW()=CELL("row"),COLUMN()=CELL("col")),NOT(ISBLANK($C95)),NOT(ISBLANK($B95)),ROW()&gt;2,COLUMN()&gt;1)</formula>
    </cfRule>
  </conditionalFormatting>
  <conditionalFormatting sqref="A95">
    <cfRule type="expression" dxfId="3806" priority="415">
      <formula>SUM(--ISBLANK($B95:$J95))=COLUMNS($B95:$J95)</formula>
    </cfRule>
  </conditionalFormatting>
  <conditionalFormatting sqref="A95">
    <cfRule type="containsText" dxfId="3805" priority="417" operator="containsText" text="NP">
      <formula>NOT(ISERROR(SEARCH("NP",A95)))</formula>
    </cfRule>
  </conditionalFormatting>
  <conditionalFormatting sqref="A95">
    <cfRule type="expression" dxfId="3804" priority="414">
      <formula>ISBLANK(A95)</formula>
    </cfRule>
  </conditionalFormatting>
  <conditionalFormatting sqref="B95">
    <cfRule type="containsText" dxfId="3803" priority="412" operator="containsText" text="NP">
      <formula>NOT(ISERROR(SEARCH("NP",B95)))</formula>
    </cfRule>
    <cfRule type="cellIs" dxfId="3802" priority="413" operator="lessThan">
      <formula>5</formula>
    </cfRule>
  </conditionalFormatting>
  <conditionalFormatting sqref="B95">
    <cfRule type="expression" dxfId="3801" priority="410">
      <formula>AND(OR(ROW()=CELL("row"),COLUMN()=CELL("col")),NOT(ISBLANK($C95)),NOT(ISBLANK($B95)),ROW()&gt;2,COLUMN()&gt;1)</formula>
    </cfRule>
  </conditionalFormatting>
  <conditionalFormatting sqref="B95">
    <cfRule type="expression" dxfId="3800" priority="409">
      <formula>SUM(--ISBLANK($B95:$J95))=COLUMNS($B95:$J95)</formula>
    </cfRule>
  </conditionalFormatting>
  <conditionalFormatting sqref="B95">
    <cfRule type="containsText" dxfId="3799" priority="411" operator="containsText" text="NP">
      <formula>NOT(ISERROR(SEARCH("NP",B95)))</formula>
    </cfRule>
  </conditionalFormatting>
  <conditionalFormatting sqref="B95">
    <cfRule type="expression" dxfId="3798" priority="408">
      <formula>ISBLANK(B95)</formula>
    </cfRule>
  </conditionalFormatting>
  <conditionalFormatting sqref="B95">
    <cfRule type="containsText" dxfId="3797" priority="407" operator="containsText" text="Reconocimiento Créditos">
      <formula>NOT(ISERROR(SEARCH("Reconocimiento Créditos",B95)))</formula>
    </cfRule>
  </conditionalFormatting>
  <conditionalFormatting sqref="B95">
    <cfRule type="expression" dxfId="3796" priority="405">
      <formula>AND(ISNUMBER(B95), OR(B95&gt;10, B95&lt;0))</formula>
    </cfRule>
  </conditionalFormatting>
  <conditionalFormatting sqref="B95">
    <cfRule type="expression" dxfId="3795" priority="404">
      <formula>AND(NOT(ISNUMBER(B95)), B95&lt;&gt;"NP", B95&lt;&gt;"Reconocimiento Créditos", B95&lt;&gt;"Aprobado en otro curso")</formula>
    </cfRule>
  </conditionalFormatting>
  <conditionalFormatting sqref="B95">
    <cfRule type="containsText" dxfId="3794" priority="403" operator="containsText" text="Reconocimiento Créditos">
      <formula>NOT(ISERROR(SEARCH("Reconocimiento Créditos",B95)))</formula>
    </cfRule>
  </conditionalFormatting>
  <conditionalFormatting sqref="B95">
    <cfRule type="containsText" dxfId="3793" priority="406" operator="containsText" text="Aprobado en otro curso">
      <formula>NOT(ISERROR(SEARCH("Aprobado en otro curso",B95)))</formula>
    </cfRule>
  </conditionalFormatting>
  <conditionalFormatting sqref="A96">
    <cfRule type="expression" dxfId="3792" priority="401">
      <formula>AND(OR(ROW()=CELL("row"),COLUMN()=CELL("col")),NOT(ISBLANK($C96)),NOT(ISBLANK($B96)),ROW()&gt;2,COLUMN()&gt;1)</formula>
    </cfRule>
  </conditionalFormatting>
  <conditionalFormatting sqref="A96">
    <cfRule type="expression" dxfId="3791" priority="400">
      <formula>SUM(--ISBLANK($B96:$J96))=COLUMNS($B96:$J96)</formula>
    </cfRule>
  </conditionalFormatting>
  <conditionalFormatting sqref="A96">
    <cfRule type="containsText" dxfId="3790" priority="402" operator="containsText" text="NP">
      <formula>NOT(ISERROR(SEARCH("NP",A96)))</formula>
    </cfRule>
  </conditionalFormatting>
  <conditionalFormatting sqref="A96">
    <cfRule type="expression" dxfId="3789" priority="399">
      <formula>ISBLANK(A96)</formula>
    </cfRule>
  </conditionalFormatting>
  <conditionalFormatting sqref="B96">
    <cfRule type="expression" dxfId="3788" priority="395">
      <formula>B96=""</formula>
    </cfRule>
    <cfRule type="containsText" dxfId="3787" priority="396" operator="containsText" text="NP">
      <formula>NOT(ISERROR(SEARCH("NP",B96)))</formula>
    </cfRule>
    <cfRule type="cellIs" dxfId="3786" priority="397" operator="lessThan">
      <formula>4.95</formula>
    </cfRule>
  </conditionalFormatting>
  <conditionalFormatting sqref="B96">
    <cfRule type="expression" dxfId="3785" priority="393">
      <formula>AND(OR(ROW()=CELL("row"),COLUMN()=CELL("col")),NOT(ISBLANK($C96)),NOT(ISBLANK($B96)),ROW()&gt;2,COLUMN()&gt;1)</formula>
    </cfRule>
  </conditionalFormatting>
  <conditionalFormatting sqref="B96">
    <cfRule type="expression" dxfId="3784" priority="392">
      <formula>SUM(--ISBLANK($B96:$J96))=COLUMNS($B96:$J96)</formula>
    </cfRule>
  </conditionalFormatting>
  <conditionalFormatting sqref="B96">
    <cfRule type="containsText" dxfId="3783" priority="394" operator="containsText" text="NP">
      <formula>NOT(ISERROR(SEARCH("NP",B96)))</formula>
    </cfRule>
  </conditionalFormatting>
  <conditionalFormatting sqref="B96">
    <cfRule type="cellIs" dxfId="3782" priority="398" operator="greaterThanOrEqual">
      <formula>4.95</formula>
    </cfRule>
  </conditionalFormatting>
  <conditionalFormatting sqref="B96">
    <cfRule type="expression" dxfId="3781" priority="391">
      <formula>ISBLANK(B96)</formula>
    </cfRule>
  </conditionalFormatting>
  <conditionalFormatting sqref="B96">
    <cfRule type="containsText" dxfId="3780" priority="390" operator="containsText" text="Reconocimiento Créditos">
      <formula>NOT(ISERROR(SEARCH("Reconocimiento Créditos",B96)))</formula>
    </cfRule>
  </conditionalFormatting>
  <conditionalFormatting sqref="B96">
    <cfRule type="expression" dxfId="3779" priority="388">
      <formula>AND(ISNUMBER(B96), OR(B96&gt;10, B96&lt;0))</formula>
    </cfRule>
  </conditionalFormatting>
  <conditionalFormatting sqref="B96">
    <cfRule type="expression" dxfId="3778" priority="387">
      <formula>AND(NOT(ISNUMBER(B96)), B96&lt;&gt;"NP", B96&lt;&gt;"Reconocimiento Créditos", B96&lt;&gt;"Aprobado en otro curso")</formula>
    </cfRule>
  </conditionalFormatting>
  <conditionalFormatting sqref="B96">
    <cfRule type="containsText" dxfId="3777" priority="386" operator="containsText" text="Reconocimiento Créditos">
      <formula>NOT(ISERROR(SEARCH("Reconocimiento Créditos",B96)))</formula>
    </cfRule>
  </conditionalFormatting>
  <conditionalFormatting sqref="B96">
    <cfRule type="containsText" dxfId="3776" priority="389" operator="containsText" text="Aprobado en otro curso">
      <formula>NOT(ISERROR(SEARCH("Aprobado en otro curso",B96)))</formula>
    </cfRule>
  </conditionalFormatting>
  <conditionalFormatting sqref="A97">
    <cfRule type="expression" dxfId="3775" priority="384">
      <formula>AND(OR(ROW()=CELL("row"),COLUMN()=CELL("col")),NOT(ISBLANK($C97)),NOT(ISBLANK($B97)),ROW()&gt;2,COLUMN()&gt;1)</formula>
    </cfRule>
  </conditionalFormatting>
  <conditionalFormatting sqref="A97">
    <cfRule type="expression" dxfId="3774" priority="383">
      <formula>SUM(--ISBLANK($B97:$J97))=COLUMNS($B97:$J97)</formula>
    </cfRule>
  </conditionalFormatting>
  <conditionalFormatting sqref="A97">
    <cfRule type="containsText" dxfId="3773" priority="385" operator="containsText" text="NP">
      <formula>NOT(ISERROR(SEARCH("NP",A97)))</formula>
    </cfRule>
  </conditionalFormatting>
  <conditionalFormatting sqref="A97">
    <cfRule type="expression" dxfId="3772" priority="382">
      <formula>ISBLANK(A97)</formula>
    </cfRule>
  </conditionalFormatting>
  <conditionalFormatting sqref="B97">
    <cfRule type="expression" dxfId="3771" priority="378">
      <formula>B97=""</formula>
    </cfRule>
    <cfRule type="containsText" dxfId="3770" priority="379" operator="containsText" text="NP">
      <formula>NOT(ISERROR(SEARCH("NP",B97)))</formula>
    </cfRule>
    <cfRule type="cellIs" dxfId="3769" priority="380" operator="lessThan">
      <formula>4.95</formula>
    </cfRule>
  </conditionalFormatting>
  <conditionalFormatting sqref="B97">
    <cfRule type="expression" dxfId="3768" priority="376">
      <formula>AND(OR(ROW()=CELL("row"),COLUMN()=CELL("col")),NOT(ISBLANK($C97)),NOT(ISBLANK($B97)),ROW()&gt;2,COLUMN()&gt;1)</formula>
    </cfRule>
  </conditionalFormatting>
  <conditionalFormatting sqref="B97">
    <cfRule type="expression" dxfId="3767" priority="375">
      <formula>SUM(--ISBLANK($B97:$J97))=COLUMNS($B97:$J97)</formula>
    </cfRule>
  </conditionalFormatting>
  <conditionalFormatting sqref="B97">
    <cfRule type="containsText" dxfId="3766" priority="377" operator="containsText" text="NP">
      <formula>NOT(ISERROR(SEARCH("NP",B97)))</formula>
    </cfRule>
  </conditionalFormatting>
  <conditionalFormatting sqref="B97">
    <cfRule type="cellIs" dxfId="3765" priority="381" operator="greaterThanOrEqual">
      <formula>4.95</formula>
    </cfRule>
  </conditionalFormatting>
  <conditionalFormatting sqref="B97">
    <cfRule type="expression" dxfId="3764" priority="374">
      <formula>ISBLANK(B97)</formula>
    </cfRule>
  </conditionalFormatting>
  <conditionalFormatting sqref="B97">
    <cfRule type="containsText" dxfId="3763" priority="373" operator="containsText" text="Reconocimiento Créditos">
      <formula>NOT(ISERROR(SEARCH("Reconocimiento Créditos",B97)))</formula>
    </cfRule>
  </conditionalFormatting>
  <conditionalFormatting sqref="B97">
    <cfRule type="expression" dxfId="3762" priority="371">
      <formula>AND(ISNUMBER(B97), OR(B97&gt;10, B97&lt;0))</formula>
    </cfRule>
  </conditionalFormatting>
  <conditionalFormatting sqref="B97">
    <cfRule type="expression" dxfId="3761" priority="370">
      <formula>AND(NOT(ISNUMBER(B97)), B97&lt;&gt;"NP", B97&lt;&gt;"Reconocimiento Créditos", B97&lt;&gt;"Aprobado en otro curso")</formula>
    </cfRule>
  </conditionalFormatting>
  <conditionalFormatting sqref="B97">
    <cfRule type="containsText" dxfId="3760" priority="369" operator="containsText" text="Reconocimiento Créditos">
      <formula>NOT(ISERROR(SEARCH("Reconocimiento Créditos",B97)))</formula>
    </cfRule>
  </conditionalFormatting>
  <conditionalFormatting sqref="B97">
    <cfRule type="containsText" dxfId="3759" priority="372" operator="containsText" text="Aprobado en otro curso">
      <formula>NOT(ISERROR(SEARCH("Aprobado en otro curso",B97)))</formula>
    </cfRule>
  </conditionalFormatting>
  <conditionalFormatting sqref="A98">
    <cfRule type="expression" dxfId="3758" priority="367">
      <formula>AND(OR(ROW()=CELL("row"),COLUMN()=CELL("col")),NOT(ISBLANK($C98)),NOT(ISBLANK($B98)),ROW()&gt;2,COLUMN()&gt;1)</formula>
    </cfRule>
  </conditionalFormatting>
  <conditionalFormatting sqref="A98">
    <cfRule type="expression" dxfId="3757" priority="366">
      <formula>SUM(--ISBLANK($B98:$J98))=COLUMNS($B98:$J98)</formula>
    </cfRule>
  </conditionalFormatting>
  <conditionalFormatting sqref="A98">
    <cfRule type="containsText" dxfId="3756" priority="368" operator="containsText" text="NP">
      <formula>NOT(ISERROR(SEARCH("NP",A98)))</formula>
    </cfRule>
  </conditionalFormatting>
  <conditionalFormatting sqref="A98">
    <cfRule type="expression" dxfId="3755" priority="365">
      <formula>ISBLANK(A98)</formula>
    </cfRule>
  </conditionalFormatting>
  <conditionalFormatting sqref="B98">
    <cfRule type="expression" dxfId="3754" priority="361">
      <formula>B98=""</formula>
    </cfRule>
    <cfRule type="containsText" dxfId="3753" priority="362" operator="containsText" text="NP">
      <formula>NOT(ISERROR(SEARCH("NP",B98)))</formula>
    </cfRule>
    <cfRule type="cellIs" dxfId="3752" priority="363" operator="lessThan">
      <formula>4.95</formula>
    </cfRule>
  </conditionalFormatting>
  <conditionalFormatting sqref="B98">
    <cfRule type="expression" dxfId="3751" priority="359">
      <formula>AND(OR(ROW()=CELL("row"),COLUMN()=CELL("col")),NOT(ISBLANK($C98)),NOT(ISBLANK($B98)),ROW()&gt;2,COLUMN()&gt;1)</formula>
    </cfRule>
  </conditionalFormatting>
  <conditionalFormatting sqref="B98">
    <cfRule type="expression" dxfId="3750" priority="358">
      <formula>SUM(--ISBLANK($B98:$J98))=COLUMNS($B98:$J98)</formula>
    </cfRule>
  </conditionalFormatting>
  <conditionalFormatting sqref="B98">
    <cfRule type="containsText" dxfId="3749" priority="360" operator="containsText" text="NP">
      <formula>NOT(ISERROR(SEARCH("NP",B98)))</formula>
    </cfRule>
  </conditionalFormatting>
  <conditionalFormatting sqref="B98">
    <cfRule type="cellIs" dxfId="3748" priority="364" operator="greaterThanOrEqual">
      <formula>4.95</formula>
    </cfRule>
  </conditionalFormatting>
  <conditionalFormatting sqref="B98">
    <cfRule type="expression" dxfId="3747" priority="357">
      <formula>ISBLANK(B98)</formula>
    </cfRule>
  </conditionalFormatting>
  <conditionalFormatting sqref="B98">
    <cfRule type="containsText" dxfId="3746" priority="356" operator="containsText" text="Reconocimiento Créditos">
      <formula>NOT(ISERROR(SEARCH("Reconocimiento Créditos",B98)))</formula>
    </cfRule>
  </conditionalFormatting>
  <conditionalFormatting sqref="B98">
    <cfRule type="expression" dxfId="3745" priority="354">
      <formula>AND(ISNUMBER(B98), OR(B98&gt;10, B98&lt;0))</formula>
    </cfRule>
  </conditionalFormatting>
  <conditionalFormatting sqref="B98">
    <cfRule type="expression" dxfId="3744" priority="353">
      <formula>AND(NOT(ISNUMBER(B98)), B98&lt;&gt;"NP", B98&lt;&gt;"Reconocimiento Créditos", B98&lt;&gt;"Aprobado en otro curso")</formula>
    </cfRule>
  </conditionalFormatting>
  <conditionalFormatting sqref="B98">
    <cfRule type="containsText" dxfId="3743" priority="352" operator="containsText" text="Reconocimiento Créditos">
      <formula>NOT(ISERROR(SEARCH("Reconocimiento Créditos",B98)))</formula>
    </cfRule>
  </conditionalFormatting>
  <conditionalFormatting sqref="B98">
    <cfRule type="containsText" dxfId="3742" priority="355" operator="containsText" text="Aprobado en otro curso">
      <formula>NOT(ISERROR(SEARCH("Aprobado en otro curso",B98)))</formula>
    </cfRule>
  </conditionalFormatting>
  <conditionalFormatting sqref="A99">
    <cfRule type="expression" dxfId="3741" priority="350">
      <formula>AND(OR(ROW()=CELL("row"),COLUMN()=CELL("col")),NOT(ISBLANK($C99)),NOT(ISBLANK($B99)),ROW()&gt;2,COLUMN()&gt;1)</formula>
    </cfRule>
  </conditionalFormatting>
  <conditionalFormatting sqref="A99">
    <cfRule type="expression" dxfId="3740" priority="349">
      <formula>SUM(--ISBLANK($B99:$J99))=COLUMNS($B99:$J99)</formula>
    </cfRule>
  </conditionalFormatting>
  <conditionalFormatting sqref="A99">
    <cfRule type="containsText" dxfId="3739" priority="351" operator="containsText" text="NP">
      <formula>NOT(ISERROR(SEARCH("NP",A99)))</formula>
    </cfRule>
  </conditionalFormatting>
  <conditionalFormatting sqref="A99">
    <cfRule type="expression" dxfId="3738" priority="348">
      <formula>ISBLANK(A99)</formula>
    </cfRule>
  </conditionalFormatting>
  <conditionalFormatting sqref="B99">
    <cfRule type="expression" dxfId="3737" priority="344">
      <formula>B99=""</formula>
    </cfRule>
    <cfRule type="containsText" dxfId="3736" priority="345" operator="containsText" text="NP">
      <formula>NOT(ISERROR(SEARCH("NP",B99)))</formula>
    </cfRule>
    <cfRule type="cellIs" dxfId="3735" priority="346" operator="lessThan">
      <formula>4.95</formula>
    </cfRule>
  </conditionalFormatting>
  <conditionalFormatting sqref="B99">
    <cfRule type="expression" dxfId="3734" priority="342">
      <formula>AND(OR(ROW()=CELL("row"),COLUMN()=CELL("col")),NOT(ISBLANK($C99)),NOT(ISBLANK($B99)),ROW()&gt;2,COLUMN()&gt;1)</formula>
    </cfRule>
  </conditionalFormatting>
  <conditionalFormatting sqref="B99">
    <cfRule type="expression" dxfId="3733" priority="341">
      <formula>SUM(--ISBLANK($B99:$J99))=COLUMNS($B99:$J99)</formula>
    </cfRule>
  </conditionalFormatting>
  <conditionalFormatting sqref="B99">
    <cfRule type="containsText" dxfId="3732" priority="343" operator="containsText" text="NP">
      <formula>NOT(ISERROR(SEARCH("NP",B99)))</formula>
    </cfRule>
  </conditionalFormatting>
  <conditionalFormatting sqref="B99">
    <cfRule type="cellIs" dxfId="3731" priority="347" operator="greaterThanOrEqual">
      <formula>4.95</formula>
    </cfRule>
  </conditionalFormatting>
  <conditionalFormatting sqref="B99">
    <cfRule type="expression" dxfId="3730" priority="340">
      <formula>ISBLANK(B99)</formula>
    </cfRule>
  </conditionalFormatting>
  <conditionalFormatting sqref="B99">
    <cfRule type="containsText" dxfId="3729" priority="339" operator="containsText" text="Reconocimiento Créditos">
      <formula>NOT(ISERROR(SEARCH("Reconocimiento Créditos",B99)))</formula>
    </cfRule>
  </conditionalFormatting>
  <conditionalFormatting sqref="B99">
    <cfRule type="expression" dxfId="3728" priority="337">
      <formula>AND(ISNUMBER(B99), OR(B99&gt;10, B99&lt;0))</formula>
    </cfRule>
  </conditionalFormatting>
  <conditionalFormatting sqref="B99">
    <cfRule type="containsText" dxfId="3727" priority="336" operator="containsText" text="Reconocimiento Créditos">
      <formula>NOT(ISERROR(SEARCH("Reconocimiento Créditos",B99)))</formula>
    </cfRule>
  </conditionalFormatting>
  <conditionalFormatting sqref="B99">
    <cfRule type="containsText" dxfId="3726" priority="338" operator="containsText" text="Aprobado en otro curso">
      <formula>NOT(ISERROR(SEARCH("Aprobado en otro curso",B99)))</formula>
    </cfRule>
  </conditionalFormatting>
  <conditionalFormatting sqref="A100">
    <cfRule type="expression" dxfId="3725" priority="334">
      <formula>AND(OR(ROW()=CELL("row"),COLUMN()=CELL("col")),NOT(ISBLANK($C100)),NOT(ISBLANK($B100)),ROW()&gt;2,COLUMN()&gt;1)</formula>
    </cfRule>
  </conditionalFormatting>
  <conditionalFormatting sqref="A100">
    <cfRule type="expression" dxfId="3724" priority="333">
      <formula>SUM(--ISBLANK($B100:$J100))=COLUMNS($B100:$J100)</formula>
    </cfRule>
  </conditionalFormatting>
  <conditionalFormatting sqref="A100">
    <cfRule type="containsText" dxfId="3723" priority="335" operator="containsText" text="NP">
      <formula>NOT(ISERROR(SEARCH("NP",A100)))</formula>
    </cfRule>
  </conditionalFormatting>
  <conditionalFormatting sqref="A100">
    <cfRule type="expression" dxfId="3722" priority="332">
      <formula>ISBLANK(A100)</formula>
    </cfRule>
  </conditionalFormatting>
  <conditionalFormatting sqref="B100">
    <cfRule type="expression" dxfId="3721" priority="328">
      <formula>B100=""</formula>
    </cfRule>
    <cfRule type="containsText" dxfId="3720" priority="329" operator="containsText" text="NP">
      <formula>NOT(ISERROR(SEARCH("NP",B100)))</formula>
    </cfRule>
    <cfRule type="cellIs" dxfId="3719" priority="330" operator="lessThan">
      <formula>4.95</formula>
    </cfRule>
  </conditionalFormatting>
  <conditionalFormatting sqref="B100">
    <cfRule type="expression" dxfId="3718" priority="326">
      <formula>AND(OR(ROW()=CELL("row"),COLUMN()=CELL("col")),NOT(ISBLANK($C100)),NOT(ISBLANK($B100)),ROW()&gt;2,COLUMN()&gt;1)</formula>
    </cfRule>
  </conditionalFormatting>
  <conditionalFormatting sqref="B100">
    <cfRule type="expression" dxfId="3717" priority="325">
      <formula>SUM(--ISBLANK($B100:$J100))=COLUMNS($B100:$J100)</formula>
    </cfRule>
  </conditionalFormatting>
  <conditionalFormatting sqref="B100">
    <cfRule type="containsText" dxfId="3716" priority="327" operator="containsText" text="NP">
      <formula>NOT(ISERROR(SEARCH("NP",B100)))</formula>
    </cfRule>
  </conditionalFormatting>
  <conditionalFormatting sqref="B100">
    <cfRule type="cellIs" dxfId="3715" priority="331" operator="greaterThanOrEqual">
      <formula>4.95</formula>
    </cfRule>
  </conditionalFormatting>
  <conditionalFormatting sqref="B100">
    <cfRule type="expression" dxfId="3714" priority="324">
      <formula>ISBLANK(B100)</formula>
    </cfRule>
  </conditionalFormatting>
  <conditionalFormatting sqref="B100">
    <cfRule type="containsText" dxfId="3713" priority="323" operator="containsText" text="Reconocimiento Créditos">
      <formula>NOT(ISERROR(SEARCH("Reconocimiento Créditos",B100)))</formula>
    </cfRule>
  </conditionalFormatting>
  <conditionalFormatting sqref="B100">
    <cfRule type="expression" dxfId="3712" priority="321">
      <formula>AND(ISNUMBER(B100), OR(B100&gt;10, B100&lt;0))</formula>
    </cfRule>
  </conditionalFormatting>
  <conditionalFormatting sqref="B100">
    <cfRule type="expression" dxfId="3711" priority="320">
      <formula>AND(NOT(ISNUMBER(B100)), B100&lt;&gt;"NP", B100&lt;&gt;"Reconocimiento Créditos", B100&lt;&gt;"Aprobado en otro curso")</formula>
    </cfRule>
  </conditionalFormatting>
  <conditionalFormatting sqref="B100">
    <cfRule type="containsText" dxfId="3710" priority="319" operator="containsText" text="Reconocimiento Créditos">
      <formula>NOT(ISERROR(SEARCH("Reconocimiento Créditos",B100)))</formula>
    </cfRule>
  </conditionalFormatting>
  <conditionalFormatting sqref="B100">
    <cfRule type="containsText" dxfId="3709" priority="322" operator="containsText" text="Aprobado en otro curso">
      <formula>NOT(ISERROR(SEARCH("Aprobado en otro curso",B100)))</formula>
    </cfRule>
  </conditionalFormatting>
  <conditionalFormatting sqref="A101">
    <cfRule type="expression" dxfId="3708" priority="317">
      <formula>AND(OR(ROW()=CELL("row"),COLUMN()=CELL("col")),NOT(ISBLANK($C101)),NOT(ISBLANK($B101)),ROW()&gt;2,COLUMN()&gt;1)</formula>
    </cfRule>
  </conditionalFormatting>
  <conditionalFormatting sqref="A101">
    <cfRule type="expression" dxfId="3707" priority="316">
      <formula>SUM(--ISBLANK($B101:$J101))=COLUMNS($B101:$J101)</formula>
    </cfRule>
  </conditionalFormatting>
  <conditionalFormatting sqref="A101">
    <cfRule type="containsText" dxfId="3706" priority="318" operator="containsText" text="NP">
      <formula>NOT(ISERROR(SEARCH("NP",A101)))</formula>
    </cfRule>
  </conditionalFormatting>
  <conditionalFormatting sqref="A101">
    <cfRule type="expression" dxfId="3705" priority="315">
      <formula>ISBLANK(A101)</formula>
    </cfRule>
  </conditionalFormatting>
  <conditionalFormatting sqref="B101">
    <cfRule type="expression" dxfId="3704" priority="311">
      <formula>B101=""</formula>
    </cfRule>
    <cfRule type="containsText" dxfId="3703" priority="312" operator="containsText" text="NP">
      <formula>NOT(ISERROR(SEARCH("NP",B101)))</formula>
    </cfRule>
    <cfRule type="cellIs" dxfId="3702" priority="313" operator="lessThan">
      <formula>4.95</formula>
    </cfRule>
  </conditionalFormatting>
  <conditionalFormatting sqref="B101">
    <cfRule type="expression" dxfId="3701" priority="309">
      <formula>AND(OR(ROW()=CELL("row"),COLUMN()=CELL("col")),NOT(ISBLANK($C101)),NOT(ISBLANK($B101)),ROW()&gt;2,COLUMN()&gt;1)</formula>
    </cfRule>
  </conditionalFormatting>
  <conditionalFormatting sqref="B101">
    <cfRule type="expression" dxfId="3700" priority="308">
      <formula>SUM(--ISBLANK($B101:$J101))=COLUMNS($B101:$J101)</formula>
    </cfRule>
  </conditionalFormatting>
  <conditionalFormatting sqref="B101">
    <cfRule type="containsText" dxfId="3699" priority="310" operator="containsText" text="NP">
      <formula>NOT(ISERROR(SEARCH("NP",B101)))</formula>
    </cfRule>
  </conditionalFormatting>
  <conditionalFormatting sqref="B101">
    <cfRule type="cellIs" dxfId="3698" priority="314" operator="greaterThanOrEqual">
      <formula>4.95</formula>
    </cfRule>
  </conditionalFormatting>
  <conditionalFormatting sqref="B101">
    <cfRule type="expression" dxfId="3697" priority="307">
      <formula>ISBLANK(B101)</formula>
    </cfRule>
  </conditionalFormatting>
  <conditionalFormatting sqref="B101">
    <cfRule type="containsText" dxfId="3696" priority="306" operator="containsText" text="Reconocimiento Créditos">
      <formula>NOT(ISERROR(SEARCH("Reconocimiento Créditos",B101)))</formula>
    </cfRule>
  </conditionalFormatting>
  <conditionalFormatting sqref="B101">
    <cfRule type="expression" dxfId="3695" priority="304">
      <formula>AND(ISNUMBER(B101), OR(B101&gt;10, B101&lt;0))</formula>
    </cfRule>
  </conditionalFormatting>
  <conditionalFormatting sqref="B101">
    <cfRule type="expression" dxfId="3694" priority="303">
      <formula>AND(NOT(ISNUMBER(B101)), B101&lt;&gt;"NP", B101&lt;&gt;"Reconocimiento Créditos", B101&lt;&gt;"Aprobado en otro curso")</formula>
    </cfRule>
  </conditionalFormatting>
  <conditionalFormatting sqref="B101">
    <cfRule type="containsText" dxfId="3693" priority="302" operator="containsText" text="Reconocimiento Créditos">
      <formula>NOT(ISERROR(SEARCH("Reconocimiento Créditos",B101)))</formula>
    </cfRule>
  </conditionalFormatting>
  <conditionalFormatting sqref="B101">
    <cfRule type="containsText" dxfId="3692" priority="305" operator="containsText" text="Aprobado en otro curso">
      <formula>NOT(ISERROR(SEARCH("Aprobado en otro curso",B101)))</formula>
    </cfRule>
  </conditionalFormatting>
  <conditionalFormatting sqref="A102">
    <cfRule type="expression" dxfId="3691" priority="300">
      <formula>AND(OR(ROW()=CELL("row"),COLUMN()=CELL("col")),NOT(ISBLANK($C102)),NOT(ISBLANK($B102)),ROW()&gt;2,COLUMN()&gt;1)</formula>
    </cfRule>
  </conditionalFormatting>
  <conditionalFormatting sqref="A102">
    <cfRule type="expression" dxfId="3690" priority="299">
      <formula>SUM(--ISBLANK($B102:$J102))=COLUMNS($B102:$J102)</formula>
    </cfRule>
  </conditionalFormatting>
  <conditionalFormatting sqref="A102">
    <cfRule type="containsText" dxfId="3689" priority="301" operator="containsText" text="NP">
      <formula>NOT(ISERROR(SEARCH("NP",A102)))</formula>
    </cfRule>
  </conditionalFormatting>
  <conditionalFormatting sqref="A102">
    <cfRule type="expression" dxfId="3688" priority="298">
      <formula>ISBLANK(A102)</formula>
    </cfRule>
  </conditionalFormatting>
  <conditionalFormatting sqref="B102">
    <cfRule type="containsText" dxfId="3687" priority="296" operator="containsText" text="NP">
      <formula>NOT(ISERROR(SEARCH("NP",B102)))</formula>
    </cfRule>
    <cfRule type="cellIs" dxfId="3686" priority="297" operator="lessThan">
      <formula>5</formula>
    </cfRule>
  </conditionalFormatting>
  <conditionalFormatting sqref="B102">
    <cfRule type="expression" dxfId="3685" priority="294">
      <formula>AND(OR(ROW()=CELL("row"),COLUMN()=CELL("col")),NOT(ISBLANK($C102)),NOT(ISBLANK($B102)),ROW()&gt;2,COLUMN()&gt;1)</formula>
    </cfRule>
  </conditionalFormatting>
  <conditionalFormatting sqref="B102">
    <cfRule type="expression" dxfId="3684" priority="293">
      <formula>SUM(--ISBLANK($B102:$J102))=COLUMNS($B102:$J102)</formula>
    </cfRule>
  </conditionalFormatting>
  <conditionalFormatting sqref="B102">
    <cfRule type="containsText" dxfId="3683" priority="295" operator="containsText" text="NP">
      <formula>NOT(ISERROR(SEARCH("NP",B102)))</formula>
    </cfRule>
  </conditionalFormatting>
  <conditionalFormatting sqref="B102">
    <cfRule type="expression" dxfId="3682" priority="292">
      <formula>ISBLANK(B102)</formula>
    </cfRule>
  </conditionalFormatting>
  <conditionalFormatting sqref="B102">
    <cfRule type="containsText" dxfId="3681" priority="291" operator="containsText" text="Reconocimiento Créditos">
      <formula>NOT(ISERROR(SEARCH("Reconocimiento Créditos",B102)))</formula>
    </cfRule>
  </conditionalFormatting>
  <conditionalFormatting sqref="B102">
    <cfRule type="expression" dxfId="3680" priority="289">
      <formula>AND(ISNUMBER(B102), OR(B102&gt;10, B102&lt;0))</formula>
    </cfRule>
  </conditionalFormatting>
  <conditionalFormatting sqref="B102">
    <cfRule type="expression" dxfId="3679" priority="288">
      <formula>AND(NOT(ISNUMBER(B102)), B102&lt;&gt;"NP", B102&lt;&gt;"Reconocimiento Créditos", B102&lt;&gt;"Aprobado en otro curso")</formula>
    </cfRule>
  </conditionalFormatting>
  <conditionalFormatting sqref="B102">
    <cfRule type="containsText" dxfId="3678" priority="287" operator="containsText" text="Reconocimiento Créditos">
      <formula>NOT(ISERROR(SEARCH("Reconocimiento Créditos",B102)))</formula>
    </cfRule>
  </conditionalFormatting>
  <conditionalFormatting sqref="B102">
    <cfRule type="containsText" dxfId="3677" priority="290" operator="containsText" text="Aprobado en otro curso">
      <formula>NOT(ISERROR(SEARCH("Aprobado en otro curso",B102)))</formula>
    </cfRule>
  </conditionalFormatting>
  <conditionalFormatting sqref="A103">
    <cfRule type="expression" dxfId="3676" priority="285">
      <formula>AND(OR(ROW()=CELL("row"),COLUMN()=CELL("col")),NOT(ISBLANK($C103)),NOT(ISBLANK($B103)),ROW()&gt;2,COLUMN()&gt;1)</formula>
    </cfRule>
  </conditionalFormatting>
  <conditionalFormatting sqref="A103">
    <cfRule type="expression" dxfId="3675" priority="284">
      <formula>SUM(--ISBLANK($B103:$J103))=COLUMNS($B103:$J103)</formula>
    </cfRule>
  </conditionalFormatting>
  <conditionalFormatting sqref="A103">
    <cfRule type="containsText" dxfId="3674" priority="286" operator="containsText" text="NP">
      <formula>NOT(ISERROR(SEARCH("NP",A103)))</formula>
    </cfRule>
  </conditionalFormatting>
  <conditionalFormatting sqref="A103">
    <cfRule type="expression" dxfId="3673" priority="283">
      <formula>ISBLANK(A103)</formula>
    </cfRule>
  </conditionalFormatting>
  <conditionalFormatting sqref="B103">
    <cfRule type="expression" dxfId="3672" priority="279">
      <formula>B103=""</formula>
    </cfRule>
    <cfRule type="containsText" dxfId="3671" priority="280" operator="containsText" text="NP">
      <formula>NOT(ISERROR(SEARCH("NP",B103)))</formula>
    </cfRule>
    <cfRule type="cellIs" dxfId="3670" priority="281" operator="lessThan">
      <formula>4.95</formula>
    </cfRule>
  </conditionalFormatting>
  <conditionalFormatting sqref="B103">
    <cfRule type="expression" dxfId="3669" priority="277">
      <formula>AND(OR(ROW()=CELL("row"),COLUMN()=CELL("col")),NOT(ISBLANK($C103)),NOT(ISBLANK($B103)),ROW()&gt;2,COLUMN()&gt;1)</formula>
    </cfRule>
  </conditionalFormatting>
  <conditionalFormatting sqref="B103">
    <cfRule type="expression" dxfId="3668" priority="276">
      <formula>SUM(--ISBLANK($B103:$J103))=COLUMNS($B103:$J103)</formula>
    </cfRule>
  </conditionalFormatting>
  <conditionalFormatting sqref="B103">
    <cfRule type="containsText" dxfId="3667" priority="278" operator="containsText" text="NP">
      <formula>NOT(ISERROR(SEARCH("NP",B103)))</formula>
    </cfRule>
  </conditionalFormatting>
  <conditionalFormatting sqref="B103">
    <cfRule type="cellIs" dxfId="3666" priority="282" operator="greaterThanOrEqual">
      <formula>4.95</formula>
    </cfRule>
  </conditionalFormatting>
  <conditionalFormatting sqref="B103">
    <cfRule type="expression" dxfId="3665" priority="275">
      <formula>ISBLANK(B103)</formula>
    </cfRule>
  </conditionalFormatting>
  <conditionalFormatting sqref="B103">
    <cfRule type="containsText" dxfId="3664" priority="274" operator="containsText" text="Reconocimiento Créditos">
      <formula>NOT(ISERROR(SEARCH("Reconocimiento Créditos",B103)))</formula>
    </cfRule>
  </conditionalFormatting>
  <conditionalFormatting sqref="B103">
    <cfRule type="expression" dxfId="3663" priority="272">
      <formula>AND(ISNUMBER(B103), OR(B103&gt;10, B103&lt;0))</formula>
    </cfRule>
  </conditionalFormatting>
  <conditionalFormatting sqref="B103">
    <cfRule type="expression" dxfId="3662" priority="271">
      <formula>AND(NOT(ISNUMBER(B103)), B103&lt;&gt;"NP", B103&lt;&gt;"Reconocimiento Créditos", B103&lt;&gt;"Aprobado en otro curso")</formula>
    </cfRule>
  </conditionalFormatting>
  <conditionalFormatting sqref="B103">
    <cfRule type="containsText" dxfId="3661" priority="270" operator="containsText" text="Reconocimiento Créditos">
      <formula>NOT(ISERROR(SEARCH("Reconocimiento Créditos",B103)))</formula>
    </cfRule>
  </conditionalFormatting>
  <conditionalFormatting sqref="B103">
    <cfRule type="containsText" dxfId="3660" priority="273" operator="containsText" text="Aprobado en otro curso">
      <formula>NOT(ISERROR(SEARCH("Aprobado en otro curso",B103)))</formula>
    </cfRule>
  </conditionalFormatting>
  <conditionalFormatting sqref="A104">
    <cfRule type="expression" dxfId="3659" priority="268">
      <formula>AND(OR(ROW()=CELL("row"),COLUMN()=CELL("col")),NOT(ISBLANK($C104)),NOT(ISBLANK($B104)),ROW()&gt;2,COLUMN()&gt;1)</formula>
    </cfRule>
  </conditionalFormatting>
  <conditionalFormatting sqref="A104">
    <cfRule type="expression" dxfId="3658" priority="267">
      <formula>SUM(--ISBLANK($B104:$J104))=COLUMNS($B104:$J104)</formula>
    </cfRule>
  </conditionalFormatting>
  <conditionalFormatting sqref="A104">
    <cfRule type="containsText" dxfId="3657" priority="269" operator="containsText" text="NP">
      <formula>NOT(ISERROR(SEARCH("NP",A104)))</formula>
    </cfRule>
  </conditionalFormatting>
  <conditionalFormatting sqref="A104">
    <cfRule type="expression" dxfId="3656" priority="266">
      <formula>ISBLANK(A104)</formula>
    </cfRule>
  </conditionalFormatting>
  <conditionalFormatting sqref="B104">
    <cfRule type="expression" dxfId="3655" priority="262">
      <formula>B104=""</formula>
    </cfRule>
    <cfRule type="containsText" dxfId="3654" priority="263" operator="containsText" text="NP">
      <formula>NOT(ISERROR(SEARCH("NP",B104)))</formula>
    </cfRule>
    <cfRule type="cellIs" dxfId="3653" priority="264" operator="lessThan">
      <formula>4.95</formula>
    </cfRule>
  </conditionalFormatting>
  <conditionalFormatting sqref="B104">
    <cfRule type="expression" dxfId="3652" priority="260">
      <formula>AND(OR(ROW()=CELL("row"),COLUMN()=CELL("col")),NOT(ISBLANK($C104)),NOT(ISBLANK($B104)),ROW()&gt;2,COLUMN()&gt;1)</formula>
    </cfRule>
  </conditionalFormatting>
  <conditionalFormatting sqref="B104">
    <cfRule type="expression" dxfId="3651" priority="259">
      <formula>SUM(--ISBLANK($B104:$J104))=COLUMNS($B104:$J104)</formula>
    </cfRule>
  </conditionalFormatting>
  <conditionalFormatting sqref="B104">
    <cfRule type="containsText" dxfId="3650" priority="261" operator="containsText" text="NP">
      <formula>NOT(ISERROR(SEARCH("NP",B104)))</formula>
    </cfRule>
  </conditionalFormatting>
  <conditionalFormatting sqref="B104">
    <cfRule type="cellIs" dxfId="3649" priority="265" operator="greaterThanOrEqual">
      <formula>4.95</formula>
    </cfRule>
  </conditionalFormatting>
  <conditionalFormatting sqref="B104">
    <cfRule type="expression" dxfId="3648" priority="258">
      <formula>ISBLANK(B104)</formula>
    </cfRule>
  </conditionalFormatting>
  <conditionalFormatting sqref="B104">
    <cfRule type="containsText" dxfId="3647" priority="257" operator="containsText" text="Reconocimiento Créditos">
      <formula>NOT(ISERROR(SEARCH("Reconocimiento Créditos",B104)))</formula>
    </cfRule>
  </conditionalFormatting>
  <conditionalFormatting sqref="B104">
    <cfRule type="expression" dxfId="3646" priority="255">
      <formula>AND(ISNUMBER(B104), OR(B104&gt;10, B104&lt;0))</formula>
    </cfRule>
  </conditionalFormatting>
  <conditionalFormatting sqref="B104">
    <cfRule type="expression" dxfId="3645" priority="254">
      <formula>AND(NOT(ISNUMBER(B104)), B104&lt;&gt;"NP", B104&lt;&gt;"Reconocimiento Créditos", B104&lt;&gt;"Aprobado en otro curso")</formula>
    </cfRule>
  </conditionalFormatting>
  <conditionalFormatting sqref="B104">
    <cfRule type="containsText" dxfId="3644" priority="253" operator="containsText" text="Reconocimiento Créditos">
      <formula>NOT(ISERROR(SEARCH("Reconocimiento Créditos",B104)))</formula>
    </cfRule>
  </conditionalFormatting>
  <conditionalFormatting sqref="B104">
    <cfRule type="containsText" dxfId="3643" priority="256" operator="containsText" text="Aprobado en otro curso">
      <formula>NOT(ISERROR(SEARCH("Aprobado en otro curso",B104)))</formula>
    </cfRule>
  </conditionalFormatting>
  <conditionalFormatting sqref="A105">
    <cfRule type="expression" dxfId="3642" priority="251">
      <formula>AND(OR(ROW()=CELL("row"),COLUMN()=CELL("col")),NOT(ISBLANK($C105)),NOT(ISBLANK($B105)),ROW()&gt;2,COLUMN()&gt;1)</formula>
    </cfRule>
  </conditionalFormatting>
  <conditionalFormatting sqref="A105">
    <cfRule type="expression" dxfId="3641" priority="250">
      <formula>SUM(--ISBLANK($B105:$J105))=COLUMNS($B105:$J105)</formula>
    </cfRule>
  </conditionalFormatting>
  <conditionalFormatting sqref="A105">
    <cfRule type="containsText" dxfId="3640" priority="252" operator="containsText" text="NP">
      <formula>NOT(ISERROR(SEARCH("NP",A105)))</formula>
    </cfRule>
  </conditionalFormatting>
  <conditionalFormatting sqref="A105">
    <cfRule type="expression" dxfId="3639" priority="249">
      <formula>ISBLANK(A105)</formula>
    </cfRule>
  </conditionalFormatting>
  <conditionalFormatting sqref="B105">
    <cfRule type="containsText" dxfId="3638" priority="247" operator="containsText" text="NP">
      <formula>NOT(ISERROR(SEARCH("NP",B105)))</formula>
    </cfRule>
    <cfRule type="cellIs" dxfId="3637" priority="248" operator="lessThan">
      <formula>5</formula>
    </cfRule>
  </conditionalFormatting>
  <conditionalFormatting sqref="B105">
    <cfRule type="cellIs" dxfId="3636" priority="246" operator="lessThan">
      <formula>5</formula>
    </cfRule>
  </conditionalFormatting>
  <conditionalFormatting sqref="B105">
    <cfRule type="expression" dxfId="3635" priority="244">
      <formula>AND(OR(ROW()=CELL("row"),COLUMN()=CELL("col")),NOT(ISBLANK($C105)),NOT(ISBLANK($B105)),ROW()&gt;2,COLUMN()&gt;1)</formula>
    </cfRule>
  </conditionalFormatting>
  <conditionalFormatting sqref="B105">
    <cfRule type="expression" dxfId="3634" priority="243">
      <formula>SUM(--ISBLANK($B105:$J105))=COLUMNS($B105:$J105)</formula>
    </cfRule>
  </conditionalFormatting>
  <conditionalFormatting sqref="B105">
    <cfRule type="containsText" dxfId="3633" priority="245" operator="containsText" text="NP">
      <formula>NOT(ISERROR(SEARCH("NP",B105)))</formula>
    </cfRule>
  </conditionalFormatting>
  <conditionalFormatting sqref="B105">
    <cfRule type="expression" dxfId="3632" priority="242">
      <formula>ISBLANK(B105)</formula>
    </cfRule>
  </conditionalFormatting>
  <conditionalFormatting sqref="B105">
    <cfRule type="containsText" dxfId="3631" priority="241" operator="containsText" text="Reconocimiento Créditos">
      <formula>NOT(ISERROR(SEARCH("Reconocimiento Créditos",B105)))</formula>
    </cfRule>
  </conditionalFormatting>
  <conditionalFormatting sqref="B105">
    <cfRule type="expression" dxfId="3630" priority="239">
      <formula>AND(ISNUMBER(B105), OR(B105&gt;10, B105&lt;0))</formula>
    </cfRule>
  </conditionalFormatting>
  <conditionalFormatting sqref="B105">
    <cfRule type="expression" dxfId="3629" priority="238">
      <formula>AND(NOT(ISNUMBER(B105)), B105&lt;&gt;"NP", B105&lt;&gt;"Reconocimiento Créditos", B105&lt;&gt;"Aprobado en otro curso")</formula>
    </cfRule>
  </conditionalFormatting>
  <conditionalFormatting sqref="B105">
    <cfRule type="containsText" dxfId="3628" priority="237" operator="containsText" text="Reconocimiento Créditos">
      <formula>NOT(ISERROR(SEARCH("Reconocimiento Créditos",B105)))</formula>
    </cfRule>
  </conditionalFormatting>
  <conditionalFormatting sqref="B105">
    <cfRule type="containsText" dxfId="3627" priority="240" operator="containsText" text="Aprobado en otro curso">
      <formula>NOT(ISERROR(SEARCH("Aprobado en otro curso",B105)))</formula>
    </cfRule>
  </conditionalFormatting>
  <conditionalFormatting sqref="A106">
    <cfRule type="expression" dxfId="3626" priority="235">
      <formula>AND(OR(ROW()=CELL("row"),COLUMN()=CELL("col")),NOT(ISBLANK($C106)),NOT(ISBLANK($B106)),ROW()&gt;2,COLUMN()&gt;1)</formula>
    </cfRule>
  </conditionalFormatting>
  <conditionalFormatting sqref="A106">
    <cfRule type="expression" dxfId="3625" priority="234">
      <formula>SUM(--ISBLANK($B106:$J106))=COLUMNS($B106:$J106)</formula>
    </cfRule>
  </conditionalFormatting>
  <conditionalFormatting sqref="A106">
    <cfRule type="containsText" dxfId="3624" priority="236" operator="containsText" text="NP">
      <formula>NOT(ISERROR(SEARCH("NP",A106)))</formula>
    </cfRule>
  </conditionalFormatting>
  <conditionalFormatting sqref="A106">
    <cfRule type="expression" dxfId="3623" priority="233">
      <formula>ISBLANK(A106)</formula>
    </cfRule>
  </conditionalFormatting>
  <conditionalFormatting sqref="B106">
    <cfRule type="expression" dxfId="3622" priority="229">
      <formula>B106=""</formula>
    </cfRule>
    <cfRule type="containsText" dxfId="3621" priority="230" operator="containsText" text="NP">
      <formula>NOT(ISERROR(SEARCH("NP",B106)))</formula>
    </cfRule>
    <cfRule type="cellIs" dxfId="3620" priority="231" operator="lessThan">
      <formula>4.95</formula>
    </cfRule>
  </conditionalFormatting>
  <conditionalFormatting sqref="B106">
    <cfRule type="expression" dxfId="3619" priority="227">
      <formula>AND(OR(ROW()=CELL("row"),COLUMN()=CELL("col")),NOT(ISBLANK($C106)),NOT(ISBLANK($B106)),ROW()&gt;2,COLUMN()&gt;1)</formula>
    </cfRule>
  </conditionalFormatting>
  <conditionalFormatting sqref="B106">
    <cfRule type="expression" dxfId="3618" priority="226">
      <formula>SUM(--ISBLANK($B106:$J106))=COLUMNS($B106:$J106)</formula>
    </cfRule>
  </conditionalFormatting>
  <conditionalFormatting sqref="B106">
    <cfRule type="containsText" dxfId="3617" priority="228" operator="containsText" text="NP">
      <formula>NOT(ISERROR(SEARCH("NP",B106)))</formula>
    </cfRule>
  </conditionalFormatting>
  <conditionalFormatting sqref="B106">
    <cfRule type="cellIs" dxfId="3616" priority="232" operator="greaterThanOrEqual">
      <formula>4.95</formula>
    </cfRule>
  </conditionalFormatting>
  <conditionalFormatting sqref="B106">
    <cfRule type="expression" dxfId="3615" priority="225">
      <formula>ISBLANK(B106)</formula>
    </cfRule>
  </conditionalFormatting>
  <conditionalFormatting sqref="B106">
    <cfRule type="containsText" dxfId="3614" priority="224" operator="containsText" text="Reconocimiento Créditos">
      <formula>NOT(ISERROR(SEARCH("Reconocimiento Créditos",B106)))</formula>
    </cfRule>
  </conditionalFormatting>
  <conditionalFormatting sqref="B106">
    <cfRule type="expression" dxfId="3613" priority="222">
      <formula>AND(ISNUMBER(B106), OR(B106&gt;10, B106&lt;0))</formula>
    </cfRule>
  </conditionalFormatting>
  <conditionalFormatting sqref="B106">
    <cfRule type="expression" dxfId="3612" priority="221">
      <formula>AND(NOT(ISNUMBER(B106)), B106&lt;&gt;"NP", B106&lt;&gt;"Reconocimiento Créditos", B106&lt;&gt;"Aprobado en otro curso")</formula>
    </cfRule>
  </conditionalFormatting>
  <conditionalFormatting sqref="B106">
    <cfRule type="containsText" dxfId="3611" priority="220" operator="containsText" text="Reconocimiento Créditos">
      <formula>NOT(ISERROR(SEARCH("Reconocimiento Créditos",B106)))</formula>
    </cfRule>
  </conditionalFormatting>
  <conditionalFormatting sqref="B106">
    <cfRule type="containsText" dxfId="3610" priority="223" operator="containsText" text="Aprobado en otro curso">
      <formula>NOT(ISERROR(SEARCH("Aprobado en otro curso",B106)))</formula>
    </cfRule>
  </conditionalFormatting>
  <conditionalFormatting sqref="A107">
    <cfRule type="expression" dxfId="3609" priority="218">
      <formula>AND(OR(ROW()=CELL("row"),COLUMN()=CELL("col")),NOT(ISBLANK($C107)),NOT(ISBLANK($B107)),ROW()&gt;2,COLUMN()&gt;1)</formula>
    </cfRule>
  </conditionalFormatting>
  <conditionalFormatting sqref="A107">
    <cfRule type="expression" dxfId="3608" priority="217">
      <formula>SUM(--ISBLANK($B107:$J107))=COLUMNS($B107:$J107)</formula>
    </cfRule>
  </conditionalFormatting>
  <conditionalFormatting sqref="A107">
    <cfRule type="containsText" dxfId="3607" priority="219" operator="containsText" text="NP">
      <formula>NOT(ISERROR(SEARCH("NP",A107)))</formula>
    </cfRule>
  </conditionalFormatting>
  <conditionalFormatting sqref="A107">
    <cfRule type="expression" dxfId="3606" priority="216">
      <formula>ISBLANK(A107)</formula>
    </cfRule>
  </conditionalFormatting>
  <conditionalFormatting sqref="B107">
    <cfRule type="expression" dxfId="3605" priority="212">
      <formula>B107=""</formula>
    </cfRule>
    <cfRule type="containsText" dxfId="3604" priority="213" operator="containsText" text="NP">
      <formula>NOT(ISERROR(SEARCH("NP",B107)))</formula>
    </cfRule>
    <cfRule type="cellIs" dxfId="3603" priority="214" operator="lessThan">
      <formula>4.95</formula>
    </cfRule>
  </conditionalFormatting>
  <conditionalFormatting sqref="B107">
    <cfRule type="expression" dxfId="3602" priority="210">
      <formula>AND(OR(ROW()=CELL("row"),COLUMN()=CELL("col")),NOT(ISBLANK($C107)),NOT(ISBLANK($B107)),ROW()&gt;2,COLUMN()&gt;1)</formula>
    </cfRule>
  </conditionalFormatting>
  <conditionalFormatting sqref="B107">
    <cfRule type="expression" dxfId="3601" priority="209">
      <formula>SUM(--ISBLANK($B107:$J107))=COLUMNS($B107:$J107)</formula>
    </cfRule>
  </conditionalFormatting>
  <conditionalFormatting sqref="B107">
    <cfRule type="containsText" dxfId="3600" priority="211" operator="containsText" text="NP">
      <formula>NOT(ISERROR(SEARCH("NP",B107)))</formula>
    </cfRule>
  </conditionalFormatting>
  <conditionalFormatting sqref="B107">
    <cfRule type="cellIs" dxfId="3599" priority="215" operator="greaterThanOrEqual">
      <formula>4.95</formula>
    </cfRule>
  </conditionalFormatting>
  <conditionalFormatting sqref="B107">
    <cfRule type="expression" dxfId="3598" priority="208">
      <formula>ISBLANK(B107)</formula>
    </cfRule>
  </conditionalFormatting>
  <conditionalFormatting sqref="B107">
    <cfRule type="containsText" dxfId="3597" priority="207" operator="containsText" text="Reconocimiento Créditos">
      <formula>NOT(ISERROR(SEARCH("Reconocimiento Créditos",B107)))</formula>
    </cfRule>
  </conditionalFormatting>
  <conditionalFormatting sqref="B107">
    <cfRule type="expression" dxfId="3596" priority="205">
      <formula>AND(ISNUMBER(B107), OR(B107&gt;10, B107&lt;0))</formula>
    </cfRule>
  </conditionalFormatting>
  <conditionalFormatting sqref="B107">
    <cfRule type="expression" dxfId="3595" priority="204">
      <formula>AND(NOT(ISNUMBER(B107)), B107&lt;&gt;"NP", B107&lt;&gt;"Reconocimiento Créditos", B107&lt;&gt;"Aprobado en otro curso")</formula>
    </cfRule>
  </conditionalFormatting>
  <conditionalFormatting sqref="B107">
    <cfRule type="containsText" dxfId="3594" priority="203" operator="containsText" text="Reconocimiento Créditos">
      <formula>NOT(ISERROR(SEARCH("Reconocimiento Créditos",B107)))</formula>
    </cfRule>
  </conditionalFormatting>
  <conditionalFormatting sqref="B107">
    <cfRule type="containsText" dxfId="3593" priority="206" operator="containsText" text="Aprobado en otro curso">
      <formula>NOT(ISERROR(SEARCH("Aprobado en otro curso",B107)))</formula>
    </cfRule>
  </conditionalFormatting>
  <conditionalFormatting sqref="A108">
    <cfRule type="expression" dxfId="3592" priority="201">
      <formula>AND(OR(ROW()=CELL("row"),COLUMN()=CELL("col")),NOT(ISBLANK($C108)),NOT(ISBLANK($B108)),ROW()&gt;2,COLUMN()&gt;1)</formula>
    </cfRule>
  </conditionalFormatting>
  <conditionalFormatting sqref="A108">
    <cfRule type="expression" dxfId="3591" priority="200">
      <formula>SUM(--ISBLANK($B108:$J108))=COLUMNS($B108:$J108)</formula>
    </cfRule>
  </conditionalFormatting>
  <conditionalFormatting sqref="A108">
    <cfRule type="containsText" dxfId="3590" priority="202" operator="containsText" text="NP">
      <formula>NOT(ISERROR(SEARCH("NP",A108)))</formula>
    </cfRule>
  </conditionalFormatting>
  <conditionalFormatting sqref="A108">
    <cfRule type="expression" dxfId="3589" priority="199">
      <formula>ISBLANK(A108)</formula>
    </cfRule>
  </conditionalFormatting>
  <conditionalFormatting sqref="B108">
    <cfRule type="expression" dxfId="3588" priority="195">
      <formula>B108=""</formula>
    </cfRule>
    <cfRule type="containsText" dxfId="3587" priority="196" operator="containsText" text="NP">
      <formula>NOT(ISERROR(SEARCH("NP",B108)))</formula>
    </cfRule>
    <cfRule type="cellIs" dxfId="3586" priority="197" operator="lessThan">
      <formula>4.95</formula>
    </cfRule>
  </conditionalFormatting>
  <conditionalFormatting sqref="B108">
    <cfRule type="expression" dxfId="3585" priority="193">
      <formula>AND(OR(ROW()=CELL("row"),COLUMN()=CELL("col")),NOT(ISBLANK($C108)),NOT(ISBLANK($B108)),ROW()&gt;2,COLUMN()&gt;1)</formula>
    </cfRule>
  </conditionalFormatting>
  <conditionalFormatting sqref="B108">
    <cfRule type="expression" dxfId="3584" priority="192">
      <formula>SUM(--ISBLANK($B108:$J108))=COLUMNS($B108:$J108)</formula>
    </cfRule>
  </conditionalFormatting>
  <conditionalFormatting sqref="B108">
    <cfRule type="containsText" dxfId="3583" priority="194" operator="containsText" text="NP">
      <formula>NOT(ISERROR(SEARCH("NP",B108)))</formula>
    </cfRule>
  </conditionalFormatting>
  <conditionalFormatting sqref="B108">
    <cfRule type="cellIs" dxfId="3582" priority="198" operator="greaterThanOrEqual">
      <formula>4.95</formula>
    </cfRule>
  </conditionalFormatting>
  <conditionalFormatting sqref="B108">
    <cfRule type="expression" dxfId="3581" priority="191">
      <formula>ISBLANK(B108)</formula>
    </cfRule>
  </conditionalFormatting>
  <conditionalFormatting sqref="B108">
    <cfRule type="containsText" dxfId="3580" priority="190" operator="containsText" text="Reconocimiento Créditos">
      <formula>NOT(ISERROR(SEARCH("Reconocimiento Créditos",B108)))</formula>
    </cfRule>
  </conditionalFormatting>
  <conditionalFormatting sqref="B108">
    <cfRule type="expression" dxfId="3579" priority="188">
      <formula>AND(ISNUMBER(B108), OR(B108&gt;10, B108&lt;0))</formula>
    </cfRule>
  </conditionalFormatting>
  <conditionalFormatting sqref="B108">
    <cfRule type="expression" dxfId="3578" priority="187">
      <formula>AND(NOT(ISNUMBER(B108)), B108&lt;&gt;"NP", B108&lt;&gt;"Reconocimiento Créditos", B108&lt;&gt;"Aprobado en otro curso")</formula>
    </cfRule>
  </conditionalFormatting>
  <conditionalFormatting sqref="B108">
    <cfRule type="containsText" dxfId="3577" priority="186" operator="containsText" text="Reconocimiento Créditos">
      <formula>NOT(ISERROR(SEARCH("Reconocimiento Créditos",B108)))</formula>
    </cfRule>
  </conditionalFormatting>
  <conditionalFormatting sqref="B108">
    <cfRule type="containsText" dxfId="3576" priority="189" operator="containsText" text="Aprobado en otro curso">
      <formula>NOT(ISERROR(SEARCH("Aprobado en otro curso",B108)))</formula>
    </cfRule>
  </conditionalFormatting>
  <conditionalFormatting sqref="A109">
    <cfRule type="expression" dxfId="3575" priority="184">
      <formula>AND(OR(ROW()=CELL("row"),COLUMN()=CELL("col")),NOT(ISBLANK($C109)),NOT(ISBLANK($B109)),ROW()&gt;2,COLUMN()&gt;1)</formula>
    </cfRule>
  </conditionalFormatting>
  <conditionalFormatting sqref="A109">
    <cfRule type="expression" dxfId="3574" priority="183">
      <formula>SUM(--ISBLANK($B109:$J109))=COLUMNS($B109:$J109)</formula>
    </cfRule>
  </conditionalFormatting>
  <conditionalFormatting sqref="A109">
    <cfRule type="containsText" dxfId="3573" priority="185" operator="containsText" text="NP">
      <formula>NOT(ISERROR(SEARCH("NP",A109)))</formula>
    </cfRule>
  </conditionalFormatting>
  <conditionalFormatting sqref="A109">
    <cfRule type="expression" dxfId="3572" priority="182">
      <formula>ISBLANK(A109)</formula>
    </cfRule>
  </conditionalFormatting>
  <conditionalFormatting sqref="B109">
    <cfRule type="expression" dxfId="3571" priority="178">
      <formula>B109=""</formula>
    </cfRule>
    <cfRule type="containsText" dxfId="3570" priority="179" operator="containsText" text="NP">
      <formula>NOT(ISERROR(SEARCH("NP",B109)))</formula>
    </cfRule>
    <cfRule type="cellIs" dxfId="3569" priority="180" operator="lessThan">
      <formula>4.95</formula>
    </cfRule>
  </conditionalFormatting>
  <conditionalFormatting sqref="B109">
    <cfRule type="expression" dxfId="3568" priority="176">
      <formula>AND(OR(ROW()=CELL("row"),COLUMN()=CELL("col")),NOT(ISBLANK($C109)),NOT(ISBLANK($B109)),ROW()&gt;2,COLUMN()&gt;1)</formula>
    </cfRule>
  </conditionalFormatting>
  <conditionalFormatting sqref="B109">
    <cfRule type="expression" dxfId="3567" priority="175">
      <formula>SUM(--ISBLANK($B109:$J109))=COLUMNS($B109:$J109)</formula>
    </cfRule>
  </conditionalFormatting>
  <conditionalFormatting sqref="B109">
    <cfRule type="containsText" dxfId="3566" priority="177" operator="containsText" text="NP">
      <formula>NOT(ISERROR(SEARCH("NP",B109)))</formula>
    </cfRule>
  </conditionalFormatting>
  <conditionalFormatting sqref="B109">
    <cfRule type="cellIs" dxfId="3565" priority="181" operator="greaterThanOrEqual">
      <formula>4.95</formula>
    </cfRule>
  </conditionalFormatting>
  <conditionalFormatting sqref="B109">
    <cfRule type="expression" dxfId="3564" priority="174">
      <formula>ISBLANK(B109)</formula>
    </cfRule>
  </conditionalFormatting>
  <conditionalFormatting sqref="B109">
    <cfRule type="containsText" dxfId="3563" priority="173" operator="containsText" text="Reconocimiento Créditos">
      <formula>NOT(ISERROR(SEARCH("Reconocimiento Créditos",B109)))</formula>
    </cfRule>
  </conditionalFormatting>
  <conditionalFormatting sqref="B109">
    <cfRule type="expression" dxfId="3562" priority="171">
      <formula>AND(ISNUMBER(B109), OR(B109&gt;10, B109&lt;0))</formula>
    </cfRule>
  </conditionalFormatting>
  <conditionalFormatting sqref="B109">
    <cfRule type="expression" dxfId="3561" priority="170">
      <formula>AND(NOT(ISNUMBER(B109)), B109&lt;&gt;"NP", B109&lt;&gt;"Reconocimiento Créditos", B109&lt;&gt;"Aprobado en otro curso")</formula>
    </cfRule>
  </conditionalFormatting>
  <conditionalFormatting sqref="B109">
    <cfRule type="containsText" dxfId="3560" priority="169" operator="containsText" text="Reconocimiento Créditos">
      <formula>NOT(ISERROR(SEARCH("Reconocimiento Créditos",B109)))</formula>
    </cfRule>
  </conditionalFormatting>
  <conditionalFormatting sqref="B109">
    <cfRule type="containsText" dxfId="3559" priority="172" operator="containsText" text="Aprobado en otro curso">
      <formula>NOT(ISERROR(SEARCH("Aprobado en otro curso",B109)))</formula>
    </cfRule>
  </conditionalFormatting>
  <conditionalFormatting sqref="A110">
    <cfRule type="expression" dxfId="3558" priority="167">
      <formula>AND(OR(ROW()=CELL("row"),COLUMN()=CELL("col")),NOT(ISBLANK($C110)),NOT(ISBLANK($B110)),ROW()&gt;2,COLUMN()&gt;1)</formula>
    </cfRule>
  </conditionalFormatting>
  <conditionalFormatting sqref="A110">
    <cfRule type="expression" dxfId="3557" priority="166">
      <formula>SUM(--ISBLANK($B110:$J110))=COLUMNS($B110:$J110)</formula>
    </cfRule>
  </conditionalFormatting>
  <conditionalFormatting sqref="A110">
    <cfRule type="containsText" dxfId="3556" priority="168" operator="containsText" text="NP">
      <formula>NOT(ISERROR(SEARCH("NP",A110)))</formula>
    </cfRule>
  </conditionalFormatting>
  <conditionalFormatting sqref="A110">
    <cfRule type="expression" dxfId="3555" priority="165">
      <formula>ISBLANK(A110)</formula>
    </cfRule>
  </conditionalFormatting>
  <conditionalFormatting sqref="B110">
    <cfRule type="expression" dxfId="3554" priority="161">
      <formula>B110=""</formula>
    </cfRule>
    <cfRule type="containsText" dxfId="3553" priority="162" operator="containsText" text="NP">
      <formula>NOT(ISERROR(SEARCH("NP",B110)))</formula>
    </cfRule>
    <cfRule type="cellIs" dxfId="3552" priority="163" operator="lessThan">
      <formula>4.95</formula>
    </cfRule>
  </conditionalFormatting>
  <conditionalFormatting sqref="B110">
    <cfRule type="expression" dxfId="3551" priority="159">
      <formula>AND(OR(ROW()=CELL("row"),COLUMN()=CELL("col")),NOT(ISBLANK($C110)),NOT(ISBLANK($B110)),ROW()&gt;2,COLUMN()&gt;1)</formula>
    </cfRule>
  </conditionalFormatting>
  <conditionalFormatting sqref="B110">
    <cfRule type="expression" dxfId="3550" priority="158">
      <formula>SUM(--ISBLANK($B110:$J110))=COLUMNS($B110:$J110)</formula>
    </cfRule>
  </conditionalFormatting>
  <conditionalFormatting sqref="B110">
    <cfRule type="containsText" dxfId="3549" priority="160" operator="containsText" text="NP">
      <formula>NOT(ISERROR(SEARCH("NP",B110)))</formula>
    </cfRule>
  </conditionalFormatting>
  <conditionalFormatting sqref="B110">
    <cfRule type="cellIs" dxfId="3548" priority="164" operator="greaterThanOrEqual">
      <formula>4.95</formula>
    </cfRule>
  </conditionalFormatting>
  <conditionalFormatting sqref="B110">
    <cfRule type="expression" dxfId="3547" priority="157">
      <formula>ISBLANK(B110)</formula>
    </cfRule>
  </conditionalFormatting>
  <conditionalFormatting sqref="B110">
    <cfRule type="containsText" dxfId="3546" priority="156" operator="containsText" text="Reconocimiento Créditos">
      <formula>NOT(ISERROR(SEARCH("Reconocimiento Créditos",B110)))</formula>
    </cfRule>
  </conditionalFormatting>
  <conditionalFormatting sqref="B110">
    <cfRule type="expression" dxfId="3545" priority="154">
      <formula>AND(ISNUMBER(B110), OR(B110&gt;10, B110&lt;0))</formula>
    </cfRule>
  </conditionalFormatting>
  <conditionalFormatting sqref="B110">
    <cfRule type="expression" dxfId="3544" priority="153">
      <formula>AND(NOT(ISNUMBER(B110)), B110&lt;&gt;"NP", B110&lt;&gt;"Reconocimiento Créditos", B110&lt;&gt;"Aprobado en otro curso")</formula>
    </cfRule>
  </conditionalFormatting>
  <conditionalFormatting sqref="B110">
    <cfRule type="containsText" dxfId="3543" priority="152" operator="containsText" text="Reconocimiento Créditos">
      <formula>NOT(ISERROR(SEARCH("Reconocimiento Créditos",B110)))</formula>
    </cfRule>
  </conditionalFormatting>
  <conditionalFormatting sqref="B110">
    <cfRule type="containsText" dxfId="3542" priority="155" operator="containsText" text="Aprobado en otro curso">
      <formula>NOT(ISERROR(SEARCH("Aprobado en otro curso",B110)))</formula>
    </cfRule>
  </conditionalFormatting>
  <conditionalFormatting sqref="A111">
    <cfRule type="expression" dxfId="3541" priority="150">
      <formula>AND(OR(ROW()=CELL("row"),COLUMN()=CELL("col")),NOT(ISBLANK($C111)),NOT(ISBLANK($B111)),ROW()&gt;2,COLUMN()&gt;1)</formula>
    </cfRule>
  </conditionalFormatting>
  <conditionalFormatting sqref="A111">
    <cfRule type="expression" dxfId="3540" priority="149">
      <formula>SUM(--ISBLANK($B111:$J111))=COLUMNS($B111:$J111)</formula>
    </cfRule>
  </conditionalFormatting>
  <conditionalFormatting sqref="A111">
    <cfRule type="containsText" dxfId="3539" priority="151" operator="containsText" text="NP">
      <formula>NOT(ISERROR(SEARCH("NP",A111)))</formula>
    </cfRule>
  </conditionalFormatting>
  <conditionalFormatting sqref="A111">
    <cfRule type="expression" dxfId="3538" priority="148">
      <formula>ISBLANK(A111)</formula>
    </cfRule>
  </conditionalFormatting>
  <conditionalFormatting sqref="B111">
    <cfRule type="expression" dxfId="3537" priority="144">
      <formula>B111=""</formula>
    </cfRule>
    <cfRule type="containsText" dxfId="3536" priority="145" operator="containsText" text="NP">
      <formula>NOT(ISERROR(SEARCH("NP",B111)))</formula>
    </cfRule>
    <cfRule type="cellIs" dxfId="3535" priority="146" operator="lessThan">
      <formula>4.95</formula>
    </cfRule>
  </conditionalFormatting>
  <conditionalFormatting sqref="B111">
    <cfRule type="expression" dxfId="3534" priority="142">
      <formula>AND(OR(ROW()=CELL("row"),COLUMN()=CELL("col")),NOT(ISBLANK($C111)),NOT(ISBLANK($B111)),ROW()&gt;2,COLUMN()&gt;1)</formula>
    </cfRule>
  </conditionalFormatting>
  <conditionalFormatting sqref="B111">
    <cfRule type="expression" dxfId="3533" priority="141">
      <formula>SUM(--ISBLANK($B111:$J111))=COLUMNS($B111:$J111)</formula>
    </cfRule>
  </conditionalFormatting>
  <conditionalFormatting sqref="B111">
    <cfRule type="containsText" dxfId="3532" priority="143" operator="containsText" text="NP">
      <formula>NOT(ISERROR(SEARCH("NP",B111)))</formula>
    </cfRule>
  </conditionalFormatting>
  <conditionalFormatting sqref="B111">
    <cfRule type="cellIs" dxfId="3531" priority="147" operator="greaterThanOrEqual">
      <formula>4.95</formula>
    </cfRule>
  </conditionalFormatting>
  <conditionalFormatting sqref="B111">
    <cfRule type="expression" dxfId="3530" priority="140">
      <formula>ISBLANK(B111)</formula>
    </cfRule>
  </conditionalFormatting>
  <conditionalFormatting sqref="B111">
    <cfRule type="containsText" dxfId="3529" priority="139" operator="containsText" text="Reconocimiento Créditos">
      <formula>NOT(ISERROR(SEARCH("Reconocimiento Créditos",B111)))</formula>
    </cfRule>
  </conditionalFormatting>
  <conditionalFormatting sqref="B111">
    <cfRule type="expression" dxfId="3528" priority="137">
      <formula>AND(ISNUMBER(B111), OR(B111&gt;10, B111&lt;0))</formula>
    </cfRule>
  </conditionalFormatting>
  <conditionalFormatting sqref="B111">
    <cfRule type="containsText" dxfId="3527" priority="136" operator="containsText" text="Reconocimiento Créditos">
      <formula>NOT(ISERROR(SEARCH("Reconocimiento Créditos",B111)))</formula>
    </cfRule>
  </conditionalFormatting>
  <conditionalFormatting sqref="B111">
    <cfRule type="containsText" dxfId="3526" priority="138" operator="containsText" text="Aprobado en otro curso">
      <formula>NOT(ISERROR(SEARCH("Aprobado en otro curso",B111)))</formula>
    </cfRule>
  </conditionalFormatting>
  <conditionalFormatting sqref="A112">
    <cfRule type="expression" dxfId="3525" priority="134">
      <formula>AND(OR(ROW()=CELL("row"),COLUMN()=CELL("col")),NOT(ISBLANK($C112)),NOT(ISBLANK($B112)),ROW()&gt;2,COLUMN()&gt;1)</formula>
    </cfRule>
  </conditionalFormatting>
  <conditionalFormatting sqref="A112">
    <cfRule type="expression" dxfId="3524" priority="133">
      <formula>SUM(--ISBLANK($B112:$J112))=COLUMNS($B112:$J112)</formula>
    </cfRule>
  </conditionalFormatting>
  <conditionalFormatting sqref="A112">
    <cfRule type="containsText" dxfId="3523" priority="135" operator="containsText" text="NP">
      <formula>NOT(ISERROR(SEARCH("NP",A112)))</formula>
    </cfRule>
  </conditionalFormatting>
  <conditionalFormatting sqref="A112">
    <cfRule type="expression" dxfId="3522" priority="132">
      <formula>ISBLANK(A112)</formula>
    </cfRule>
  </conditionalFormatting>
  <conditionalFormatting sqref="B112">
    <cfRule type="expression" dxfId="3521" priority="128">
      <formula>B112=""</formula>
    </cfRule>
    <cfRule type="containsText" dxfId="3520" priority="129" operator="containsText" text="NP">
      <formula>NOT(ISERROR(SEARCH("NP",B112)))</formula>
    </cfRule>
    <cfRule type="cellIs" dxfId="3519" priority="130" operator="lessThan">
      <formula>4.95</formula>
    </cfRule>
  </conditionalFormatting>
  <conditionalFormatting sqref="B112">
    <cfRule type="expression" dxfId="3518" priority="126">
      <formula>AND(OR(ROW()=CELL("row"),COLUMN()=CELL("col")),NOT(ISBLANK($C112)),NOT(ISBLANK($B112)),ROW()&gt;2,COLUMN()&gt;1)</formula>
    </cfRule>
  </conditionalFormatting>
  <conditionalFormatting sqref="B112">
    <cfRule type="expression" dxfId="3517" priority="125">
      <formula>SUM(--ISBLANK($B112:$J112))=COLUMNS($B112:$J112)</formula>
    </cfRule>
  </conditionalFormatting>
  <conditionalFormatting sqref="B112">
    <cfRule type="containsText" dxfId="3516" priority="127" operator="containsText" text="NP">
      <formula>NOT(ISERROR(SEARCH("NP",B112)))</formula>
    </cfRule>
  </conditionalFormatting>
  <conditionalFormatting sqref="B112">
    <cfRule type="cellIs" dxfId="3515" priority="131" operator="greaterThanOrEqual">
      <formula>4.95</formula>
    </cfRule>
  </conditionalFormatting>
  <conditionalFormatting sqref="B112">
    <cfRule type="expression" dxfId="3514" priority="124">
      <formula>ISBLANK(B112)</formula>
    </cfRule>
  </conditionalFormatting>
  <conditionalFormatting sqref="B112">
    <cfRule type="containsText" dxfId="3513" priority="123" operator="containsText" text="Reconocimiento Créditos">
      <formula>NOT(ISERROR(SEARCH("Reconocimiento Créditos",B112)))</formula>
    </cfRule>
  </conditionalFormatting>
  <conditionalFormatting sqref="B112">
    <cfRule type="expression" dxfId="3512" priority="121">
      <formula>AND(ISNUMBER(B112), OR(B112&gt;10, B112&lt;0))</formula>
    </cfRule>
  </conditionalFormatting>
  <conditionalFormatting sqref="B112">
    <cfRule type="containsText" dxfId="3511" priority="120" operator="containsText" text="Reconocimiento Créditos">
      <formula>NOT(ISERROR(SEARCH("Reconocimiento Créditos",B112)))</formula>
    </cfRule>
  </conditionalFormatting>
  <conditionalFormatting sqref="B112">
    <cfRule type="containsText" dxfId="3510" priority="122" operator="containsText" text="Aprobado en otro curso">
      <formula>NOT(ISERROR(SEARCH("Aprobado en otro curso",B112)))</formula>
    </cfRule>
  </conditionalFormatting>
  <conditionalFormatting sqref="A113">
    <cfRule type="expression" dxfId="3509" priority="118">
      <formula>AND(OR(ROW()=CELL("row"),COLUMN()=CELL("col")),NOT(ISBLANK($C113)),NOT(ISBLANK($B113)),ROW()&gt;2,COLUMN()&gt;1)</formula>
    </cfRule>
  </conditionalFormatting>
  <conditionalFormatting sqref="A113">
    <cfRule type="expression" dxfId="3508" priority="117">
      <formula>SUM(--ISBLANK($B113:$J113))=COLUMNS($B113:$J113)</formula>
    </cfRule>
  </conditionalFormatting>
  <conditionalFormatting sqref="A113">
    <cfRule type="containsText" dxfId="3507" priority="119" operator="containsText" text="NP">
      <formula>NOT(ISERROR(SEARCH("NP",A113)))</formula>
    </cfRule>
  </conditionalFormatting>
  <conditionalFormatting sqref="A113">
    <cfRule type="expression" dxfId="3506" priority="116">
      <formula>ISBLANK(A113)</formula>
    </cfRule>
  </conditionalFormatting>
  <conditionalFormatting sqref="B113">
    <cfRule type="expression" dxfId="3505" priority="112">
      <formula>B113=""</formula>
    </cfRule>
    <cfRule type="containsText" dxfId="3504" priority="113" operator="containsText" text="NP">
      <formula>NOT(ISERROR(SEARCH("NP",B113)))</formula>
    </cfRule>
    <cfRule type="cellIs" dxfId="3503" priority="114" operator="lessThan">
      <formula>4.95</formula>
    </cfRule>
  </conditionalFormatting>
  <conditionalFormatting sqref="B113">
    <cfRule type="expression" dxfId="3502" priority="110">
      <formula>AND(OR(ROW()=CELL("row"),COLUMN()=CELL("col")),NOT(ISBLANK($C113)),NOT(ISBLANK($B113)),ROW()&gt;2,COLUMN()&gt;1)</formula>
    </cfRule>
  </conditionalFormatting>
  <conditionalFormatting sqref="B113">
    <cfRule type="expression" dxfId="3501" priority="109">
      <formula>SUM(--ISBLANK($B113:$J113))=COLUMNS($B113:$J113)</formula>
    </cfRule>
  </conditionalFormatting>
  <conditionalFormatting sqref="B113">
    <cfRule type="containsText" dxfId="3500" priority="111" operator="containsText" text="NP">
      <formula>NOT(ISERROR(SEARCH("NP",B113)))</formula>
    </cfRule>
  </conditionalFormatting>
  <conditionalFormatting sqref="B113">
    <cfRule type="cellIs" dxfId="3499" priority="115" operator="greaterThanOrEqual">
      <formula>4.95</formula>
    </cfRule>
  </conditionalFormatting>
  <conditionalFormatting sqref="B113">
    <cfRule type="expression" dxfId="3498" priority="108">
      <formula>ISBLANK(B113)</formula>
    </cfRule>
  </conditionalFormatting>
  <conditionalFormatting sqref="B113">
    <cfRule type="containsText" dxfId="3497" priority="107" operator="containsText" text="Reconocimiento Créditos">
      <formula>NOT(ISERROR(SEARCH("Reconocimiento Créditos",B113)))</formula>
    </cfRule>
  </conditionalFormatting>
  <conditionalFormatting sqref="B113">
    <cfRule type="expression" dxfId="3496" priority="105">
      <formula>AND(ISNUMBER(B113), OR(B113&gt;10, B113&lt;0))</formula>
    </cfRule>
  </conditionalFormatting>
  <conditionalFormatting sqref="B113">
    <cfRule type="expression" dxfId="3495" priority="104">
      <formula>AND(NOT(ISNUMBER(B113)), B113&lt;&gt;"NP", B113&lt;&gt;"Reconocimiento Créditos", B113&lt;&gt;"Aprobado en otro curso")</formula>
    </cfRule>
  </conditionalFormatting>
  <conditionalFormatting sqref="B113">
    <cfRule type="containsText" dxfId="3494" priority="103" operator="containsText" text="Reconocimiento Créditos">
      <formula>NOT(ISERROR(SEARCH("Reconocimiento Créditos",B113)))</formula>
    </cfRule>
  </conditionalFormatting>
  <conditionalFormatting sqref="B113">
    <cfRule type="containsText" dxfId="3493" priority="106" operator="containsText" text="Aprobado en otro curso">
      <formula>NOT(ISERROR(SEARCH("Aprobado en otro curso",B113)))</formula>
    </cfRule>
  </conditionalFormatting>
  <conditionalFormatting sqref="A114">
    <cfRule type="expression" dxfId="3492" priority="101">
      <formula>AND(OR(ROW()=CELL("row"),COLUMN()=CELL("col")),NOT(ISBLANK($C114)),NOT(ISBLANK($B114)),ROW()&gt;2,COLUMN()&gt;1)</formula>
    </cfRule>
  </conditionalFormatting>
  <conditionalFormatting sqref="A114">
    <cfRule type="expression" dxfId="3491" priority="100">
      <formula>SUM(--ISBLANK($B114:$J114))=COLUMNS($B114:$J114)</formula>
    </cfRule>
  </conditionalFormatting>
  <conditionalFormatting sqref="A114">
    <cfRule type="containsText" dxfId="3490" priority="102" operator="containsText" text="NP">
      <formula>NOT(ISERROR(SEARCH("NP",A114)))</formula>
    </cfRule>
  </conditionalFormatting>
  <conditionalFormatting sqref="A114">
    <cfRule type="expression" dxfId="3489" priority="99">
      <formula>ISBLANK(A114)</formula>
    </cfRule>
  </conditionalFormatting>
  <conditionalFormatting sqref="B114">
    <cfRule type="expression" dxfId="3488" priority="95">
      <formula>B114=""</formula>
    </cfRule>
    <cfRule type="containsText" dxfId="3487" priority="96" operator="containsText" text="NP">
      <formula>NOT(ISERROR(SEARCH("NP",B114)))</formula>
    </cfRule>
    <cfRule type="cellIs" dxfId="3486" priority="97" operator="lessThan">
      <formula>4.95</formula>
    </cfRule>
  </conditionalFormatting>
  <conditionalFormatting sqref="B114">
    <cfRule type="expression" dxfId="3485" priority="93">
      <formula>AND(OR(ROW()=CELL("row"),COLUMN()=CELL("col")),NOT(ISBLANK($C114)),NOT(ISBLANK($B114)),ROW()&gt;2,COLUMN()&gt;1)</formula>
    </cfRule>
  </conditionalFormatting>
  <conditionalFormatting sqref="B114">
    <cfRule type="expression" dxfId="3484" priority="92">
      <formula>SUM(--ISBLANK($B114:$J114))=COLUMNS($B114:$J114)</formula>
    </cfRule>
  </conditionalFormatting>
  <conditionalFormatting sqref="B114">
    <cfRule type="containsText" dxfId="3483" priority="94" operator="containsText" text="NP">
      <formula>NOT(ISERROR(SEARCH("NP",B114)))</formula>
    </cfRule>
  </conditionalFormatting>
  <conditionalFormatting sqref="B114">
    <cfRule type="cellIs" dxfId="3482" priority="98" operator="greaterThanOrEqual">
      <formula>4.95</formula>
    </cfRule>
  </conditionalFormatting>
  <conditionalFormatting sqref="B114">
    <cfRule type="expression" dxfId="3481" priority="91">
      <formula>ISBLANK(B114)</formula>
    </cfRule>
  </conditionalFormatting>
  <conditionalFormatting sqref="B114">
    <cfRule type="containsText" dxfId="3480" priority="90" operator="containsText" text="Reconocimiento Créditos">
      <formula>NOT(ISERROR(SEARCH("Reconocimiento Créditos",B114)))</formula>
    </cfRule>
  </conditionalFormatting>
  <conditionalFormatting sqref="B114">
    <cfRule type="expression" dxfId="3479" priority="88">
      <formula>AND(ISNUMBER(B114), OR(B114&gt;10, B114&lt;0))</formula>
    </cfRule>
  </conditionalFormatting>
  <conditionalFormatting sqref="B114">
    <cfRule type="expression" dxfId="3478" priority="87">
      <formula>AND(NOT(ISNUMBER(B114)), B114&lt;&gt;"NP", B114&lt;&gt;"Reconocimiento Créditos", B114&lt;&gt;"Aprobado en otro curso")</formula>
    </cfRule>
  </conditionalFormatting>
  <conditionalFormatting sqref="B114">
    <cfRule type="containsText" dxfId="3477" priority="86" operator="containsText" text="Reconocimiento Créditos">
      <formula>NOT(ISERROR(SEARCH("Reconocimiento Créditos",B114)))</formula>
    </cfRule>
  </conditionalFormatting>
  <conditionalFormatting sqref="B114">
    <cfRule type="containsText" dxfId="3476" priority="89" operator="containsText" text="Aprobado en otro curso">
      <formula>NOT(ISERROR(SEARCH("Aprobado en otro curso",B114)))</formula>
    </cfRule>
  </conditionalFormatting>
  <conditionalFormatting sqref="A115">
    <cfRule type="expression" dxfId="3475" priority="84">
      <formula>AND(OR(ROW()=CELL("row"),COLUMN()=CELL("col")),NOT(ISBLANK($C115)),NOT(ISBLANK($B115)),ROW()&gt;2,COLUMN()&gt;1)</formula>
    </cfRule>
  </conditionalFormatting>
  <conditionalFormatting sqref="A115">
    <cfRule type="expression" dxfId="3474" priority="83">
      <formula>SUM(--ISBLANK($B115:$J115))=COLUMNS($B115:$J115)</formula>
    </cfRule>
  </conditionalFormatting>
  <conditionalFormatting sqref="A115">
    <cfRule type="containsText" dxfId="3473" priority="85" operator="containsText" text="NP">
      <formula>NOT(ISERROR(SEARCH("NP",A115)))</formula>
    </cfRule>
  </conditionalFormatting>
  <conditionalFormatting sqref="A115">
    <cfRule type="expression" dxfId="3472" priority="82">
      <formula>ISBLANK(A115)</formula>
    </cfRule>
  </conditionalFormatting>
  <conditionalFormatting sqref="B115">
    <cfRule type="expression" dxfId="3471" priority="78">
      <formula>B115=""</formula>
    </cfRule>
    <cfRule type="containsText" dxfId="3470" priority="79" operator="containsText" text="NP">
      <formula>NOT(ISERROR(SEARCH("NP",B115)))</formula>
    </cfRule>
    <cfRule type="cellIs" dxfId="3469" priority="80" operator="lessThan">
      <formula>4.95</formula>
    </cfRule>
  </conditionalFormatting>
  <conditionalFormatting sqref="B115">
    <cfRule type="expression" dxfId="3468" priority="76">
      <formula>AND(OR(ROW()=CELL("row"),COLUMN()=CELL("col")),NOT(ISBLANK($C115)),NOT(ISBLANK($B115)),ROW()&gt;2,COLUMN()&gt;1)</formula>
    </cfRule>
  </conditionalFormatting>
  <conditionalFormatting sqref="B115">
    <cfRule type="expression" dxfId="3467" priority="75">
      <formula>SUM(--ISBLANK($B115:$J115))=COLUMNS($B115:$J115)</formula>
    </cfRule>
  </conditionalFormatting>
  <conditionalFormatting sqref="B115">
    <cfRule type="containsText" dxfId="3466" priority="77" operator="containsText" text="NP">
      <formula>NOT(ISERROR(SEARCH("NP",B115)))</formula>
    </cfRule>
  </conditionalFormatting>
  <conditionalFormatting sqref="B115">
    <cfRule type="cellIs" dxfId="3465" priority="81" operator="greaterThanOrEqual">
      <formula>4.95</formula>
    </cfRule>
  </conditionalFormatting>
  <conditionalFormatting sqref="B115">
    <cfRule type="expression" dxfId="3464" priority="74">
      <formula>ISBLANK(B115)</formula>
    </cfRule>
  </conditionalFormatting>
  <conditionalFormatting sqref="B115">
    <cfRule type="containsText" dxfId="3463" priority="73" operator="containsText" text="Reconocimiento Créditos">
      <formula>NOT(ISERROR(SEARCH("Reconocimiento Créditos",B115)))</formula>
    </cfRule>
  </conditionalFormatting>
  <conditionalFormatting sqref="B115">
    <cfRule type="expression" dxfId="3462" priority="71">
      <formula>AND(ISNUMBER(B115), OR(B115&gt;10, B115&lt;0))</formula>
    </cfRule>
  </conditionalFormatting>
  <conditionalFormatting sqref="B115">
    <cfRule type="expression" dxfId="3461" priority="70">
      <formula>AND(NOT(ISNUMBER(B115)), B115&lt;&gt;"NP", B115&lt;&gt;"Reconocimiento Créditos", B115&lt;&gt;"Aprobado en otro curso")</formula>
    </cfRule>
  </conditionalFormatting>
  <conditionalFormatting sqref="B115">
    <cfRule type="containsText" dxfId="3460" priority="69" operator="containsText" text="Reconocimiento Créditos">
      <formula>NOT(ISERROR(SEARCH("Reconocimiento Créditos",B115)))</formula>
    </cfRule>
  </conditionalFormatting>
  <conditionalFormatting sqref="B115">
    <cfRule type="containsText" dxfId="3459" priority="72" operator="containsText" text="Aprobado en otro curso">
      <formula>NOT(ISERROR(SEARCH("Aprobado en otro curso",B115)))</formula>
    </cfRule>
  </conditionalFormatting>
  <conditionalFormatting sqref="A116">
    <cfRule type="expression" dxfId="3458" priority="67">
      <formula>AND(OR(ROW()=CELL("row"),COLUMN()=CELL("col")),NOT(ISBLANK($C116)),NOT(ISBLANK($B116)),ROW()&gt;2,COLUMN()&gt;1)</formula>
    </cfRule>
  </conditionalFormatting>
  <conditionalFormatting sqref="A116">
    <cfRule type="expression" dxfId="3457" priority="66">
      <formula>SUM(--ISBLANK($B116:$J116))=COLUMNS($B116:$J116)</formula>
    </cfRule>
  </conditionalFormatting>
  <conditionalFormatting sqref="A116">
    <cfRule type="containsText" dxfId="3456" priority="68" operator="containsText" text="NP">
      <formula>NOT(ISERROR(SEARCH("NP",A116)))</formula>
    </cfRule>
  </conditionalFormatting>
  <conditionalFormatting sqref="A116">
    <cfRule type="expression" dxfId="3455" priority="65">
      <formula>ISBLANK(A116)</formula>
    </cfRule>
  </conditionalFormatting>
  <conditionalFormatting sqref="B116">
    <cfRule type="expression" dxfId="3454" priority="61">
      <formula>B116=""</formula>
    </cfRule>
    <cfRule type="containsText" dxfId="3453" priority="62" operator="containsText" text="NP">
      <formula>NOT(ISERROR(SEARCH("NP",B116)))</formula>
    </cfRule>
    <cfRule type="cellIs" dxfId="3452" priority="63" operator="lessThan">
      <formula>4.95</formula>
    </cfRule>
  </conditionalFormatting>
  <conditionalFormatting sqref="B116">
    <cfRule type="expression" dxfId="3451" priority="59">
      <formula>AND(OR(ROW()=CELL("row"),COLUMN()=CELL("col")),NOT(ISBLANK($C116)),NOT(ISBLANK($B116)),ROW()&gt;2,COLUMN()&gt;1)</formula>
    </cfRule>
  </conditionalFormatting>
  <conditionalFormatting sqref="B116">
    <cfRule type="expression" dxfId="3450" priority="58">
      <formula>SUM(--ISBLANK($B116:$J116))=COLUMNS($B116:$J116)</formula>
    </cfRule>
  </conditionalFormatting>
  <conditionalFormatting sqref="B116">
    <cfRule type="containsText" dxfId="3449" priority="60" operator="containsText" text="NP">
      <formula>NOT(ISERROR(SEARCH("NP",B116)))</formula>
    </cfRule>
  </conditionalFormatting>
  <conditionalFormatting sqref="B116">
    <cfRule type="cellIs" dxfId="3448" priority="64" operator="greaterThanOrEqual">
      <formula>4.95</formula>
    </cfRule>
  </conditionalFormatting>
  <conditionalFormatting sqref="B116">
    <cfRule type="expression" dxfId="3447" priority="57">
      <formula>ISBLANK(B116)</formula>
    </cfRule>
  </conditionalFormatting>
  <conditionalFormatting sqref="B116">
    <cfRule type="containsText" dxfId="3446" priority="56" operator="containsText" text="Reconocimiento Créditos">
      <formula>NOT(ISERROR(SEARCH("Reconocimiento Créditos",B116)))</formula>
    </cfRule>
  </conditionalFormatting>
  <conditionalFormatting sqref="B116">
    <cfRule type="expression" dxfId="3445" priority="54">
      <formula>AND(ISNUMBER(B116), OR(B116&gt;10, B116&lt;0))</formula>
    </cfRule>
  </conditionalFormatting>
  <conditionalFormatting sqref="B116">
    <cfRule type="expression" dxfId="3444" priority="53">
      <formula>AND(NOT(ISNUMBER(B116)), B116&lt;&gt;"NP", B116&lt;&gt;"Reconocimiento Créditos", B116&lt;&gt;"Aprobado en otro curso")</formula>
    </cfRule>
  </conditionalFormatting>
  <conditionalFormatting sqref="B116">
    <cfRule type="containsText" dxfId="3443" priority="52" operator="containsText" text="Reconocimiento Créditos">
      <formula>NOT(ISERROR(SEARCH("Reconocimiento Créditos",B116)))</formula>
    </cfRule>
  </conditionalFormatting>
  <conditionalFormatting sqref="B116">
    <cfRule type="containsText" dxfId="3442" priority="55" operator="containsText" text="Aprobado en otro curso">
      <formula>NOT(ISERROR(SEARCH("Aprobado en otro curso",B116)))</formula>
    </cfRule>
  </conditionalFormatting>
  <conditionalFormatting sqref="A117">
    <cfRule type="expression" dxfId="3441" priority="50">
      <formula>AND(OR(ROW()=CELL("row"),COLUMN()=CELL("col")),NOT(ISBLANK($C117)),NOT(ISBLANK($B117)),ROW()&gt;2,COLUMN()&gt;1)</formula>
    </cfRule>
  </conditionalFormatting>
  <conditionalFormatting sqref="A117">
    <cfRule type="expression" dxfId="3440" priority="49">
      <formula>SUM(--ISBLANK($B117:$J117))=COLUMNS($B117:$J117)</formula>
    </cfRule>
  </conditionalFormatting>
  <conditionalFormatting sqref="A117">
    <cfRule type="containsText" dxfId="3439" priority="51" operator="containsText" text="NP">
      <formula>NOT(ISERROR(SEARCH("NP",A117)))</formula>
    </cfRule>
  </conditionalFormatting>
  <conditionalFormatting sqref="A117">
    <cfRule type="expression" dxfId="3438" priority="48">
      <formula>ISBLANK(A117)</formula>
    </cfRule>
  </conditionalFormatting>
  <conditionalFormatting sqref="B117">
    <cfRule type="expression" dxfId="3437" priority="44">
      <formula>B117=""</formula>
    </cfRule>
    <cfRule type="containsText" dxfId="3436" priority="45" operator="containsText" text="NP">
      <formula>NOT(ISERROR(SEARCH("NP",B117)))</formula>
    </cfRule>
    <cfRule type="cellIs" dxfId="3435" priority="46" operator="lessThan">
      <formula>4.95</formula>
    </cfRule>
  </conditionalFormatting>
  <conditionalFormatting sqref="B117">
    <cfRule type="expression" dxfId="3434" priority="42">
      <formula>AND(OR(ROW()=CELL("row"),COLUMN()=CELL("col")),NOT(ISBLANK($C117)),NOT(ISBLANK($B117)),ROW()&gt;2,COLUMN()&gt;1)</formula>
    </cfRule>
  </conditionalFormatting>
  <conditionalFormatting sqref="B117">
    <cfRule type="expression" dxfId="3433" priority="41">
      <formula>SUM(--ISBLANK($B117:$J117))=COLUMNS($B117:$J117)</formula>
    </cfRule>
  </conditionalFormatting>
  <conditionalFormatting sqref="B117">
    <cfRule type="containsText" dxfId="3432" priority="43" operator="containsText" text="NP">
      <formula>NOT(ISERROR(SEARCH("NP",B117)))</formula>
    </cfRule>
  </conditionalFormatting>
  <conditionalFormatting sqref="B117">
    <cfRule type="cellIs" dxfId="3431" priority="47" operator="greaterThanOrEqual">
      <formula>4.95</formula>
    </cfRule>
  </conditionalFormatting>
  <conditionalFormatting sqref="B117">
    <cfRule type="expression" dxfId="3430" priority="40">
      <formula>ISBLANK(B117)</formula>
    </cfRule>
  </conditionalFormatting>
  <conditionalFormatting sqref="B117">
    <cfRule type="containsText" dxfId="3429" priority="39" operator="containsText" text="Reconocimiento Créditos">
      <formula>NOT(ISERROR(SEARCH("Reconocimiento Créditos",B117)))</formula>
    </cfRule>
  </conditionalFormatting>
  <conditionalFormatting sqref="B117">
    <cfRule type="expression" dxfId="3428" priority="37">
      <formula>AND(ISNUMBER(B117), OR(B117&gt;10, B117&lt;0))</formula>
    </cfRule>
  </conditionalFormatting>
  <conditionalFormatting sqref="B117">
    <cfRule type="expression" dxfId="3427" priority="36">
      <formula>AND(NOT(ISNUMBER(B117)), B117&lt;&gt;"NP", B117&lt;&gt;"Reconocimiento Créditos", B117&lt;&gt;"Aprobado en otro curso")</formula>
    </cfRule>
  </conditionalFormatting>
  <conditionalFormatting sqref="B117">
    <cfRule type="containsText" dxfId="3426" priority="35" operator="containsText" text="Reconocimiento Créditos">
      <formula>NOT(ISERROR(SEARCH("Reconocimiento Créditos",B117)))</formula>
    </cfRule>
  </conditionalFormatting>
  <conditionalFormatting sqref="B117">
    <cfRule type="containsText" dxfId="3425" priority="38" operator="containsText" text="Aprobado en otro curso">
      <formula>NOT(ISERROR(SEARCH("Aprobado en otro curso",B117)))</formula>
    </cfRule>
  </conditionalFormatting>
  <conditionalFormatting sqref="A118">
    <cfRule type="expression" dxfId="3424" priority="33">
      <formula>AND(OR(ROW()=CELL("row"),COLUMN()=CELL("col")),NOT(ISBLANK($C118)),NOT(ISBLANK($B118)),ROW()&gt;2,COLUMN()&gt;1)</formula>
    </cfRule>
  </conditionalFormatting>
  <conditionalFormatting sqref="A118">
    <cfRule type="expression" dxfId="3423" priority="32">
      <formula>SUM(--ISBLANK($B118:$J118))=COLUMNS($B118:$J118)</formula>
    </cfRule>
  </conditionalFormatting>
  <conditionalFormatting sqref="A118">
    <cfRule type="containsText" dxfId="3422" priority="34" operator="containsText" text="NP">
      <formula>NOT(ISERROR(SEARCH("NP",A118)))</formula>
    </cfRule>
  </conditionalFormatting>
  <conditionalFormatting sqref="A118">
    <cfRule type="expression" dxfId="3421" priority="31">
      <formula>ISBLANK(A118)</formula>
    </cfRule>
  </conditionalFormatting>
  <conditionalFormatting sqref="B118">
    <cfRule type="expression" dxfId="3420" priority="27">
      <formula>B118=""</formula>
    </cfRule>
    <cfRule type="containsText" dxfId="3419" priority="28" operator="containsText" text="NP">
      <formula>NOT(ISERROR(SEARCH("NP",B118)))</formula>
    </cfRule>
    <cfRule type="cellIs" dxfId="3418" priority="29" operator="lessThan">
      <formula>4.95</formula>
    </cfRule>
  </conditionalFormatting>
  <conditionalFormatting sqref="B118">
    <cfRule type="expression" dxfId="3417" priority="25">
      <formula>AND(OR(ROW()=CELL("row"),COLUMN()=CELL("col")),NOT(ISBLANK($C118)),NOT(ISBLANK($B118)),ROW()&gt;2,COLUMN()&gt;1)</formula>
    </cfRule>
  </conditionalFormatting>
  <conditionalFormatting sqref="B118">
    <cfRule type="expression" dxfId="3416" priority="24">
      <formula>SUM(--ISBLANK($B118:$J118))=COLUMNS($B118:$J118)</formula>
    </cfRule>
  </conditionalFormatting>
  <conditionalFormatting sqref="B118">
    <cfRule type="containsText" dxfId="3415" priority="26" operator="containsText" text="NP">
      <formula>NOT(ISERROR(SEARCH("NP",B118)))</formula>
    </cfRule>
  </conditionalFormatting>
  <conditionalFormatting sqref="B118">
    <cfRule type="cellIs" dxfId="3414" priority="30" operator="greaterThanOrEqual">
      <formula>4.95</formula>
    </cfRule>
  </conditionalFormatting>
  <conditionalFormatting sqref="B118">
    <cfRule type="expression" dxfId="3413" priority="23">
      <formula>ISBLANK(B118)</formula>
    </cfRule>
  </conditionalFormatting>
  <conditionalFormatting sqref="B118">
    <cfRule type="containsText" dxfId="3412" priority="22" operator="containsText" text="Reconocimiento Créditos">
      <formula>NOT(ISERROR(SEARCH("Reconocimiento Créditos",B118)))</formula>
    </cfRule>
  </conditionalFormatting>
  <conditionalFormatting sqref="B118">
    <cfRule type="expression" dxfId="3411" priority="20">
      <formula>AND(ISNUMBER(B118), OR(B118&gt;10, B118&lt;0))</formula>
    </cfRule>
  </conditionalFormatting>
  <conditionalFormatting sqref="B118">
    <cfRule type="expression" dxfId="3410" priority="19">
      <formula>AND(NOT(ISNUMBER(B118)), B118&lt;&gt;"NP", B118&lt;&gt;"Reconocimiento Créditos", B118&lt;&gt;"Aprobado en otro curso")</formula>
    </cfRule>
  </conditionalFormatting>
  <conditionalFormatting sqref="B118">
    <cfRule type="containsText" dxfId="3409" priority="18" operator="containsText" text="Reconocimiento Créditos">
      <formula>NOT(ISERROR(SEARCH("Reconocimiento Créditos",B118)))</formula>
    </cfRule>
  </conditionalFormatting>
  <conditionalFormatting sqref="B118">
    <cfRule type="containsText" dxfId="3408" priority="21" operator="containsText" text="Aprobado en otro curso">
      <formula>NOT(ISERROR(SEARCH("Aprobado en otro curso",B118)))</formula>
    </cfRule>
  </conditionalFormatting>
  <conditionalFormatting sqref="A119">
    <cfRule type="expression" dxfId="3407" priority="16">
      <formula>AND(OR(ROW()=CELL("row"),COLUMN()=CELL("col")),NOT(ISBLANK($C119)),NOT(ISBLANK($B119)),ROW()&gt;2,COLUMN()&gt;1)</formula>
    </cfRule>
  </conditionalFormatting>
  <conditionalFormatting sqref="A119">
    <cfRule type="expression" dxfId="3406" priority="15">
      <formula>SUM(--ISBLANK($B119:$J119))=COLUMNS($B119:$J119)</formula>
    </cfRule>
  </conditionalFormatting>
  <conditionalFormatting sqref="A119">
    <cfRule type="containsText" dxfId="3405" priority="17" operator="containsText" text="NP">
      <formula>NOT(ISERROR(SEARCH("NP",A119)))</formula>
    </cfRule>
  </conditionalFormatting>
  <conditionalFormatting sqref="A119">
    <cfRule type="expression" dxfId="3404" priority="14">
      <formula>ISBLANK(A119)</formula>
    </cfRule>
  </conditionalFormatting>
  <conditionalFormatting sqref="B119">
    <cfRule type="expression" dxfId="3403" priority="10">
      <formula>B119=""</formula>
    </cfRule>
    <cfRule type="containsText" dxfId="3402" priority="11" operator="containsText" text="NP">
      <formula>NOT(ISERROR(SEARCH("NP",B119)))</formula>
    </cfRule>
    <cfRule type="cellIs" dxfId="3401" priority="12" operator="lessThan">
      <formula>4.95</formula>
    </cfRule>
  </conditionalFormatting>
  <conditionalFormatting sqref="B119">
    <cfRule type="expression" dxfId="3400" priority="8">
      <formula>AND(OR(ROW()=CELL("row"),COLUMN()=CELL("col")),NOT(ISBLANK($C119)),NOT(ISBLANK($B119)),ROW()&gt;2,COLUMN()&gt;1)</formula>
    </cfRule>
  </conditionalFormatting>
  <conditionalFormatting sqref="B119">
    <cfRule type="expression" dxfId="3399" priority="7">
      <formula>SUM(--ISBLANK($B119:$J119))=COLUMNS($B119:$J119)</formula>
    </cfRule>
  </conditionalFormatting>
  <conditionalFormatting sqref="B119">
    <cfRule type="containsText" dxfId="3398" priority="9" operator="containsText" text="NP">
      <formula>NOT(ISERROR(SEARCH("NP",B119)))</formula>
    </cfRule>
  </conditionalFormatting>
  <conditionalFormatting sqref="B119">
    <cfRule type="cellIs" dxfId="3397" priority="13" operator="greaterThanOrEqual">
      <formula>4.95</formula>
    </cfRule>
  </conditionalFormatting>
  <conditionalFormatting sqref="B119">
    <cfRule type="expression" dxfId="3396" priority="6">
      <formula>ISBLANK(B119)</formula>
    </cfRule>
  </conditionalFormatting>
  <conditionalFormatting sqref="B119">
    <cfRule type="containsText" dxfId="3395" priority="5" operator="containsText" text="Reconocimiento Créditos">
      <formula>NOT(ISERROR(SEARCH("Reconocimiento Créditos",B119)))</formula>
    </cfRule>
  </conditionalFormatting>
  <conditionalFormatting sqref="B119">
    <cfRule type="expression" dxfId="3394" priority="3">
      <formula>AND(ISNUMBER(B119), OR(B119&gt;10, B119&lt;0))</formula>
    </cfRule>
  </conditionalFormatting>
  <conditionalFormatting sqref="B119">
    <cfRule type="expression" dxfId="3393" priority="2">
      <formula>AND(NOT(ISNUMBER(B119)), B119&lt;&gt;"NP", B119&lt;&gt;"Reconocimiento Créditos", B119&lt;&gt;"Aprobado en otro curso")</formula>
    </cfRule>
  </conditionalFormatting>
  <conditionalFormatting sqref="B119">
    <cfRule type="containsText" dxfId="3392" priority="1" operator="containsText" text="Reconocimiento Créditos">
      <formula>NOT(ISERROR(SEARCH("Reconocimiento Créditos",B119)))</formula>
    </cfRule>
  </conditionalFormatting>
  <conditionalFormatting sqref="B119">
    <cfRule type="containsText" dxfId="3391" priority="4" operator="containsText" text="Aprobado en otro curso">
      <formula>NOT(ISERROR(SEARCH("Aprobado en otro curso",B119)))</formula>
    </cfRule>
  </conditionalFormatting>
  <printOptions horizontalCentered="1"/>
  <pageMargins left="0.19685039370078738" right="0.19685039370078738" top="0.39370078740157477" bottom="0.39370078740157477"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3649" r:id="rId4" name="BtnVerDatos">
              <controlPr defaultSize="0" print="0" autoFill="0" autoPict="0" macro="[0]!AlternarVisibilidadDatos">
                <anchor moveWithCells="1" sizeWithCells="1">
                  <from>
                    <xdr:col>6</xdr:col>
                    <xdr:colOff>0</xdr:colOff>
                    <xdr:row>0</xdr:row>
                    <xdr:rowOff>0</xdr:rowOff>
                  </from>
                  <to>
                    <xdr:col>10</xdr:col>
                    <xdr:colOff>0</xdr:colOff>
                    <xdr:row>2</xdr:row>
                    <xdr:rowOff>0</xdr:rowOff>
                  </to>
                </anchor>
              </controlPr>
            </control>
          </mc:Choice>
        </mc:AlternateContent>
        <mc:AlternateContent xmlns:mc="http://schemas.openxmlformats.org/markup-compatibility/2006">
          <mc:Choice Requires="x14">
            <control shapeId="283650" r:id="rId5" name="Button 2">
              <controlPr defaultSize="0" print="0" autoFill="0" autoPict="0" macro="[0]!EliminarHojaActual">
                <anchor moveWithCells="1" sizeWithCells="1">
                  <from>
                    <xdr:col>0</xdr:col>
                    <xdr:colOff>0</xdr:colOff>
                    <xdr:row>0</xdr:row>
                    <xdr:rowOff>0</xdr:rowOff>
                  </from>
                  <to>
                    <xdr:col>6</xdr:col>
                    <xdr:colOff>0</xdr:colOff>
                    <xdr:row>2</xdr:row>
                    <xdr:rowOff>0</xdr:rowOff>
                  </to>
                </anchor>
              </controlPr>
            </control>
          </mc:Choice>
        </mc:AlternateContent>
        <mc:AlternateContent xmlns:mc="http://schemas.openxmlformats.org/markup-compatibility/2006">
          <mc:Choice Requires="x14">
            <control shapeId="283651" r:id="rId6" name="Button 3">
              <controlPr defaultSize="0" print="0" autoFill="0" autoPict="0" macro="[0]!EliminarHojaActual">
                <anchor moveWithCells="1" sizeWithCells="1">
                  <from>
                    <xdr:col>0</xdr:col>
                    <xdr:colOff>0</xdr:colOff>
                    <xdr:row>0</xdr:row>
                    <xdr:rowOff>0</xdr:rowOff>
                  </from>
                  <to>
                    <xdr:col>6</xdr:col>
                    <xdr:colOff>0</xdr:colOff>
                    <xdr:row>2</xdr:row>
                    <xdr:rowOff>0</xdr:rowOff>
                  </to>
                </anchor>
              </controlPr>
            </control>
          </mc:Choice>
        </mc:AlternateContent>
        <mc:AlternateContent xmlns:mc="http://schemas.openxmlformats.org/markup-compatibility/2006">
          <mc:Choice Requires="x14">
            <control shapeId="283658" r:id="rId7" name="btnExportarPDF">
              <controlPr defaultSize="0" print="0" autoFill="0" autoPict="0" macro="[0]!ExportarInformePDF_Final">
                <anchor moveWithCells="1" sizeWithCells="1">
                  <from>
                    <xdr:col>10</xdr:col>
                    <xdr:colOff>0</xdr:colOff>
                    <xdr:row>0</xdr:row>
                    <xdr:rowOff>0</xdr:rowOff>
                  </from>
                  <to>
                    <xdr:col>14</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8FEBA-2107-4FD1-884A-B22CCE3EFDEE}">
  <sheetPr codeName="Hoja2">
    <pageSetUpPr fitToPage="1"/>
  </sheetPr>
  <dimension ref="A1:AG200"/>
  <sheetViews>
    <sheetView topLeftCell="C1" zoomScale="31" zoomScaleNormal="35" workbookViewId="0">
      <selection activeCell="G4" sqref="G4:Y40"/>
    </sheetView>
  </sheetViews>
  <sheetFormatPr baseColWidth="10" defaultRowHeight="14.5"/>
  <cols>
    <col min="1" max="1" width="47.54296875" hidden="1" customWidth="1"/>
    <col min="2" max="2" width="32.36328125" hidden="1" customWidth="1"/>
    <col min="4" max="4" width="38.81640625" bestFit="1" customWidth="1"/>
    <col min="5" max="5" width="6.36328125" bestFit="1" customWidth="1"/>
  </cols>
  <sheetData>
    <row r="1" spans="1:33" ht="28" customHeight="1" thickBot="1">
      <c r="A1" s="131" t="s">
        <v>106</v>
      </c>
      <c r="B1" s="132"/>
      <c r="C1" s="132"/>
      <c r="D1" s="132"/>
      <c r="E1" s="133"/>
      <c r="Z1" s="96">
        <v>5</v>
      </c>
    </row>
    <row r="3" spans="1:33" ht="18.5" thickBot="1">
      <c r="B3" s="6" t="s">
        <v>54</v>
      </c>
    </row>
    <row r="4" spans="1:33" ht="18.5" thickTop="1">
      <c r="B4" s="13" t="s">
        <v>10</v>
      </c>
      <c r="D4" s="169" t="s">
        <v>32</v>
      </c>
      <c r="E4" s="170">
        <v>4.9510526315789454</v>
      </c>
      <c r="G4" s="134"/>
      <c r="H4" s="135"/>
      <c r="I4" s="135"/>
      <c r="J4" s="135"/>
      <c r="K4" s="135"/>
      <c r="L4" s="135"/>
      <c r="M4" s="135"/>
      <c r="N4" s="135"/>
      <c r="O4" s="135"/>
      <c r="P4" s="135"/>
      <c r="Q4" s="135"/>
      <c r="R4" s="135"/>
      <c r="S4" s="135"/>
      <c r="T4" s="135"/>
      <c r="U4" s="135"/>
      <c r="V4" s="135"/>
      <c r="W4" s="135"/>
      <c r="X4" s="135"/>
      <c r="Y4" s="136"/>
      <c r="AA4" s="134"/>
      <c r="AB4" s="135"/>
      <c r="AC4" s="135"/>
      <c r="AD4" s="135"/>
      <c r="AE4" s="135"/>
      <c r="AF4" s="135"/>
      <c r="AG4" s="136"/>
    </row>
    <row r="5" spans="1:33" ht="18">
      <c r="B5" s="3">
        <v>15</v>
      </c>
      <c r="D5" s="104" t="s">
        <v>33</v>
      </c>
      <c r="E5" s="105">
        <v>5.05</v>
      </c>
      <c r="G5" s="137"/>
      <c r="H5" s="168"/>
      <c r="I5" s="168"/>
      <c r="J5" s="168"/>
      <c r="K5" s="168"/>
      <c r="L5" s="168"/>
      <c r="M5" s="168"/>
      <c r="N5" s="168"/>
      <c r="O5" s="168"/>
      <c r="P5" s="168"/>
      <c r="Q5" s="168"/>
      <c r="R5" s="168"/>
      <c r="S5" s="168"/>
      <c r="T5" s="168"/>
      <c r="U5" s="168"/>
      <c r="V5" s="168"/>
      <c r="W5" s="168"/>
      <c r="X5" s="168"/>
      <c r="Y5" s="138"/>
      <c r="AA5" s="137"/>
      <c r="AB5" s="168"/>
      <c r="AC5" s="168"/>
      <c r="AD5" s="168"/>
      <c r="AE5" s="168"/>
      <c r="AF5" s="168"/>
      <c r="AG5" s="138"/>
    </row>
    <row r="6" spans="1:33" ht="18">
      <c r="A6" s="51" t="s">
        <v>15</v>
      </c>
      <c r="B6" s="45"/>
      <c r="D6" s="104" t="s">
        <v>34</v>
      </c>
      <c r="E6" s="105">
        <v>2.0848952888936632</v>
      </c>
      <c r="G6" s="137"/>
      <c r="H6" s="168"/>
      <c r="I6" s="168"/>
      <c r="J6" s="168"/>
      <c r="K6" s="168"/>
      <c r="L6" s="168"/>
      <c r="M6" s="168"/>
      <c r="N6" s="168"/>
      <c r="O6" s="168"/>
      <c r="P6" s="168"/>
      <c r="Q6" s="168"/>
      <c r="R6" s="168"/>
      <c r="S6" s="168"/>
      <c r="T6" s="168"/>
      <c r="U6" s="168"/>
      <c r="V6" s="168"/>
      <c r="W6" s="168"/>
      <c r="X6" s="168"/>
      <c r="Y6" s="138"/>
      <c r="AA6" s="137"/>
      <c r="AB6" s="168"/>
      <c r="AC6" s="168"/>
      <c r="AD6" s="168"/>
      <c r="AE6" s="168"/>
      <c r="AF6" s="168"/>
      <c r="AG6" s="138"/>
    </row>
    <row r="7" spans="1:33" ht="18">
      <c r="A7" s="4" t="s">
        <v>30</v>
      </c>
      <c r="B7" s="70">
        <v>8.9</v>
      </c>
      <c r="D7" s="104" t="s">
        <v>35</v>
      </c>
      <c r="E7" s="105">
        <v>0.42110141903879683</v>
      </c>
      <c r="G7" s="137"/>
      <c r="H7" s="168"/>
      <c r="I7" s="168"/>
      <c r="J7" s="168"/>
      <c r="K7" s="168"/>
      <c r="L7" s="168"/>
      <c r="M7" s="168"/>
      <c r="N7" s="168"/>
      <c r="O7" s="168"/>
      <c r="P7" s="168"/>
      <c r="Q7" s="168"/>
      <c r="R7" s="168"/>
      <c r="S7" s="168"/>
      <c r="T7" s="168"/>
      <c r="U7" s="168"/>
      <c r="V7" s="168"/>
      <c r="W7" s="168"/>
      <c r="X7" s="168"/>
      <c r="Y7" s="138"/>
      <c r="AA7" s="137"/>
      <c r="AB7" s="168"/>
      <c r="AC7" s="168"/>
      <c r="AD7" s="168"/>
      <c r="AE7" s="168"/>
      <c r="AF7" s="168"/>
      <c r="AG7" s="138"/>
    </row>
    <row r="8" spans="1:33" ht="18">
      <c r="A8" s="4" t="s">
        <v>30</v>
      </c>
      <c r="B8" s="70">
        <v>2.5</v>
      </c>
      <c r="D8" s="104" t="s">
        <v>36</v>
      </c>
      <c r="E8" s="105">
        <v>9.3000000000000007</v>
      </c>
      <c r="G8" s="137"/>
      <c r="H8" s="168"/>
      <c r="I8" s="168"/>
      <c r="J8" s="168"/>
      <c r="K8" s="168"/>
      <c r="L8" s="168"/>
      <c r="M8" s="168"/>
      <c r="N8" s="168"/>
      <c r="O8" s="168"/>
      <c r="P8" s="168"/>
      <c r="Q8" s="168"/>
      <c r="R8" s="168"/>
      <c r="S8" s="168"/>
      <c r="T8" s="168"/>
      <c r="U8" s="168"/>
      <c r="V8" s="168"/>
      <c r="W8" s="168"/>
      <c r="X8" s="168"/>
      <c r="Y8" s="138"/>
      <c r="AA8" s="137"/>
      <c r="AB8" s="168"/>
      <c r="AC8" s="168"/>
      <c r="AD8" s="168"/>
      <c r="AE8" s="168"/>
      <c r="AF8" s="168"/>
      <c r="AG8" s="138"/>
    </row>
    <row r="9" spans="1:33" ht="18">
      <c r="A9" s="4" t="s">
        <v>30</v>
      </c>
      <c r="B9" s="70">
        <v>3</v>
      </c>
      <c r="D9" s="104" t="s">
        <v>37</v>
      </c>
      <c r="E9" s="105">
        <v>3.1500000000000004</v>
      </c>
      <c r="G9" s="137"/>
      <c r="H9" s="168"/>
      <c r="I9" s="168"/>
      <c r="J9" s="168"/>
      <c r="K9" s="168"/>
      <c r="L9" s="168"/>
      <c r="M9" s="168"/>
      <c r="N9" s="168"/>
      <c r="O9" s="168"/>
      <c r="P9" s="168"/>
      <c r="Q9" s="168"/>
      <c r="R9" s="168"/>
      <c r="S9" s="168"/>
      <c r="T9" s="168"/>
      <c r="U9" s="168"/>
      <c r="V9" s="168"/>
      <c r="W9" s="168"/>
      <c r="X9" s="168"/>
      <c r="Y9" s="138"/>
      <c r="AA9" s="137"/>
      <c r="AB9" s="168"/>
      <c r="AC9" s="168"/>
      <c r="AD9" s="168"/>
      <c r="AE9" s="168"/>
      <c r="AF9" s="168"/>
      <c r="AG9" s="138"/>
    </row>
    <row r="10" spans="1:33" ht="18">
      <c r="A10" s="4" t="s">
        <v>30</v>
      </c>
      <c r="B10" s="70">
        <v>7</v>
      </c>
      <c r="D10" s="104" t="s">
        <v>38</v>
      </c>
      <c r="E10" s="105">
        <v>4.3431513800737939E-2</v>
      </c>
      <c r="G10" s="137"/>
      <c r="H10" s="168"/>
      <c r="I10" s="168"/>
      <c r="J10" s="168"/>
      <c r="K10" s="168"/>
      <c r="L10" s="168"/>
      <c r="M10" s="168"/>
      <c r="N10" s="168"/>
      <c r="O10" s="168"/>
      <c r="P10" s="168"/>
      <c r="Q10" s="168"/>
      <c r="R10" s="168"/>
      <c r="S10" s="168"/>
      <c r="T10" s="168"/>
      <c r="U10" s="168"/>
      <c r="V10" s="168"/>
      <c r="W10" s="168"/>
      <c r="X10" s="168"/>
      <c r="Y10" s="138"/>
      <c r="AA10" s="137"/>
      <c r="AB10" s="168"/>
      <c r="AC10" s="168"/>
      <c r="AD10" s="168"/>
      <c r="AE10" s="168"/>
      <c r="AF10" s="168"/>
      <c r="AG10" s="138"/>
    </row>
    <row r="11" spans="1:33" ht="18">
      <c r="A11" s="4" t="s">
        <v>30</v>
      </c>
      <c r="B11" s="70">
        <v>2</v>
      </c>
      <c r="D11" s="104" t="s">
        <v>39</v>
      </c>
      <c r="E11" s="105">
        <v>-0.73677549971671263</v>
      </c>
      <c r="G11" s="137"/>
      <c r="H11" s="168"/>
      <c r="I11" s="168"/>
      <c r="J11" s="168"/>
      <c r="K11" s="168"/>
      <c r="L11" s="168"/>
      <c r="M11" s="168"/>
      <c r="N11" s="168"/>
      <c r="O11" s="168"/>
      <c r="P11" s="168"/>
      <c r="Q11" s="168"/>
      <c r="R11" s="168"/>
      <c r="S11" s="168"/>
      <c r="T11" s="168"/>
      <c r="U11" s="168"/>
      <c r="V11" s="168"/>
      <c r="W11" s="168"/>
      <c r="X11" s="168"/>
      <c r="Y11" s="138"/>
      <c r="AA11" s="137"/>
      <c r="AB11" s="168"/>
      <c r="AC11" s="168"/>
      <c r="AD11" s="168"/>
      <c r="AE11" s="168"/>
      <c r="AF11" s="168"/>
      <c r="AG11" s="138"/>
    </row>
    <row r="12" spans="1:33" ht="18">
      <c r="A12" s="4" t="s">
        <v>30</v>
      </c>
      <c r="B12" s="70">
        <v>7.5</v>
      </c>
      <c r="D12" s="104" t="s">
        <v>46</v>
      </c>
      <c r="E12" s="105">
        <v>3.3</v>
      </c>
      <c r="G12" s="137"/>
      <c r="H12" s="168"/>
      <c r="I12" s="168"/>
      <c r="J12" s="168"/>
      <c r="K12" s="168"/>
      <c r="L12" s="168"/>
      <c r="M12" s="168"/>
      <c r="N12" s="168"/>
      <c r="O12" s="168"/>
      <c r="P12" s="168"/>
      <c r="Q12" s="168"/>
      <c r="R12" s="168"/>
      <c r="S12" s="168"/>
      <c r="T12" s="168"/>
      <c r="U12" s="168"/>
      <c r="V12" s="168"/>
      <c r="W12" s="168"/>
      <c r="X12" s="168"/>
      <c r="Y12" s="138"/>
      <c r="AA12" s="137"/>
      <c r="AB12" s="168"/>
      <c r="AC12" s="168"/>
      <c r="AD12" s="168"/>
      <c r="AE12" s="168"/>
      <c r="AF12" s="168"/>
      <c r="AG12" s="138"/>
    </row>
    <row r="13" spans="1:33" ht="18">
      <c r="A13" s="4" t="s">
        <v>30</v>
      </c>
      <c r="B13" s="70">
        <v>7.5</v>
      </c>
      <c r="D13" s="104" t="s">
        <v>47</v>
      </c>
      <c r="E13" s="105">
        <v>6.45</v>
      </c>
      <c r="G13" s="137"/>
      <c r="H13" s="168"/>
      <c r="I13" s="168"/>
      <c r="J13" s="168"/>
      <c r="K13" s="168"/>
      <c r="L13" s="168"/>
      <c r="M13" s="168"/>
      <c r="N13" s="168"/>
      <c r="O13" s="168"/>
      <c r="P13" s="168"/>
      <c r="Q13" s="168"/>
      <c r="R13" s="168"/>
      <c r="S13" s="168"/>
      <c r="T13" s="168"/>
      <c r="U13" s="168"/>
      <c r="V13" s="168"/>
      <c r="W13" s="168"/>
      <c r="X13" s="168"/>
      <c r="Y13" s="138"/>
      <c r="AA13" s="137"/>
      <c r="AB13" s="168"/>
      <c r="AC13" s="168"/>
      <c r="AD13" s="168"/>
      <c r="AE13" s="168"/>
      <c r="AF13" s="168"/>
      <c r="AG13" s="138"/>
    </row>
    <row r="14" spans="1:33" ht="18">
      <c r="A14" s="4" t="s">
        <v>30</v>
      </c>
      <c r="B14" s="70">
        <v>3.3</v>
      </c>
      <c r="D14" s="104" t="s">
        <v>40</v>
      </c>
      <c r="E14" s="105">
        <v>7.62</v>
      </c>
      <c r="G14" s="137"/>
      <c r="H14" s="168"/>
      <c r="I14" s="168"/>
      <c r="J14" s="168"/>
      <c r="K14" s="168"/>
      <c r="L14" s="168"/>
      <c r="M14" s="168"/>
      <c r="N14" s="168"/>
      <c r="O14" s="168"/>
      <c r="P14" s="168"/>
      <c r="Q14" s="168"/>
      <c r="R14" s="168"/>
      <c r="S14" s="168"/>
      <c r="T14" s="168"/>
      <c r="U14" s="168"/>
      <c r="V14" s="168"/>
      <c r="W14" s="168"/>
      <c r="X14" s="168"/>
      <c r="Y14" s="138"/>
      <c r="AA14" s="137"/>
      <c r="AB14" s="168"/>
      <c r="AC14" s="168"/>
      <c r="AD14" s="168"/>
      <c r="AE14" s="168"/>
      <c r="AF14" s="168"/>
      <c r="AG14" s="138"/>
    </row>
    <row r="15" spans="1:33" ht="18">
      <c r="A15" s="4" t="s">
        <v>30</v>
      </c>
      <c r="B15" s="70">
        <v>4</v>
      </c>
      <c r="D15" s="104" t="s">
        <v>42</v>
      </c>
      <c r="E15" s="106">
        <v>9</v>
      </c>
      <c r="G15" s="137"/>
      <c r="H15" s="168"/>
      <c r="I15" s="168"/>
      <c r="J15" s="168"/>
      <c r="K15" s="168"/>
      <c r="L15" s="168"/>
      <c r="M15" s="168"/>
      <c r="N15" s="168"/>
      <c r="O15" s="168"/>
      <c r="P15" s="168"/>
      <c r="Q15" s="168"/>
      <c r="R15" s="168"/>
      <c r="S15" s="168"/>
      <c r="T15" s="168"/>
      <c r="U15" s="168"/>
      <c r="V15" s="168"/>
      <c r="W15" s="168"/>
      <c r="X15" s="168"/>
      <c r="Y15" s="138"/>
      <c r="AA15" s="137"/>
      <c r="AB15" s="168"/>
      <c r="AC15" s="168"/>
      <c r="AD15" s="168"/>
      <c r="AE15" s="168"/>
      <c r="AF15" s="168"/>
      <c r="AG15" s="138"/>
    </row>
    <row r="16" spans="1:33" ht="18">
      <c r="A16" s="4" t="s">
        <v>30</v>
      </c>
      <c r="B16" s="70">
        <v>2.9</v>
      </c>
      <c r="D16" s="104" t="s">
        <v>41</v>
      </c>
      <c r="E16" s="106">
        <v>50</v>
      </c>
      <c r="G16" s="137"/>
      <c r="H16" s="168"/>
      <c r="I16" s="168"/>
      <c r="J16" s="168"/>
      <c r="K16" s="168"/>
      <c r="L16" s="168"/>
      <c r="M16" s="168"/>
      <c r="N16" s="168"/>
      <c r="O16" s="168"/>
      <c r="P16" s="168"/>
      <c r="Q16" s="168"/>
      <c r="R16" s="168"/>
      <c r="S16" s="168"/>
      <c r="T16" s="168"/>
      <c r="U16" s="168"/>
      <c r="V16" s="168"/>
      <c r="W16" s="168"/>
      <c r="X16" s="168"/>
      <c r="Y16" s="138"/>
      <c r="AA16" s="137"/>
      <c r="AB16" s="168"/>
      <c r="AC16" s="168"/>
      <c r="AD16" s="168"/>
      <c r="AE16" s="168"/>
      <c r="AF16" s="168"/>
      <c r="AG16" s="138"/>
    </row>
    <row r="17" spans="1:33" ht="18">
      <c r="A17" s="51" t="s">
        <v>17</v>
      </c>
      <c r="B17" s="86"/>
      <c r="D17" s="104" t="s">
        <v>43</v>
      </c>
      <c r="E17" s="107">
        <v>0.52631578947368418</v>
      </c>
      <c r="G17" s="137"/>
      <c r="H17" s="168"/>
      <c r="I17" s="168"/>
      <c r="J17" s="168"/>
      <c r="K17" s="168"/>
      <c r="L17" s="168"/>
      <c r="M17" s="168"/>
      <c r="N17" s="168"/>
      <c r="O17" s="168"/>
      <c r="P17" s="168"/>
      <c r="Q17" s="168"/>
      <c r="R17" s="168"/>
      <c r="S17" s="168"/>
      <c r="T17" s="168"/>
      <c r="U17" s="168"/>
      <c r="V17" s="168"/>
      <c r="W17" s="168"/>
      <c r="X17" s="168"/>
      <c r="Y17" s="138"/>
      <c r="AA17" s="137"/>
      <c r="AB17" s="168"/>
      <c r="AC17" s="168"/>
      <c r="AD17" s="168"/>
      <c r="AE17" s="168"/>
      <c r="AF17" s="168"/>
      <c r="AG17" s="138"/>
    </row>
    <row r="18" spans="1:33" ht="18">
      <c r="A18" s="4" t="s">
        <v>30</v>
      </c>
      <c r="B18" s="70">
        <v>5.35</v>
      </c>
      <c r="D18" s="104" t="s">
        <v>80</v>
      </c>
      <c r="E18" s="105">
        <v>3.1044444444444457</v>
      </c>
      <c r="G18" s="137"/>
      <c r="H18" s="168"/>
      <c r="I18" s="168"/>
      <c r="J18" s="168"/>
      <c r="K18" s="168"/>
      <c r="L18" s="168"/>
      <c r="M18" s="168"/>
      <c r="N18" s="168"/>
      <c r="O18" s="168"/>
      <c r="P18" s="168"/>
      <c r="Q18" s="168"/>
      <c r="R18" s="168"/>
      <c r="S18" s="168"/>
      <c r="T18" s="168"/>
      <c r="U18" s="168"/>
      <c r="V18" s="168"/>
      <c r="W18" s="168"/>
      <c r="X18" s="168"/>
      <c r="Y18" s="138"/>
      <c r="AA18" s="137"/>
      <c r="AB18" s="168"/>
      <c r="AC18" s="168"/>
      <c r="AD18" s="168"/>
      <c r="AE18" s="168"/>
      <c r="AF18" s="168"/>
      <c r="AG18" s="138"/>
    </row>
    <row r="19" spans="1:33" ht="18">
      <c r="A19" s="4" t="s">
        <v>30</v>
      </c>
      <c r="B19" s="70">
        <v>3.3</v>
      </c>
      <c r="D19" s="104" t="s">
        <v>44</v>
      </c>
      <c r="E19" s="105">
        <v>0.4269680127084452</v>
      </c>
      <c r="G19" s="137"/>
      <c r="H19" s="168"/>
      <c r="I19" s="168"/>
      <c r="J19" s="168"/>
      <c r="K19" s="168"/>
      <c r="L19" s="168"/>
      <c r="M19" s="168"/>
      <c r="N19" s="168"/>
      <c r="O19" s="168"/>
      <c r="P19" s="168"/>
      <c r="Q19" s="168"/>
      <c r="R19" s="168"/>
      <c r="S19" s="168"/>
      <c r="T19" s="168"/>
      <c r="U19" s="168"/>
      <c r="V19" s="168"/>
      <c r="W19" s="168"/>
      <c r="X19" s="168"/>
      <c r="Y19" s="138"/>
      <c r="AA19" s="137"/>
      <c r="AB19" s="168"/>
      <c r="AC19" s="168"/>
      <c r="AD19" s="168"/>
      <c r="AE19" s="168"/>
      <c r="AF19" s="168"/>
      <c r="AG19" s="138"/>
    </row>
    <row r="20" spans="1:33" ht="18">
      <c r="A20" s="4" t="s">
        <v>30</v>
      </c>
      <c r="B20" s="70">
        <v>2.95</v>
      </c>
      <c r="D20" s="104" t="s">
        <v>45</v>
      </c>
      <c r="E20" s="105">
        <v>4.9373563218390792</v>
      </c>
      <c r="G20" s="137"/>
      <c r="H20" s="168"/>
      <c r="I20" s="168"/>
      <c r="J20" s="168"/>
      <c r="K20" s="168"/>
      <c r="L20" s="168"/>
      <c r="M20" s="168"/>
      <c r="N20" s="168"/>
      <c r="O20" s="168"/>
      <c r="P20" s="168"/>
      <c r="Q20" s="168"/>
      <c r="R20" s="168"/>
      <c r="S20" s="168"/>
      <c r="T20" s="168"/>
      <c r="U20" s="168"/>
      <c r="V20" s="168"/>
      <c r="W20" s="168"/>
      <c r="X20" s="168"/>
      <c r="Y20" s="138"/>
      <c r="AA20" s="137"/>
      <c r="AB20" s="168"/>
      <c r="AC20" s="168"/>
      <c r="AD20" s="168"/>
      <c r="AE20" s="168"/>
      <c r="AF20" s="168"/>
      <c r="AG20" s="138"/>
    </row>
    <row r="21" spans="1:33" ht="18">
      <c r="A21" s="4" t="s">
        <v>30</v>
      </c>
      <c r="B21" s="70">
        <v>7.5</v>
      </c>
      <c r="D21" s="104" t="s">
        <v>48</v>
      </c>
      <c r="E21" s="105">
        <v>0.52359999999999984</v>
      </c>
      <c r="G21" s="137"/>
      <c r="H21" s="168"/>
      <c r="I21" s="168"/>
      <c r="J21" s="168"/>
      <c r="K21" s="168"/>
      <c r="L21" s="168"/>
      <c r="M21" s="168"/>
      <c r="N21" s="168"/>
      <c r="O21" s="168"/>
      <c r="P21" s="168"/>
      <c r="Q21" s="168"/>
      <c r="R21" s="168"/>
      <c r="S21" s="168"/>
      <c r="T21" s="168"/>
      <c r="U21" s="168"/>
      <c r="V21" s="168"/>
      <c r="W21" s="168"/>
      <c r="X21" s="168"/>
      <c r="Y21" s="138"/>
      <c r="AA21" s="137"/>
      <c r="AB21" s="168"/>
      <c r="AC21" s="168"/>
      <c r="AD21" s="168"/>
      <c r="AE21" s="168"/>
      <c r="AF21" s="168"/>
      <c r="AG21" s="138"/>
    </row>
    <row r="22" spans="1:33" ht="18.5" thickBot="1">
      <c r="A22" s="4" t="s">
        <v>30</v>
      </c>
      <c r="B22" s="70" t="s">
        <v>18</v>
      </c>
      <c r="D22" s="171" t="s">
        <v>49</v>
      </c>
      <c r="E22" s="172">
        <v>0.49510526315789455</v>
      </c>
      <c r="G22" s="137"/>
      <c r="H22" s="168"/>
      <c r="I22" s="168"/>
      <c r="J22" s="168"/>
      <c r="K22" s="168"/>
      <c r="L22" s="168"/>
      <c r="M22" s="168"/>
      <c r="N22" s="168"/>
      <c r="O22" s="168"/>
      <c r="P22" s="168"/>
      <c r="Q22" s="168"/>
      <c r="R22" s="168"/>
      <c r="S22" s="168"/>
      <c r="T22" s="168"/>
      <c r="U22" s="168"/>
      <c r="V22" s="168"/>
      <c r="W22" s="168"/>
      <c r="X22" s="168"/>
      <c r="Y22" s="138"/>
      <c r="AA22" s="137"/>
      <c r="AB22" s="168"/>
      <c r="AC22" s="168"/>
      <c r="AD22" s="168"/>
      <c r="AE22" s="168"/>
      <c r="AF22" s="168"/>
      <c r="AG22" s="138"/>
    </row>
    <row r="23" spans="1:33" ht="18.5" thickTop="1">
      <c r="A23" s="4" t="s">
        <v>30</v>
      </c>
      <c r="B23" s="70">
        <v>2.25</v>
      </c>
      <c r="G23" s="137"/>
      <c r="H23" s="168"/>
      <c r="I23" s="168"/>
      <c r="J23" s="168"/>
      <c r="K23" s="168"/>
      <c r="L23" s="168"/>
      <c r="M23" s="168"/>
      <c r="N23" s="168"/>
      <c r="O23" s="168"/>
      <c r="P23" s="168"/>
      <c r="Q23" s="168"/>
      <c r="R23" s="168"/>
      <c r="S23" s="168"/>
      <c r="T23" s="168"/>
      <c r="U23" s="168"/>
      <c r="V23" s="168"/>
      <c r="W23" s="168"/>
      <c r="X23" s="168"/>
      <c r="Y23" s="138"/>
      <c r="AA23" s="137"/>
      <c r="AB23" s="168"/>
      <c r="AC23" s="168"/>
      <c r="AD23" s="168"/>
      <c r="AE23" s="168"/>
      <c r="AF23" s="168"/>
      <c r="AG23" s="138"/>
    </row>
    <row r="24" spans="1:33" ht="18">
      <c r="A24" s="4" t="s">
        <v>30</v>
      </c>
      <c r="B24" s="70">
        <v>6.25</v>
      </c>
      <c r="G24" s="137"/>
      <c r="H24" s="168"/>
      <c r="I24" s="168"/>
      <c r="J24" s="168"/>
      <c r="K24" s="168"/>
      <c r="L24" s="168"/>
      <c r="M24" s="168"/>
      <c r="N24" s="168"/>
      <c r="O24" s="168"/>
      <c r="P24" s="168"/>
      <c r="Q24" s="168"/>
      <c r="R24" s="168"/>
      <c r="S24" s="168"/>
      <c r="T24" s="168"/>
      <c r="U24" s="168"/>
      <c r="V24" s="168"/>
      <c r="W24" s="168"/>
      <c r="X24" s="168"/>
      <c r="Y24" s="138"/>
      <c r="AA24" s="137"/>
      <c r="AB24" s="168"/>
      <c r="AC24" s="168"/>
      <c r="AD24" s="168"/>
      <c r="AE24" s="168"/>
      <c r="AF24" s="168"/>
      <c r="AG24" s="138"/>
    </row>
    <row r="25" spans="1:33" ht="18">
      <c r="A25" s="4" t="s">
        <v>30</v>
      </c>
      <c r="B25" s="70">
        <v>3.5</v>
      </c>
      <c r="G25" s="137"/>
      <c r="H25" s="168"/>
      <c r="I25" s="168"/>
      <c r="J25" s="168"/>
      <c r="K25" s="168"/>
      <c r="L25" s="168"/>
      <c r="M25" s="168"/>
      <c r="N25" s="168"/>
      <c r="O25" s="168"/>
      <c r="P25" s="168"/>
      <c r="Q25" s="168"/>
      <c r="R25" s="168"/>
      <c r="S25" s="168"/>
      <c r="T25" s="168"/>
      <c r="U25" s="168"/>
      <c r="V25" s="168"/>
      <c r="W25" s="168"/>
      <c r="X25" s="168"/>
      <c r="Y25" s="138"/>
      <c r="AA25" s="137"/>
      <c r="AB25" s="168"/>
      <c r="AC25" s="168"/>
      <c r="AD25" s="168"/>
      <c r="AE25" s="168"/>
      <c r="AF25" s="168"/>
      <c r="AG25" s="138"/>
    </row>
    <row r="26" spans="1:33" ht="18">
      <c r="A26" s="4" t="s">
        <v>30</v>
      </c>
      <c r="B26" s="70">
        <v>3.25</v>
      </c>
      <c r="G26" s="137"/>
      <c r="H26" s="168"/>
      <c r="I26" s="168"/>
      <c r="J26" s="168"/>
      <c r="K26" s="168"/>
      <c r="L26" s="168"/>
      <c r="M26" s="168"/>
      <c r="N26" s="168"/>
      <c r="O26" s="168"/>
      <c r="P26" s="168"/>
      <c r="Q26" s="168"/>
      <c r="R26" s="168"/>
      <c r="S26" s="168"/>
      <c r="T26" s="168"/>
      <c r="U26" s="168"/>
      <c r="V26" s="168"/>
      <c r="W26" s="168"/>
      <c r="X26" s="168"/>
      <c r="Y26" s="138"/>
      <c r="AA26" s="137"/>
      <c r="AB26" s="168"/>
      <c r="AC26" s="168"/>
      <c r="AD26" s="168"/>
      <c r="AE26" s="168"/>
      <c r="AF26" s="168"/>
      <c r="AG26" s="138"/>
    </row>
    <row r="27" spans="1:33" ht="18">
      <c r="A27" s="4" t="s">
        <v>30</v>
      </c>
      <c r="B27" s="70">
        <v>4.3</v>
      </c>
      <c r="G27" s="137"/>
      <c r="H27" s="168"/>
      <c r="I27" s="168"/>
      <c r="J27" s="168"/>
      <c r="K27" s="168"/>
      <c r="L27" s="168"/>
      <c r="M27" s="168"/>
      <c r="N27" s="168"/>
      <c r="O27" s="168"/>
      <c r="P27" s="168"/>
      <c r="Q27" s="168"/>
      <c r="R27" s="168"/>
      <c r="S27" s="168"/>
      <c r="T27" s="168"/>
      <c r="U27" s="168"/>
      <c r="V27" s="168"/>
      <c r="W27" s="168"/>
      <c r="X27" s="168"/>
      <c r="Y27" s="138"/>
      <c r="AA27" s="137"/>
      <c r="AB27" s="168"/>
      <c r="AC27" s="168"/>
      <c r="AD27" s="168"/>
      <c r="AE27" s="168"/>
      <c r="AF27" s="168"/>
      <c r="AG27" s="138"/>
    </row>
    <row r="28" spans="1:33" ht="18">
      <c r="A28" s="4" t="s">
        <v>30</v>
      </c>
      <c r="B28" s="70">
        <v>1.25</v>
      </c>
      <c r="G28" s="137"/>
      <c r="H28" s="168"/>
      <c r="I28" s="168"/>
      <c r="J28" s="168"/>
      <c r="K28" s="168"/>
      <c r="L28" s="168"/>
      <c r="M28" s="168"/>
      <c r="N28" s="168"/>
      <c r="O28" s="168"/>
      <c r="P28" s="168"/>
      <c r="Q28" s="168"/>
      <c r="R28" s="168"/>
      <c r="S28" s="168"/>
      <c r="T28" s="168"/>
      <c r="U28" s="168"/>
      <c r="V28" s="168"/>
      <c r="W28" s="168"/>
      <c r="X28" s="168"/>
      <c r="Y28" s="138"/>
      <c r="AA28" s="137"/>
      <c r="AB28" s="168"/>
      <c r="AC28" s="168"/>
      <c r="AD28" s="168"/>
      <c r="AE28" s="168"/>
      <c r="AF28" s="168"/>
      <c r="AG28" s="138"/>
    </row>
    <row r="29" spans="1:33" ht="18">
      <c r="A29" s="4" t="s">
        <v>30</v>
      </c>
      <c r="B29" s="70">
        <v>1.8</v>
      </c>
      <c r="G29" s="137"/>
      <c r="H29" s="168"/>
      <c r="I29" s="168"/>
      <c r="J29" s="168"/>
      <c r="K29" s="168"/>
      <c r="L29" s="168"/>
      <c r="M29" s="168"/>
      <c r="N29" s="168"/>
      <c r="O29" s="168"/>
      <c r="P29" s="168"/>
      <c r="Q29" s="168"/>
      <c r="R29" s="168"/>
      <c r="S29" s="168"/>
      <c r="T29" s="168"/>
      <c r="U29" s="168"/>
      <c r="V29" s="168"/>
      <c r="W29" s="168"/>
      <c r="X29" s="168"/>
      <c r="Y29" s="138"/>
      <c r="AA29" s="137"/>
      <c r="AB29" s="168"/>
      <c r="AC29" s="168"/>
      <c r="AD29" s="168"/>
      <c r="AE29" s="168"/>
      <c r="AF29" s="168"/>
      <c r="AG29" s="138"/>
    </row>
    <row r="30" spans="1:33" ht="18">
      <c r="A30" s="51" t="s">
        <v>19</v>
      </c>
      <c r="B30" s="87"/>
      <c r="G30" s="137"/>
      <c r="H30" s="168"/>
      <c r="I30" s="168"/>
      <c r="J30" s="168"/>
      <c r="K30" s="168"/>
      <c r="L30" s="168"/>
      <c r="M30" s="168"/>
      <c r="N30" s="168"/>
      <c r="O30" s="168"/>
      <c r="P30" s="168"/>
      <c r="Q30" s="168"/>
      <c r="R30" s="168"/>
      <c r="S30" s="168"/>
      <c r="T30" s="168"/>
      <c r="U30" s="168"/>
      <c r="V30" s="168"/>
      <c r="W30" s="168"/>
      <c r="X30" s="168"/>
      <c r="Y30" s="138"/>
      <c r="AA30" s="137"/>
      <c r="AB30" s="168"/>
      <c r="AC30" s="168"/>
      <c r="AD30" s="168"/>
      <c r="AE30" s="168"/>
      <c r="AF30" s="168"/>
      <c r="AG30" s="138"/>
    </row>
    <row r="31" spans="1:33" ht="18">
      <c r="A31" s="4" t="s">
        <v>30</v>
      </c>
      <c r="B31" s="70">
        <v>6.8</v>
      </c>
      <c r="G31" s="137"/>
      <c r="H31" s="168"/>
      <c r="I31" s="168"/>
      <c r="J31" s="168"/>
      <c r="K31" s="168"/>
      <c r="L31" s="168"/>
      <c r="M31" s="168"/>
      <c r="N31" s="168"/>
      <c r="O31" s="168"/>
      <c r="P31" s="168"/>
      <c r="Q31" s="168"/>
      <c r="R31" s="168"/>
      <c r="S31" s="168"/>
      <c r="T31" s="168"/>
      <c r="U31" s="168"/>
      <c r="V31" s="168"/>
      <c r="W31" s="168"/>
      <c r="X31" s="168"/>
      <c r="Y31" s="138"/>
      <c r="AA31" s="137"/>
      <c r="AB31" s="168"/>
      <c r="AC31" s="168"/>
      <c r="AD31" s="168"/>
      <c r="AE31" s="168"/>
      <c r="AF31" s="168"/>
      <c r="AG31" s="138"/>
    </row>
    <row r="32" spans="1:33" ht="18">
      <c r="A32" s="4" t="s">
        <v>30</v>
      </c>
      <c r="B32" s="70">
        <v>3.75</v>
      </c>
      <c r="G32" s="137"/>
      <c r="H32" s="168"/>
      <c r="I32" s="168"/>
      <c r="J32" s="168"/>
      <c r="K32" s="168"/>
      <c r="L32" s="168"/>
      <c r="M32" s="168"/>
      <c r="N32" s="168"/>
      <c r="O32" s="168"/>
      <c r="P32" s="168"/>
      <c r="Q32" s="168"/>
      <c r="R32" s="168"/>
      <c r="S32" s="168"/>
      <c r="T32" s="168"/>
      <c r="U32" s="168"/>
      <c r="V32" s="168"/>
      <c r="W32" s="168"/>
      <c r="X32" s="168"/>
      <c r="Y32" s="138"/>
      <c r="AA32" s="137"/>
      <c r="AB32" s="168"/>
      <c r="AC32" s="168"/>
      <c r="AD32" s="168"/>
      <c r="AE32" s="168"/>
      <c r="AF32" s="168"/>
      <c r="AG32" s="138"/>
    </row>
    <row r="33" spans="1:33" ht="18">
      <c r="A33" s="4" t="s">
        <v>30</v>
      </c>
      <c r="B33" s="70">
        <v>4.9000000000000004</v>
      </c>
      <c r="G33" s="137"/>
      <c r="H33" s="168"/>
      <c r="I33" s="168"/>
      <c r="J33" s="168"/>
      <c r="K33" s="168"/>
      <c r="L33" s="168"/>
      <c r="M33" s="168"/>
      <c r="N33" s="168"/>
      <c r="O33" s="168"/>
      <c r="P33" s="168"/>
      <c r="Q33" s="168"/>
      <c r="R33" s="168"/>
      <c r="S33" s="168"/>
      <c r="T33" s="168"/>
      <c r="U33" s="168"/>
      <c r="V33" s="168"/>
      <c r="W33" s="168"/>
      <c r="X33" s="168"/>
      <c r="Y33" s="138"/>
      <c r="AA33" s="137"/>
      <c r="AB33" s="168"/>
      <c r="AC33" s="168"/>
      <c r="AD33" s="168"/>
      <c r="AE33" s="168"/>
      <c r="AF33" s="168"/>
      <c r="AG33" s="138"/>
    </row>
    <row r="34" spans="1:33" ht="18">
      <c r="A34" s="4" t="s">
        <v>30</v>
      </c>
      <c r="B34" s="70">
        <v>5.45</v>
      </c>
      <c r="G34" s="137"/>
      <c r="H34" s="168"/>
      <c r="I34" s="168"/>
      <c r="J34" s="168"/>
      <c r="K34" s="168"/>
      <c r="L34" s="168"/>
      <c r="M34" s="168"/>
      <c r="N34" s="168"/>
      <c r="O34" s="168"/>
      <c r="P34" s="168"/>
      <c r="Q34" s="168"/>
      <c r="R34" s="168"/>
      <c r="S34" s="168"/>
      <c r="T34" s="168"/>
      <c r="U34" s="168"/>
      <c r="V34" s="168"/>
      <c r="W34" s="168"/>
      <c r="X34" s="168"/>
      <c r="Y34" s="138"/>
      <c r="AA34" s="137"/>
      <c r="AB34" s="168"/>
      <c r="AC34" s="168"/>
      <c r="AD34" s="168"/>
      <c r="AE34" s="168"/>
      <c r="AF34" s="168"/>
      <c r="AG34" s="138"/>
    </row>
    <row r="35" spans="1:33" ht="18">
      <c r="A35" s="4" t="s">
        <v>30</v>
      </c>
      <c r="B35" s="70">
        <v>5.2</v>
      </c>
      <c r="G35" s="137"/>
      <c r="H35" s="168"/>
      <c r="I35" s="168"/>
      <c r="J35" s="168"/>
      <c r="K35" s="168"/>
      <c r="L35" s="168"/>
      <c r="M35" s="168"/>
      <c r="N35" s="168"/>
      <c r="O35" s="168"/>
      <c r="P35" s="168"/>
      <c r="Q35" s="168"/>
      <c r="R35" s="168"/>
      <c r="S35" s="168"/>
      <c r="T35" s="168"/>
      <c r="U35" s="168"/>
      <c r="V35" s="168"/>
      <c r="W35" s="168"/>
      <c r="X35" s="168"/>
      <c r="Y35" s="138"/>
      <c r="AA35" s="137"/>
      <c r="AB35" s="168"/>
      <c r="AC35" s="168"/>
      <c r="AD35" s="168"/>
      <c r="AE35" s="168"/>
      <c r="AF35" s="168"/>
      <c r="AG35" s="138"/>
    </row>
    <row r="36" spans="1:33" ht="18">
      <c r="A36" s="4" t="s">
        <v>30</v>
      </c>
      <c r="B36" s="70">
        <v>5.3</v>
      </c>
      <c r="G36" s="137"/>
      <c r="H36" s="168"/>
      <c r="I36" s="168"/>
      <c r="J36" s="168"/>
      <c r="K36" s="168"/>
      <c r="L36" s="168"/>
      <c r="M36" s="168"/>
      <c r="N36" s="168"/>
      <c r="O36" s="168"/>
      <c r="P36" s="168"/>
      <c r="Q36" s="168"/>
      <c r="R36" s="168"/>
      <c r="S36" s="168"/>
      <c r="T36" s="168"/>
      <c r="U36" s="168"/>
      <c r="V36" s="168"/>
      <c r="W36" s="168"/>
      <c r="X36" s="168"/>
      <c r="Y36" s="138"/>
      <c r="AA36" s="137"/>
      <c r="AB36" s="168"/>
      <c r="AC36" s="168"/>
      <c r="AD36" s="168"/>
      <c r="AE36" s="168"/>
      <c r="AF36" s="168"/>
      <c r="AG36" s="138"/>
    </row>
    <row r="37" spans="1:33" ht="18">
      <c r="A37" s="4" t="s">
        <v>30</v>
      </c>
      <c r="B37" s="70">
        <v>6.75</v>
      </c>
      <c r="G37" s="137"/>
      <c r="H37" s="168"/>
      <c r="I37" s="168"/>
      <c r="J37" s="168"/>
      <c r="K37" s="168"/>
      <c r="L37" s="168"/>
      <c r="M37" s="168"/>
      <c r="N37" s="168"/>
      <c r="O37" s="168"/>
      <c r="P37" s="168"/>
      <c r="Q37" s="168"/>
      <c r="R37" s="168"/>
      <c r="S37" s="168"/>
      <c r="T37" s="168"/>
      <c r="U37" s="168"/>
      <c r="V37" s="168"/>
      <c r="W37" s="168"/>
      <c r="X37" s="168"/>
      <c r="Y37" s="138"/>
      <c r="AA37" s="137"/>
      <c r="AB37" s="168"/>
      <c r="AC37" s="168"/>
      <c r="AD37" s="168"/>
      <c r="AE37" s="168"/>
      <c r="AF37" s="168"/>
      <c r="AG37" s="138"/>
    </row>
    <row r="38" spans="1:33" ht="18">
      <c r="A38" s="4" t="s">
        <v>30</v>
      </c>
      <c r="B38" s="70">
        <v>7.15</v>
      </c>
      <c r="G38" s="137"/>
      <c r="H38" s="168"/>
      <c r="I38" s="168"/>
      <c r="J38" s="168"/>
      <c r="K38" s="168"/>
      <c r="L38" s="168"/>
      <c r="M38" s="168"/>
      <c r="N38" s="168"/>
      <c r="O38" s="168"/>
      <c r="P38" s="168"/>
      <c r="Q38" s="168"/>
      <c r="R38" s="168"/>
      <c r="S38" s="168"/>
      <c r="T38" s="168"/>
      <c r="U38" s="168"/>
      <c r="V38" s="168"/>
      <c r="W38" s="168"/>
      <c r="X38" s="168"/>
      <c r="Y38" s="138"/>
      <c r="AA38" s="137"/>
      <c r="AB38" s="168"/>
      <c r="AC38" s="168"/>
      <c r="AD38" s="168"/>
      <c r="AE38" s="168"/>
      <c r="AF38" s="168"/>
      <c r="AG38" s="138"/>
    </row>
    <row r="39" spans="1:33" ht="18">
      <c r="A39" s="4" t="s">
        <v>30</v>
      </c>
      <c r="B39" s="70">
        <v>8.1</v>
      </c>
      <c r="G39" s="137"/>
      <c r="H39" s="168"/>
      <c r="I39" s="168"/>
      <c r="J39" s="168"/>
      <c r="K39" s="168"/>
      <c r="L39" s="168"/>
      <c r="M39" s="168"/>
      <c r="N39" s="168"/>
      <c r="O39" s="168"/>
      <c r="P39" s="168"/>
      <c r="Q39" s="168"/>
      <c r="R39" s="168"/>
      <c r="S39" s="168"/>
      <c r="T39" s="168"/>
      <c r="U39" s="168"/>
      <c r="V39" s="168"/>
      <c r="W39" s="168"/>
      <c r="X39" s="168"/>
      <c r="Y39" s="138"/>
      <c r="AA39" s="137"/>
      <c r="AB39" s="168"/>
      <c r="AC39" s="168"/>
      <c r="AD39" s="168"/>
      <c r="AE39" s="168"/>
      <c r="AF39" s="168"/>
      <c r="AG39" s="138"/>
    </row>
    <row r="40" spans="1:33" ht="18.5" thickBot="1">
      <c r="A40" s="4" t="s">
        <v>30</v>
      </c>
      <c r="B40" s="70">
        <v>7.85</v>
      </c>
      <c r="G40" s="139"/>
      <c r="H40" s="140"/>
      <c r="I40" s="140"/>
      <c r="J40" s="140"/>
      <c r="K40" s="140"/>
      <c r="L40" s="140"/>
      <c r="M40" s="140"/>
      <c r="N40" s="140"/>
      <c r="O40" s="140"/>
      <c r="P40" s="140"/>
      <c r="Q40" s="140"/>
      <c r="R40" s="140"/>
      <c r="S40" s="140"/>
      <c r="T40" s="140"/>
      <c r="U40" s="140"/>
      <c r="V40" s="140"/>
      <c r="W40" s="140"/>
      <c r="X40" s="140"/>
      <c r="Y40" s="141"/>
      <c r="AA40" s="139"/>
      <c r="AB40" s="140"/>
      <c r="AC40" s="140"/>
      <c r="AD40" s="140"/>
      <c r="AE40" s="140"/>
      <c r="AF40" s="140"/>
      <c r="AG40" s="141"/>
    </row>
    <row r="41" spans="1:33" ht="18.5" thickTop="1">
      <c r="A41" s="4" t="s">
        <v>30</v>
      </c>
      <c r="B41" s="70">
        <v>7.6</v>
      </c>
    </row>
    <row r="42" spans="1:33" ht="18">
      <c r="A42" s="4" t="s">
        <v>30</v>
      </c>
      <c r="B42" s="70">
        <v>4.45</v>
      </c>
    </row>
    <row r="43" spans="1:33" ht="18">
      <c r="A43" s="4" t="s">
        <v>30</v>
      </c>
      <c r="B43" s="70">
        <v>1.75</v>
      </c>
    </row>
    <row r="44" spans="1:33" ht="18">
      <c r="A44" s="51" t="s">
        <v>20</v>
      </c>
      <c r="B44" s="86"/>
    </row>
    <row r="45" spans="1:33" ht="18">
      <c r="A45" s="4" t="s">
        <v>30</v>
      </c>
      <c r="B45" s="70">
        <v>6.3</v>
      </c>
    </row>
    <row r="46" spans="1:33" ht="18">
      <c r="A46" s="4" t="s">
        <v>30</v>
      </c>
      <c r="B46" s="70">
        <v>2.75</v>
      </c>
    </row>
    <row r="47" spans="1:33" ht="18">
      <c r="A47" s="4" t="s">
        <v>30</v>
      </c>
      <c r="B47" s="70">
        <v>3.65</v>
      </c>
    </row>
    <row r="48" spans="1:33" ht="18">
      <c r="A48" s="4" t="s">
        <v>30</v>
      </c>
      <c r="B48" s="70">
        <v>4.3</v>
      </c>
    </row>
    <row r="49" spans="1:2" ht="18">
      <c r="A49" s="4" t="s">
        <v>30</v>
      </c>
      <c r="B49" s="70">
        <v>7.9</v>
      </c>
    </row>
    <row r="50" spans="1:2" ht="18">
      <c r="A50" s="4" t="s">
        <v>30</v>
      </c>
      <c r="B50" s="70">
        <v>5.05</v>
      </c>
    </row>
    <row r="51" spans="1:2" ht="18">
      <c r="A51" s="4" t="s">
        <v>30</v>
      </c>
      <c r="B51" s="70">
        <v>9.15</v>
      </c>
    </row>
    <row r="52" spans="1:2" ht="18">
      <c r="A52" s="4" t="s">
        <v>30</v>
      </c>
      <c r="B52" s="70">
        <v>3.15</v>
      </c>
    </row>
    <row r="53" spans="1:2" ht="18">
      <c r="A53" s="4" t="s">
        <v>30</v>
      </c>
      <c r="B53" s="70">
        <v>4.5999999999999996</v>
      </c>
    </row>
    <row r="54" spans="1:2" ht="18">
      <c r="A54" s="4" t="s">
        <v>30</v>
      </c>
      <c r="B54" s="70">
        <v>3.4</v>
      </c>
    </row>
    <row r="55" spans="1:2" ht="18">
      <c r="A55" s="4" t="s">
        <v>30</v>
      </c>
      <c r="B55" s="70">
        <v>3.9</v>
      </c>
    </row>
    <row r="56" spans="1:2" ht="18">
      <c r="A56" s="4" t="s">
        <v>30</v>
      </c>
      <c r="B56" s="70">
        <v>3.65</v>
      </c>
    </row>
    <row r="57" spans="1:2" ht="18">
      <c r="A57" s="4" t="s">
        <v>30</v>
      </c>
      <c r="B57" s="70">
        <v>8.65</v>
      </c>
    </row>
    <row r="58" spans="1:2" ht="18">
      <c r="A58" s="51" t="s">
        <v>21</v>
      </c>
      <c r="B58" s="87"/>
    </row>
    <row r="59" spans="1:2" ht="18">
      <c r="A59" s="4" t="s">
        <v>30</v>
      </c>
      <c r="B59" s="70">
        <v>4</v>
      </c>
    </row>
    <row r="60" spans="1:2" ht="18">
      <c r="A60" s="4" t="s">
        <v>30</v>
      </c>
      <c r="B60" s="70">
        <v>2.25</v>
      </c>
    </row>
    <row r="61" spans="1:2" ht="18">
      <c r="A61" s="4" t="s">
        <v>30</v>
      </c>
      <c r="B61" s="70">
        <v>7.35</v>
      </c>
    </row>
    <row r="62" spans="1:2" ht="18">
      <c r="A62" s="4" t="s">
        <v>30</v>
      </c>
      <c r="B62" s="70">
        <v>6.25</v>
      </c>
    </row>
    <row r="63" spans="1:2" ht="18">
      <c r="A63" s="4" t="s">
        <v>30</v>
      </c>
      <c r="B63" s="70">
        <v>5.2</v>
      </c>
    </row>
    <row r="64" spans="1:2" ht="18">
      <c r="A64" s="4" t="s">
        <v>30</v>
      </c>
      <c r="B64" s="70">
        <v>5.7</v>
      </c>
    </row>
    <row r="65" spans="1:2" ht="18">
      <c r="A65" s="4" t="s">
        <v>30</v>
      </c>
      <c r="B65" s="99" t="s">
        <v>16</v>
      </c>
    </row>
    <row r="66" spans="1:2" ht="18">
      <c r="A66" s="4" t="s">
        <v>30</v>
      </c>
      <c r="B66" s="70">
        <v>8.65</v>
      </c>
    </row>
    <row r="67" spans="1:2" ht="18">
      <c r="A67" s="4" t="s">
        <v>30</v>
      </c>
      <c r="B67" s="70">
        <v>3.95</v>
      </c>
    </row>
    <row r="68" spans="1:2" ht="18">
      <c r="A68" s="4" t="s">
        <v>30</v>
      </c>
      <c r="B68" s="70">
        <v>6.25</v>
      </c>
    </row>
    <row r="69" spans="1:2" ht="18">
      <c r="A69" s="4" t="s">
        <v>30</v>
      </c>
      <c r="B69" s="70">
        <v>1.95</v>
      </c>
    </row>
    <row r="70" spans="1:2" ht="18">
      <c r="A70" s="4" t="s">
        <v>30</v>
      </c>
      <c r="B70" s="70">
        <v>0.45</v>
      </c>
    </row>
    <row r="71" spans="1:2" ht="18">
      <c r="A71" s="4" t="s">
        <v>30</v>
      </c>
      <c r="B71" s="70" t="s">
        <v>18</v>
      </c>
    </row>
    <row r="72" spans="1:2" ht="18">
      <c r="A72" s="51" t="s">
        <v>22</v>
      </c>
      <c r="B72" s="86"/>
    </row>
    <row r="73" spans="1:2" ht="18">
      <c r="A73" s="4" t="s">
        <v>30</v>
      </c>
      <c r="B73" s="70">
        <v>5.65</v>
      </c>
    </row>
    <row r="74" spans="1:2" ht="18">
      <c r="A74" s="4" t="s">
        <v>30</v>
      </c>
      <c r="B74" s="70">
        <v>3.5</v>
      </c>
    </row>
    <row r="75" spans="1:2" ht="18">
      <c r="A75" s="4" t="s">
        <v>30</v>
      </c>
      <c r="B75" s="70">
        <v>3.05</v>
      </c>
    </row>
    <row r="76" spans="1:2" ht="18">
      <c r="A76" s="4" t="s">
        <v>30</v>
      </c>
      <c r="B76" s="70">
        <v>5.55</v>
      </c>
    </row>
    <row r="77" spans="1:2" ht="18">
      <c r="A77" s="4" t="s">
        <v>30</v>
      </c>
      <c r="B77" s="70">
        <v>0.9</v>
      </c>
    </row>
    <row r="78" spans="1:2" ht="18">
      <c r="A78" s="4" t="s">
        <v>30</v>
      </c>
      <c r="B78" s="70">
        <v>1.9</v>
      </c>
    </row>
    <row r="79" spans="1:2" ht="18">
      <c r="A79" s="4" t="s">
        <v>30</v>
      </c>
      <c r="B79" s="70">
        <v>6.25</v>
      </c>
    </row>
    <row r="80" spans="1:2" ht="18">
      <c r="A80" s="4" t="s">
        <v>30</v>
      </c>
      <c r="B80" s="70">
        <v>6.9</v>
      </c>
    </row>
    <row r="81" spans="1:2" ht="18">
      <c r="A81" s="4" t="s">
        <v>30</v>
      </c>
      <c r="B81" s="70">
        <v>9.75</v>
      </c>
    </row>
    <row r="82" spans="1:2" ht="18">
      <c r="A82" s="4" t="s">
        <v>30</v>
      </c>
      <c r="B82" s="70">
        <v>6.55</v>
      </c>
    </row>
    <row r="83" spans="1:2" ht="18">
      <c r="A83" s="4" t="s">
        <v>30</v>
      </c>
      <c r="B83" s="70">
        <v>4.9000000000000004</v>
      </c>
    </row>
    <row r="84" spans="1:2" ht="18">
      <c r="A84" s="4" t="s">
        <v>30</v>
      </c>
      <c r="B84" s="70">
        <v>4.8</v>
      </c>
    </row>
    <row r="85" spans="1:2" ht="19" thickBot="1">
      <c r="A85" s="54" t="s">
        <v>23</v>
      </c>
      <c r="B85" s="89"/>
    </row>
    <row r="86" spans="1:2" ht="18.5" thickBot="1">
      <c r="A86" s="53" t="s">
        <v>8</v>
      </c>
      <c r="B86" s="92"/>
    </row>
    <row r="87" spans="1:2" ht="18">
      <c r="A87" s="52" t="s">
        <v>61</v>
      </c>
      <c r="B87" s="87"/>
    </row>
    <row r="88" spans="1:2" ht="18">
      <c r="A88" s="4" t="s">
        <v>30</v>
      </c>
      <c r="B88" s="70">
        <v>5.6</v>
      </c>
    </row>
    <row r="89" spans="1:2" ht="18">
      <c r="A89" s="4" t="s">
        <v>30</v>
      </c>
      <c r="B89" s="70">
        <v>5.5</v>
      </c>
    </row>
    <row r="90" spans="1:2" ht="18">
      <c r="A90" s="4" t="s">
        <v>30</v>
      </c>
      <c r="B90" s="70" t="s">
        <v>18</v>
      </c>
    </row>
    <row r="91" spans="1:2" ht="18">
      <c r="A91" s="4" t="s">
        <v>30</v>
      </c>
      <c r="B91" s="70">
        <v>5.45</v>
      </c>
    </row>
    <row r="92" spans="1:2" ht="18">
      <c r="A92" s="4" t="s">
        <v>30</v>
      </c>
      <c r="B92" s="70">
        <v>7.2</v>
      </c>
    </row>
    <row r="93" spans="1:2" ht="18">
      <c r="A93" s="4" t="s">
        <v>30</v>
      </c>
      <c r="B93" s="70">
        <v>7.2</v>
      </c>
    </row>
    <row r="94" spans="1:2" ht="18">
      <c r="A94" s="4" t="s">
        <v>30</v>
      </c>
      <c r="B94" s="70">
        <v>5.75</v>
      </c>
    </row>
    <row r="95" spans="1:2" ht="18">
      <c r="A95" s="4" t="s">
        <v>30</v>
      </c>
      <c r="B95" s="98" t="s">
        <v>18</v>
      </c>
    </row>
    <row r="96" spans="1:2" ht="18">
      <c r="A96" s="4" t="s">
        <v>30</v>
      </c>
      <c r="B96" s="70">
        <v>6</v>
      </c>
    </row>
    <row r="97" spans="1:29" ht="18">
      <c r="A97" s="4" t="s">
        <v>30</v>
      </c>
      <c r="B97" s="70">
        <v>3.45</v>
      </c>
    </row>
    <row r="98" spans="1:29" ht="18">
      <c r="A98" s="4" t="s">
        <v>30</v>
      </c>
      <c r="B98" s="70">
        <v>6</v>
      </c>
    </row>
    <row r="99" spans="1:29" ht="18">
      <c r="A99" s="51" t="s">
        <v>60</v>
      </c>
      <c r="B99" s="86"/>
    </row>
    <row r="100" spans="1:29" ht="18">
      <c r="A100" s="4" t="s">
        <v>30</v>
      </c>
      <c r="B100" s="70">
        <v>6.7</v>
      </c>
      <c r="Z100" s="102" t="s">
        <v>85</v>
      </c>
      <c r="AA100" s="103">
        <v>2</v>
      </c>
      <c r="AB100" s="103">
        <f>SUM(AA$100:AA100)/SUM(AA$100:AA$109)</f>
        <v>2.1052631578947368E-2</v>
      </c>
      <c r="AC100" s="103">
        <v>2.8947557760271545</v>
      </c>
    </row>
    <row r="101" spans="1:29" ht="18">
      <c r="A101" s="4" t="s">
        <v>30</v>
      </c>
      <c r="B101" s="70">
        <v>6.25</v>
      </c>
      <c r="Z101" s="102" t="s">
        <v>86</v>
      </c>
      <c r="AA101" s="103">
        <v>5</v>
      </c>
      <c r="AB101" s="103">
        <f>SUM(AA$100:AA101)/SUM(AA$100:AA$109)</f>
        <v>7.3684210526315783E-2</v>
      </c>
      <c r="AC101" s="103">
        <v>5.7970269499728593</v>
      </c>
    </row>
    <row r="102" spans="1:29" ht="18">
      <c r="A102" s="4" t="s">
        <v>30</v>
      </c>
      <c r="B102" s="70" t="s">
        <v>18</v>
      </c>
      <c r="Z102" s="102" t="s">
        <v>87</v>
      </c>
      <c r="AA102" s="103">
        <v>11</v>
      </c>
      <c r="AB102" s="103">
        <f>SUM(AA$100:AA102)/SUM(AA$100:AA$109)</f>
        <v>0.18947368421052632</v>
      </c>
      <c r="AC102" s="103">
        <v>9.7588886355382929</v>
      </c>
    </row>
    <row r="103" spans="1:29" ht="18">
      <c r="A103" s="4" t="s">
        <v>30</v>
      </c>
      <c r="B103" s="70">
        <v>2.25</v>
      </c>
      <c r="Z103" s="102" t="s">
        <v>88</v>
      </c>
      <c r="AA103" s="103">
        <v>16</v>
      </c>
      <c r="AB103" s="103">
        <f>SUM(AA$100:AA103)/SUM(AA$100:AA$109)</f>
        <v>0.35789473684210527</v>
      </c>
      <c r="AC103" s="103">
        <v>13.810107434385126</v>
      </c>
    </row>
    <row r="104" spans="1:29" ht="18">
      <c r="A104" s="4" t="s">
        <v>30</v>
      </c>
      <c r="B104" s="70">
        <v>7.65</v>
      </c>
      <c r="Z104" s="102" t="s">
        <v>89</v>
      </c>
      <c r="AA104" s="103">
        <v>11</v>
      </c>
      <c r="AB104" s="103">
        <f>SUM(AA$100:AA104)/SUM(AA$100:AA$109)</f>
        <v>0.47368421052631576</v>
      </c>
      <c r="AC104" s="103">
        <v>16.428405150209677</v>
      </c>
    </row>
    <row r="105" spans="1:29" ht="18">
      <c r="A105" s="4" t="s">
        <v>30</v>
      </c>
      <c r="B105" s="70" t="s">
        <v>100</v>
      </c>
      <c r="Z105" s="102" t="s">
        <v>90</v>
      </c>
      <c r="AA105" s="103">
        <v>16</v>
      </c>
      <c r="AB105" s="103">
        <f>SUM(AA$100:AA105)/SUM(AA$100:AA$109)</f>
        <v>0.64210526315789473</v>
      </c>
      <c r="AC105" s="103">
        <v>16.428405150209677</v>
      </c>
    </row>
    <row r="106" spans="1:29" ht="18">
      <c r="A106" s="4" t="s">
        <v>30</v>
      </c>
      <c r="B106" s="70">
        <v>6.4</v>
      </c>
      <c r="Z106" s="102" t="s">
        <v>91</v>
      </c>
      <c r="AA106" s="103">
        <v>16</v>
      </c>
      <c r="AB106" s="103">
        <f>SUM(AA$100:AA106)/SUM(AA$100:AA$109)</f>
        <v>0.81052631578947365</v>
      </c>
      <c r="AC106" s="103">
        <v>13.810107434385126</v>
      </c>
    </row>
    <row r="107" spans="1:29" ht="18">
      <c r="A107" s="4" t="s">
        <v>30</v>
      </c>
      <c r="B107" s="70">
        <v>2.2999999999999998</v>
      </c>
      <c r="Z107" s="102" t="s">
        <v>92</v>
      </c>
      <c r="AA107" s="103">
        <v>12</v>
      </c>
      <c r="AB107" s="103">
        <f>SUM(AA$100:AA107)/SUM(AA$100:AA$109)</f>
        <v>0.93684210526315792</v>
      </c>
      <c r="AC107" s="103">
        <v>9.7588886355382929</v>
      </c>
    </row>
    <row r="108" spans="1:29" ht="18">
      <c r="A108" s="4" t="s">
        <v>30</v>
      </c>
      <c r="B108" s="70">
        <v>4.45</v>
      </c>
      <c r="Z108" s="102" t="s">
        <v>93</v>
      </c>
      <c r="AA108" s="103">
        <v>4</v>
      </c>
      <c r="AB108" s="103">
        <f>SUM(AA$100:AA108)/SUM(AA$100:AA$109)</f>
        <v>0.97894736842105268</v>
      </c>
      <c r="AC108" s="103">
        <v>5.7970269499728593</v>
      </c>
    </row>
    <row r="109" spans="1:29" ht="18">
      <c r="A109" s="4" t="s">
        <v>30</v>
      </c>
      <c r="B109" s="70">
        <v>2</v>
      </c>
      <c r="Z109" s="102" t="s">
        <v>94</v>
      </c>
      <c r="AA109" s="103">
        <v>2</v>
      </c>
      <c r="AB109" s="103">
        <f>SUM(AA$100:AA109)/SUM(AA$100:AA$109)</f>
        <v>1</v>
      </c>
      <c r="AC109" s="103">
        <v>2.8947557760271545</v>
      </c>
    </row>
    <row r="110" spans="1:29" ht="18.5" thickBot="1">
      <c r="A110" s="4" t="s">
        <v>30</v>
      </c>
      <c r="B110" s="70">
        <v>3.05</v>
      </c>
      <c r="Z110" s="103"/>
      <c r="AA110" s="103"/>
      <c r="AB110" s="103"/>
      <c r="AC110" s="103"/>
    </row>
    <row r="111" spans="1:29" ht="18.5" thickBot="1">
      <c r="A111" s="50" t="s">
        <v>25</v>
      </c>
      <c r="B111" s="86"/>
      <c r="Z111" s="103"/>
      <c r="AA111" s="103"/>
      <c r="AB111" s="103"/>
      <c r="AC111" s="103"/>
    </row>
    <row r="112" spans="1:29" ht="18.5" thickBot="1">
      <c r="A112" s="53" t="s">
        <v>8</v>
      </c>
      <c r="B112" s="91"/>
      <c r="Z112" s="103"/>
      <c r="AA112" s="103"/>
      <c r="AB112" s="103"/>
      <c r="AC112" s="103"/>
    </row>
    <row r="113" spans="1:29" ht="18">
      <c r="A113" s="4" t="s">
        <v>30</v>
      </c>
      <c r="B113" s="22">
        <v>6.45</v>
      </c>
      <c r="Z113" s="103"/>
      <c r="AA113" s="103"/>
      <c r="AB113" s="103"/>
      <c r="AC113" s="103"/>
    </row>
    <row r="114" spans="1:29" ht="18">
      <c r="A114" s="4" t="s">
        <v>30</v>
      </c>
      <c r="B114" s="22">
        <v>5.05</v>
      </c>
      <c r="Z114" s="103"/>
      <c r="AA114" s="103"/>
      <c r="AB114" s="103"/>
      <c r="AC114" s="103"/>
    </row>
    <row r="115" spans="1:29" ht="18">
      <c r="A115" s="4" t="s">
        <v>30</v>
      </c>
      <c r="B115" s="22">
        <v>5</v>
      </c>
      <c r="Z115" s="103"/>
      <c r="AA115" s="103"/>
      <c r="AB115" s="103"/>
      <c r="AC115" s="103"/>
    </row>
    <row r="116" spans="1:29" ht="18">
      <c r="A116" s="4" t="s">
        <v>30</v>
      </c>
      <c r="B116" s="22">
        <v>6.15</v>
      </c>
      <c r="Z116" s="103"/>
      <c r="AA116" s="103"/>
      <c r="AB116" s="103"/>
      <c r="AC116" s="103"/>
    </row>
    <row r="117" spans="1:29" ht="18">
      <c r="A117" s="4" t="s">
        <v>30</v>
      </c>
      <c r="B117" s="22">
        <v>4</v>
      </c>
      <c r="Z117" s="103"/>
      <c r="AA117" s="103"/>
      <c r="AB117" s="103"/>
      <c r="AC117" s="103"/>
    </row>
    <row r="118" spans="1:29" ht="18">
      <c r="A118" s="4" t="s">
        <v>30</v>
      </c>
      <c r="B118" s="22">
        <v>2</v>
      </c>
      <c r="Z118" s="103"/>
      <c r="AA118" s="103"/>
      <c r="AB118" s="103"/>
      <c r="AC118" s="103"/>
    </row>
    <row r="119" spans="1:29" ht="18">
      <c r="A119" s="4" t="s">
        <v>30</v>
      </c>
      <c r="B119" s="22">
        <v>5</v>
      </c>
      <c r="Z119" s="103"/>
      <c r="AA119" s="103"/>
      <c r="AB119" s="103"/>
      <c r="AC119" s="103"/>
    </row>
    <row r="120" spans="1:29">
      <c r="Z120" s="103" t="s">
        <v>95</v>
      </c>
      <c r="AA120" s="103">
        <v>50</v>
      </c>
      <c r="AB120" s="103"/>
      <c r="AC120" s="103"/>
    </row>
    <row r="121" spans="1:29">
      <c r="Z121" s="103" t="s">
        <v>96</v>
      </c>
      <c r="AA121" s="103">
        <v>45</v>
      </c>
      <c r="AB121" s="103"/>
      <c r="AC121" s="103"/>
    </row>
    <row r="122" spans="1:29">
      <c r="Z122" s="103" t="s">
        <v>97</v>
      </c>
      <c r="AA122" s="103">
        <v>4.9510526315789454</v>
      </c>
      <c r="AB122" s="103"/>
      <c r="AC122" s="103"/>
    </row>
    <row r="123" spans="1:29">
      <c r="Z123" s="103"/>
      <c r="AA123" s="103"/>
      <c r="AB123" s="103"/>
      <c r="AC123" s="103"/>
    </row>
    <row r="124" spans="1:29">
      <c r="Z124" s="103"/>
      <c r="AA124" s="103"/>
      <c r="AB124" s="103"/>
      <c r="AC124" s="103"/>
    </row>
    <row r="125" spans="1:29">
      <c r="Z125" s="103"/>
      <c r="AA125" s="103"/>
      <c r="AB125" s="103"/>
      <c r="AC125" s="103"/>
    </row>
    <row r="126" spans="1:29">
      <c r="Z126" s="103"/>
      <c r="AA126" s="103"/>
      <c r="AB126" s="103"/>
      <c r="AC126" s="103"/>
    </row>
    <row r="127" spans="1:29">
      <c r="Z127" s="103"/>
      <c r="AA127" s="103"/>
      <c r="AB127" s="103"/>
      <c r="AC127" s="103"/>
    </row>
    <row r="128" spans="1:29">
      <c r="Z128" s="103"/>
      <c r="AA128" s="103"/>
      <c r="AB128" s="103"/>
      <c r="AC128" s="103"/>
    </row>
    <row r="129" spans="26:29">
      <c r="Z129" s="103"/>
      <c r="AA129" s="103"/>
      <c r="AB129" s="103"/>
      <c r="AC129" s="103"/>
    </row>
    <row r="130" spans="26:29">
      <c r="Z130" s="103"/>
      <c r="AA130" s="103"/>
      <c r="AB130" s="103"/>
      <c r="AC130" s="103"/>
    </row>
    <row r="131" spans="26:29">
      <c r="Z131" s="103"/>
      <c r="AA131" s="103"/>
      <c r="AB131" s="103"/>
      <c r="AC131" s="103"/>
    </row>
    <row r="132" spans="26:29">
      <c r="Z132" s="103"/>
      <c r="AA132" s="103"/>
      <c r="AB132" s="103"/>
      <c r="AC132" s="103"/>
    </row>
    <row r="133" spans="26:29">
      <c r="Z133" s="103"/>
      <c r="AA133" s="103"/>
      <c r="AB133" s="103"/>
      <c r="AC133" s="103"/>
    </row>
    <row r="134" spans="26:29">
      <c r="Z134" s="103"/>
      <c r="AA134" s="103"/>
      <c r="AB134" s="103"/>
      <c r="AC134" s="103"/>
    </row>
    <row r="135" spans="26:29">
      <c r="Z135" s="103"/>
      <c r="AA135" s="103"/>
      <c r="AB135" s="103"/>
      <c r="AC135" s="103"/>
    </row>
    <row r="136" spans="26:29">
      <c r="Z136" s="103"/>
      <c r="AA136" s="103"/>
      <c r="AB136" s="103"/>
      <c r="AC136" s="103"/>
    </row>
    <row r="137" spans="26:29">
      <c r="Z137" s="103"/>
      <c r="AA137" s="103"/>
      <c r="AB137" s="103"/>
      <c r="AC137" s="103"/>
    </row>
    <row r="138" spans="26:29">
      <c r="Z138" s="103"/>
      <c r="AA138" s="103"/>
      <c r="AB138" s="103"/>
      <c r="AC138" s="103"/>
    </row>
    <row r="139" spans="26:29">
      <c r="Z139" s="103"/>
      <c r="AA139" s="103"/>
      <c r="AB139" s="103"/>
      <c r="AC139" s="103"/>
    </row>
    <row r="140" spans="26:29">
      <c r="Z140" s="103"/>
      <c r="AA140" s="103"/>
      <c r="AB140" s="103"/>
      <c r="AC140" s="103"/>
    </row>
    <row r="141" spans="26:29">
      <c r="Z141" s="103"/>
      <c r="AA141" s="103"/>
      <c r="AB141" s="103"/>
      <c r="AC141" s="103"/>
    </row>
    <row r="142" spans="26:29">
      <c r="Z142" s="103"/>
      <c r="AA142" s="103"/>
      <c r="AB142" s="103"/>
      <c r="AC142" s="103"/>
    </row>
    <row r="143" spans="26:29">
      <c r="Z143" s="103"/>
      <c r="AA143" s="103"/>
      <c r="AB143" s="103"/>
      <c r="AC143" s="103"/>
    </row>
    <row r="144" spans="26:29">
      <c r="Z144" s="103"/>
      <c r="AA144" s="103"/>
      <c r="AB144" s="103"/>
      <c r="AC144" s="103"/>
    </row>
    <row r="145" spans="26:29">
      <c r="Z145" s="103"/>
      <c r="AA145" s="103"/>
      <c r="AB145" s="103"/>
      <c r="AC145" s="103"/>
    </row>
    <row r="146" spans="26:29">
      <c r="Z146" s="103"/>
      <c r="AA146" s="103"/>
      <c r="AB146" s="103"/>
      <c r="AC146" s="103"/>
    </row>
    <row r="147" spans="26:29">
      <c r="Z147" s="103"/>
      <c r="AA147" s="103"/>
      <c r="AB147" s="103"/>
      <c r="AC147" s="103"/>
    </row>
    <row r="148" spans="26:29">
      <c r="Z148" s="103"/>
      <c r="AA148" s="103"/>
      <c r="AB148" s="103"/>
      <c r="AC148" s="103"/>
    </row>
    <row r="149" spans="26:29">
      <c r="Z149" s="103"/>
      <c r="AA149" s="103"/>
      <c r="AB149" s="103"/>
      <c r="AC149" s="103"/>
    </row>
    <row r="150" spans="26:29">
      <c r="Z150" s="103"/>
      <c r="AA150" s="103"/>
      <c r="AB150" s="103"/>
      <c r="AC150" s="103"/>
    </row>
    <row r="151" spans="26:29">
      <c r="Z151" s="103"/>
      <c r="AA151" s="103"/>
      <c r="AB151" s="103"/>
      <c r="AC151" s="103"/>
    </row>
    <row r="152" spans="26:29">
      <c r="Z152" s="103"/>
      <c r="AA152" s="103"/>
      <c r="AB152" s="103"/>
      <c r="AC152" s="103"/>
    </row>
    <row r="153" spans="26:29">
      <c r="Z153" s="103"/>
      <c r="AA153" s="103"/>
      <c r="AB153" s="103"/>
      <c r="AC153" s="103"/>
    </row>
    <row r="154" spans="26:29">
      <c r="Z154" s="103"/>
      <c r="AA154" s="103"/>
      <c r="AB154" s="103"/>
      <c r="AC154" s="103"/>
    </row>
    <row r="155" spans="26:29">
      <c r="Z155" s="103"/>
      <c r="AA155" s="103"/>
      <c r="AB155" s="103"/>
      <c r="AC155" s="103"/>
    </row>
    <row r="156" spans="26:29">
      <c r="Z156" s="103"/>
      <c r="AA156" s="103"/>
      <c r="AB156" s="103"/>
      <c r="AC156" s="103"/>
    </row>
    <row r="157" spans="26:29">
      <c r="Z157" s="103"/>
      <c r="AA157" s="103"/>
      <c r="AB157" s="103"/>
      <c r="AC157" s="103"/>
    </row>
    <row r="158" spans="26:29">
      <c r="Z158" s="103"/>
      <c r="AA158" s="103"/>
      <c r="AB158" s="103"/>
      <c r="AC158" s="103"/>
    </row>
    <row r="159" spans="26:29">
      <c r="Z159" s="103"/>
      <c r="AA159" s="103"/>
      <c r="AB159" s="103"/>
      <c r="AC159" s="103"/>
    </row>
    <row r="160" spans="26:29">
      <c r="Z160" s="103"/>
      <c r="AA160" s="103"/>
      <c r="AB160" s="103"/>
      <c r="AC160" s="103"/>
    </row>
    <row r="161" spans="26:29">
      <c r="Z161" s="103"/>
      <c r="AA161" s="103"/>
      <c r="AB161" s="103"/>
      <c r="AC161" s="103"/>
    </row>
    <row r="162" spans="26:29">
      <c r="Z162" s="103"/>
      <c r="AA162" s="103"/>
      <c r="AB162" s="103"/>
      <c r="AC162" s="103"/>
    </row>
    <row r="163" spans="26:29">
      <c r="Z163" s="103"/>
      <c r="AA163" s="103"/>
      <c r="AB163" s="103"/>
      <c r="AC163" s="103"/>
    </row>
    <row r="164" spans="26:29">
      <c r="Z164" s="103"/>
      <c r="AA164" s="103"/>
      <c r="AB164" s="103"/>
      <c r="AC164" s="103"/>
    </row>
    <row r="165" spans="26:29">
      <c r="Z165" s="103"/>
      <c r="AA165" s="103"/>
      <c r="AB165" s="103"/>
      <c r="AC165" s="103"/>
    </row>
    <row r="166" spans="26:29">
      <c r="Z166" s="103"/>
      <c r="AA166" s="103"/>
      <c r="AB166" s="103"/>
      <c r="AC166" s="103"/>
    </row>
    <row r="167" spans="26:29">
      <c r="Z167" s="103"/>
      <c r="AA167" s="103"/>
      <c r="AB167" s="103"/>
      <c r="AC167" s="103"/>
    </row>
    <row r="168" spans="26:29">
      <c r="Z168" s="103"/>
      <c r="AA168" s="103"/>
      <c r="AB168" s="103"/>
      <c r="AC168" s="103"/>
    </row>
    <row r="169" spans="26:29">
      <c r="Z169" s="103"/>
      <c r="AA169" s="103"/>
      <c r="AB169" s="103"/>
      <c r="AC169" s="103"/>
    </row>
    <row r="170" spans="26:29">
      <c r="Z170" s="103"/>
      <c r="AA170" s="103"/>
      <c r="AB170" s="103"/>
      <c r="AC170" s="103"/>
    </row>
    <row r="171" spans="26:29">
      <c r="Z171" s="103"/>
      <c r="AA171" s="103"/>
      <c r="AB171" s="103"/>
      <c r="AC171" s="103"/>
    </row>
    <row r="172" spans="26:29">
      <c r="Z172" s="103"/>
      <c r="AA172" s="103"/>
      <c r="AB172" s="103"/>
      <c r="AC172" s="103"/>
    </row>
    <row r="173" spans="26:29">
      <c r="Z173" s="103"/>
      <c r="AA173" s="103"/>
      <c r="AB173" s="103"/>
      <c r="AC173" s="103"/>
    </row>
    <row r="174" spans="26:29">
      <c r="Z174" s="103"/>
      <c r="AA174" s="103"/>
      <c r="AB174" s="103"/>
      <c r="AC174" s="103"/>
    </row>
    <row r="175" spans="26:29">
      <c r="Z175" s="103"/>
      <c r="AA175" s="103"/>
      <c r="AB175" s="103"/>
      <c r="AC175" s="103"/>
    </row>
    <row r="176" spans="26:29">
      <c r="Z176" s="103"/>
      <c r="AA176" s="103"/>
      <c r="AB176" s="103"/>
      <c r="AC176" s="103"/>
    </row>
    <row r="177" spans="26:29">
      <c r="Z177" s="103"/>
      <c r="AA177" s="103"/>
      <c r="AB177" s="103"/>
      <c r="AC177" s="103"/>
    </row>
    <row r="178" spans="26:29">
      <c r="Z178" s="103"/>
      <c r="AA178" s="103"/>
      <c r="AB178" s="103"/>
      <c r="AC178" s="103"/>
    </row>
    <row r="179" spans="26:29">
      <c r="Z179" s="103"/>
      <c r="AA179" s="103"/>
      <c r="AB179" s="103"/>
      <c r="AC179" s="103"/>
    </row>
    <row r="180" spans="26:29">
      <c r="Z180" s="103"/>
      <c r="AA180" s="103"/>
      <c r="AB180" s="103"/>
      <c r="AC180" s="103"/>
    </row>
    <row r="181" spans="26:29">
      <c r="Z181" s="103"/>
      <c r="AA181" s="103"/>
      <c r="AB181" s="103"/>
      <c r="AC181" s="103"/>
    </row>
    <row r="182" spans="26:29">
      <c r="Z182" s="103"/>
      <c r="AA182" s="103"/>
      <c r="AB182" s="103"/>
      <c r="AC182" s="103"/>
    </row>
    <row r="183" spans="26:29">
      <c r="Z183" s="103"/>
      <c r="AA183" s="103"/>
      <c r="AB183" s="103"/>
      <c r="AC183" s="103"/>
    </row>
    <row r="184" spans="26:29">
      <c r="Z184" s="103"/>
      <c r="AA184" s="103"/>
      <c r="AB184" s="103"/>
      <c r="AC184" s="103"/>
    </row>
    <row r="185" spans="26:29">
      <c r="Z185" s="103"/>
      <c r="AA185" s="103"/>
      <c r="AB185" s="103"/>
      <c r="AC185" s="103"/>
    </row>
    <row r="186" spans="26:29">
      <c r="Z186" s="103"/>
      <c r="AA186" s="103"/>
      <c r="AB186" s="103"/>
      <c r="AC186" s="103"/>
    </row>
    <row r="187" spans="26:29">
      <c r="Z187" s="103"/>
      <c r="AA187" s="103"/>
      <c r="AB187" s="103"/>
      <c r="AC187" s="103"/>
    </row>
    <row r="188" spans="26:29">
      <c r="Z188" s="103"/>
      <c r="AA188" s="103"/>
      <c r="AB188" s="103"/>
      <c r="AC188" s="103"/>
    </row>
    <row r="189" spans="26:29">
      <c r="Z189" s="103"/>
      <c r="AA189" s="103"/>
      <c r="AB189" s="103"/>
      <c r="AC189" s="103"/>
    </row>
    <row r="190" spans="26:29">
      <c r="Z190" s="103"/>
      <c r="AA190" s="103"/>
      <c r="AB190" s="103"/>
      <c r="AC190" s="103"/>
    </row>
    <row r="191" spans="26:29">
      <c r="Z191" s="103"/>
      <c r="AA191" s="103"/>
      <c r="AB191" s="103"/>
      <c r="AC191" s="103"/>
    </row>
    <row r="192" spans="26:29">
      <c r="Z192" s="103"/>
      <c r="AA192" s="103"/>
      <c r="AB192" s="103"/>
      <c r="AC192" s="103"/>
    </row>
    <row r="193" spans="26:29">
      <c r="Z193" s="103"/>
      <c r="AA193" s="103"/>
      <c r="AB193" s="103"/>
      <c r="AC193" s="103"/>
    </row>
    <row r="194" spans="26:29">
      <c r="Z194" s="103"/>
      <c r="AA194" s="103"/>
      <c r="AB194" s="103"/>
      <c r="AC194" s="103"/>
    </row>
    <row r="195" spans="26:29">
      <c r="Z195" s="103"/>
      <c r="AA195" s="103"/>
      <c r="AB195" s="103"/>
      <c r="AC195" s="103"/>
    </row>
    <row r="196" spans="26:29">
      <c r="Z196" s="103"/>
      <c r="AA196" s="103"/>
      <c r="AB196" s="103"/>
      <c r="AC196" s="103"/>
    </row>
    <row r="197" spans="26:29">
      <c r="Z197" s="103"/>
      <c r="AA197" s="103"/>
      <c r="AB197" s="103"/>
      <c r="AC197" s="103"/>
    </row>
    <row r="198" spans="26:29">
      <c r="Z198" s="103"/>
      <c r="AA198" s="103"/>
      <c r="AB198" s="103"/>
      <c r="AC198" s="103"/>
    </row>
    <row r="199" spans="26:29">
      <c r="Z199" s="103"/>
      <c r="AA199" s="103"/>
      <c r="AB199" s="103"/>
      <c r="AC199" s="103"/>
    </row>
    <row r="200" spans="26:29">
      <c r="Z200" s="103"/>
      <c r="AA200" s="103"/>
      <c r="AB200" s="103"/>
      <c r="AC200" s="103"/>
    </row>
  </sheetData>
  <mergeCells count="3">
    <mergeCell ref="A1:E1"/>
    <mergeCell ref="G4:Y40"/>
    <mergeCell ref="AA4:AG40"/>
  </mergeCells>
  <conditionalFormatting sqref="B3:B5">
    <cfRule type="expression" dxfId="3390" priority="1571">
      <formula>AND(OR(ROW()=CELL("row"),COLUMN()=CELL("col")),NOT(ISBLANK($C3)),NOT(ISBLANK($B3)),ROW()&gt;2,COLUMN()&gt;1)</formula>
    </cfRule>
  </conditionalFormatting>
  <conditionalFormatting sqref="B5">
    <cfRule type="expression" dxfId="3389" priority="1570">
      <formula>SUM(--ISBLANK($B5:$J5))=COLUMNS($B5:$J5)</formula>
    </cfRule>
  </conditionalFormatting>
  <conditionalFormatting sqref="B3:B5">
    <cfRule type="containsText" dxfId="3388" priority="1572" operator="containsText" text="NP">
      <formula>NOT(ISERROR(SEARCH("NP",B3)))</formula>
    </cfRule>
  </conditionalFormatting>
  <conditionalFormatting sqref="B5">
    <cfRule type="expression" dxfId="3387" priority="1569">
      <formula>ISBLANK(B5)</formula>
    </cfRule>
  </conditionalFormatting>
  <conditionalFormatting sqref="A6">
    <cfRule type="expression" dxfId="3386" priority="1567">
      <formula>AND(OR(ROW()=CELL("row"),COLUMN()=CELL("col")),NOT(ISBLANK($C6)),NOT(ISBLANK($B6)),ROW()&gt;2,COLUMN()&gt;1)</formula>
    </cfRule>
  </conditionalFormatting>
  <conditionalFormatting sqref="A6">
    <cfRule type="expression" dxfId="3385" priority="1566">
      <formula>SUM(--ISBLANK($B6:$J6))=COLUMNS($B6:$J6)</formula>
    </cfRule>
  </conditionalFormatting>
  <conditionalFormatting sqref="A6">
    <cfRule type="containsText" dxfId="3384" priority="1568" operator="containsText" text="NP">
      <formula>NOT(ISERROR(SEARCH("NP",A6)))</formula>
    </cfRule>
  </conditionalFormatting>
  <conditionalFormatting sqref="A6">
    <cfRule type="expression" dxfId="3383" priority="1565">
      <formula>ISBLANK(A6)</formula>
    </cfRule>
  </conditionalFormatting>
  <conditionalFormatting sqref="B6">
    <cfRule type="expression" dxfId="3382" priority="1563">
      <formula>AND(OR(ROW()=CELL("row"),COLUMN()=CELL("col")),NOT(ISBLANK($C6)),NOT(ISBLANK($B6)),ROW()&gt;2,COLUMN()&gt;1)</formula>
    </cfRule>
  </conditionalFormatting>
  <conditionalFormatting sqref="B6">
    <cfRule type="expression" dxfId="3381" priority="1562">
      <formula>SUM(--ISBLANK($B6:$J6))=COLUMNS($B6:$J6)</formula>
    </cfRule>
  </conditionalFormatting>
  <conditionalFormatting sqref="B6">
    <cfRule type="containsText" dxfId="3380" priority="1564" operator="containsText" text="NP">
      <formula>NOT(ISERROR(SEARCH("NP",B6)))</formula>
    </cfRule>
  </conditionalFormatting>
  <conditionalFormatting sqref="B6">
    <cfRule type="expression" dxfId="3379" priority="1561">
      <formula>ISBLANK(B6)</formula>
    </cfRule>
  </conditionalFormatting>
  <conditionalFormatting sqref="A7">
    <cfRule type="expression" dxfId="3378" priority="1559">
      <formula>AND(OR(ROW()=CELL("row"),COLUMN()=CELL("col")),NOT(ISBLANK($C7)),NOT(ISBLANK($B7)),ROW()&gt;2,COLUMN()&gt;1)</formula>
    </cfRule>
  </conditionalFormatting>
  <conditionalFormatting sqref="A7">
    <cfRule type="expression" dxfId="3377" priority="1558">
      <formula>SUM(--ISBLANK($B7:$J7))=COLUMNS($B7:$J7)</formula>
    </cfRule>
  </conditionalFormatting>
  <conditionalFormatting sqref="A7">
    <cfRule type="containsText" dxfId="3376" priority="1560" operator="containsText" text="NP">
      <formula>NOT(ISERROR(SEARCH("NP",A7)))</formula>
    </cfRule>
  </conditionalFormatting>
  <conditionalFormatting sqref="A7">
    <cfRule type="expression" dxfId="3375" priority="1557">
      <formula>ISBLANK(A7)</formula>
    </cfRule>
  </conditionalFormatting>
  <conditionalFormatting sqref="B7">
    <cfRule type="containsText" dxfId="3374" priority="1555" operator="containsText" text="NP">
      <formula>NOT(ISERROR(SEARCH("NP",B7)))</formula>
    </cfRule>
    <cfRule type="cellIs" dxfId="3373" priority="1556" operator="lessThan">
      <formula>5</formula>
    </cfRule>
  </conditionalFormatting>
  <conditionalFormatting sqref="B7">
    <cfRule type="expression" dxfId="3372" priority="1553">
      <formula>AND(OR(ROW()=CELL("row"),COLUMN()=CELL("col")),NOT(ISBLANK($C7)),NOT(ISBLANK($B7)),ROW()&gt;2,COLUMN()&gt;1)</formula>
    </cfRule>
  </conditionalFormatting>
  <conditionalFormatting sqref="B7">
    <cfRule type="expression" dxfId="3371" priority="1552">
      <formula>SUM(--ISBLANK($B7:$J7))=COLUMNS($B7:$J7)</formula>
    </cfRule>
  </conditionalFormatting>
  <conditionalFormatting sqref="B7">
    <cfRule type="containsText" dxfId="3370" priority="1554" operator="containsText" text="NP">
      <formula>NOT(ISERROR(SEARCH("NP",B7)))</formula>
    </cfRule>
  </conditionalFormatting>
  <conditionalFormatting sqref="B7">
    <cfRule type="expression" dxfId="3369" priority="1551">
      <formula>ISBLANK(B7)</formula>
    </cfRule>
  </conditionalFormatting>
  <conditionalFormatting sqref="B7">
    <cfRule type="expression" dxfId="3368" priority="1550">
      <formula>AND(ISNUMBER(B7), OR(B7&gt;10, B7&lt;0))</formula>
    </cfRule>
  </conditionalFormatting>
  <conditionalFormatting sqref="B7">
    <cfRule type="expression" dxfId="3367" priority="1549">
      <formula>AND(NOT(ISNUMBER(B7)), B7&lt;&gt;"NP", B7&lt;&gt;"Reconocimiento Créditos", B7&lt;&gt;"Aprobado en otro curso")</formula>
    </cfRule>
  </conditionalFormatting>
  <conditionalFormatting sqref="B7">
    <cfRule type="containsText" dxfId="3366" priority="1548" operator="containsText" text="Reconocimiento Créditos">
      <formula>NOT(ISERROR(SEARCH("Reconocimiento Créditos",B7)))</formula>
    </cfRule>
  </conditionalFormatting>
  <conditionalFormatting sqref="A8">
    <cfRule type="expression" dxfId="3365" priority="1546">
      <formula>AND(OR(ROW()=CELL("row"),COLUMN()=CELL("col")),NOT(ISBLANK($C8)),NOT(ISBLANK($B8)),ROW()&gt;2,COLUMN()&gt;1)</formula>
    </cfRule>
  </conditionalFormatting>
  <conditionalFormatting sqref="A8">
    <cfRule type="expression" dxfId="3364" priority="1545">
      <formula>SUM(--ISBLANK($B8:$J8))=COLUMNS($B8:$J8)</formula>
    </cfRule>
  </conditionalFormatting>
  <conditionalFormatting sqref="A8">
    <cfRule type="containsText" dxfId="3363" priority="1547" operator="containsText" text="NP">
      <formula>NOT(ISERROR(SEARCH("NP",A8)))</formula>
    </cfRule>
  </conditionalFormatting>
  <conditionalFormatting sqref="A8">
    <cfRule type="expression" dxfId="3362" priority="1544">
      <formula>ISBLANK(A8)</formula>
    </cfRule>
  </conditionalFormatting>
  <conditionalFormatting sqref="B8">
    <cfRule type="containsText" dxfId="3361" priority="1542" operator="containsText" text="NP">
      <formula>NOT(ISERROR(SEARCH("NP",B8)))</formula>
    </cfRule>
    <cfRule type="cellIs" dxfId="3360" priority="1543" operator="lessThan">
      <formula>5</formula>
    </cfRule>
  </conditionalFormatting>
  <conditionalFormatting sqref="B8">
    <cfRule type="expression" dxfId="3359" priority="1540">
      <formula>AND(OR(ROW()=CELL("row"),COLUMN()=CELL("col")),NOT(ISBLANK($C8)),NOT(ISBLANK($B8)),ROW()&gt;2,COLUMN()&gt;1)</formula>
    </cfRule>
  </conditionalFormatting>
  <conditionalFormatting sqref="B8">
    <cfRule type="expression" dxfId="3358" priority="1539">
      <formula>SUM(--ISBLANK($B8:$J8))=COLUMNS($B8:$J8)</formula>
    </cfRule>
  </conditionalFormatting>
  <conditionalFormatting sqref="B8">
    <cfRule type="containsText" dxfId="3357" priority="1541" operator="containsText" text="NP">
      <formula>NOT(ISERROR(SEARCH("NP",B8)))</formula>
    </cfRule>
  </conditionalFormatting>
  <conditionalFormatting sqref="B8">
    <cfRule type="expression" dxfId="3356" priority="1538">
      <formula>ISBLANK(B8)</formula>
    </cfRule>
  </conditionalFormatting>
  <conditionalFormatting sqref="B8">
    <cfRule type="expression" dxfId="3355" priority="1537">
      <formula>AND(ISNUMBER(B8), OR(B8&gt;10, B8&lt;0))</formula>
    </cfRule>
  </conditionalFormatting>
  <conditionalFormatting sqref="B8">
    <cfRule type="expression" dxfId="3354" priority="1536">
      <formula>AND(NOT(ISNUMBER(B8)), B8&lt;&gt;"NP", B8&lt;&gt;"Reconocimiento Créditos", B8&lt;&gt;"Aprobado en otro curso")</formula>
    </cfRule>
  </conditionalFormatting>
  <conditionalFormatting sqref="B8">
    <cfRule type="containsText" dxfId="3353" priority="1535" operator="containsText" text="Reconocimiento Créditos">
      <formula>NOT(ISERROR(SEARCH("Reconocimiento Créditos",B8)))</formula>
    </cfRule>
  </conditionalFormatting>
  <conditionalFormatting sqref="A9">
    <cfRule type="expression" dxfId="3352" priority="1533">
      <formula>AND(OR(ROW()=CELL("row"),COLUMN()=CELL("col")),NOT(ISBLANK($C9)),NOT(ISBLANK($B9)),ROW()&gt;2,COLUMN()&gt;1)</formula>
    </cfRule>
  </conditionalFormatting>
  <conditionalFormatting sqref="A9">
    <cfRule type="expression" dxfId="3351" priority="1532">
      <formula>SUM(--ISBLANK($B9:$J9))=COLUMNS($B9:$J9)</formula>
    </cfRule>
  </conditionalFormatting>
  <conditionalFormatting sqref="A9">
    <cfRule type="containsText" dxfId="3350" priority="1534" operator="containsText" text="NP">
      <formula>NOT(ISERROR(SEARCH("NP",A9)))</formula>
    </cfRule>
  </conditionalFormatting>
  <conditionalFormatting sqref="A9">
    <cfRule type="expression" dxfId="3349" priority="1531">
      <formula>ISBLANK(A9)</formula>
    </cfRule>
  </conditionalFormatting>
  <conditionalFormatting sqref="B9">
    <cfRule type="containsText" dxfId="3348" priority="1529" operator="containsText" text="NP">
      <formula>NOT(ISERROR(SEARCH("NP",B9)))</formula>
    </cfRule>
    <cfRule type="cellIs" dxfId="3347" priority="1530" operator="lessThan">
      <formula>5</formula>
    </cfRule>
  </conditionalFormatting>
  <conditionalFormatting sqref="B9">
    <cfRule type="expression" dxfId="3346" priority="1527">
      <formula>AND(OR(ROW()=CELL("row"),COLUMN()=CELL("col")),NOT(ISBLANK($C9)),NOT(ISBLANK($B9)),ROW()&gt;2,COLUMN()&gt;1)</formula>
    </cfRule>
  </conditionalFormatting>
  <conditionalFormatting sqref="B9">
    <cfRule type="expression" dxfId="3345" priority="1526">
      <formula>SUM(--ISBLANK($B9:$J9))=COLUMNS($B9:$J9)</formula>
    </cfRule>
  </conditionalFormatting>
  <conditionalFormatting sqref="B9">
    <cfRule type="containsText" dxfId="3344" priority="1528" operator="containsText" text="NP">
      <formula>NOT(ISERROR(SEARCH("NP",B9)))</formula>
    </cfRule>
  </conditionalFormatting>
  <conditionalFormatting sqref="B9">
    <cfRule type="expression" dxfId="3343" priority="1525">
      <formula>ISBLANK(B9)</formula>
    </cfRule>
  </conditionalFormatting>
  <conditionalFormatting sqref="B9">
    <cfRule type="expression" dxfId="3342" priority="1524">
      <formula>AND(ISNUMBER(B9), OR(B9&gt;10, B9&lt;0))</formula>
    </cfRule>
  </conditionalFormatting>
  <conditionalFormatting sqref="B9">
    <cfRule type="expression" dxfId="3341" priority="1523">
      <formula>AND(NOT(ISNUMBER(B9)), B9&lt;&gt;"NP", B9&lt;&gt;"Reconocimiento Créditos", B9&lt;&gt;"Aprobado en otro curso")</formula>
    </cfRule>
  </conditionalFormatting>
  <conditionalFormatting sqref="B9">
    <cfRule type="containsText" dxfId="3340" priority="1522" operator="containsText" text="Reconocimiento Créditos">
      <formula>NOT(ISERROR(SEARCH("Reconocimiento Créditos",B9)))</formula>
    </cfRule>
  </conditionalFormatting>
  <conditionalFormatting sqref="A10">
    <cfRule type="expression" dxfId="3339" priority="1520">
      <formula>AND(OR(ROW()=CELL("row"),COLUMN()=CELL("col")),NOT(ISBLANK($C10)),NOT(ISBLANK($B10)),ROW()&gt;2,COLUMN()&gt;1)</formula>
    </cfRule>
  </conditionalFormatting>
  <conditionalFormatting sqref="A10">
    <cfRule type="expression" dxfId="3338" priority="1519">
      <formula>SUM(--ISBLANK($B10:$J10))=COLUMNS($B10:$J10)</formula>
    </cfRule>
  </conditionalFormatting>
  <conditionalFormatting sqref="A10">
    <cfRule type="containsText" dxfId="3337" priority="1521" operator="containsText" text="NP">
      <formula>NOT(ISERROR(SEARCH("NP",A10)))</formula>
    </cfRule>
  </conditionalFormatting>
  <conditionalFormatting sqref="A10">
    <cfRule type="expression" dxfId="3336" priority="1518">
      <formula>ISBLANK(A10)</formula>
    </cfRule>
  </conditionalFormatting>
  <conditionalFormatting sqref="B10">
    <cfRule type="containsText" dxfId="3335" priority="1516" operator="containsText" text="NP">
      <formula>NOT(ISERROR(SEARCH("NP",B10)))</formula>
    </cfRule>
    <cfRule type="cellIs" dxfId="3334" priority="1517" operator="lessThan">
      <formula>5</formula>
    </cfRule>
  </conditionalFormatting>
  <conditionalFormatting sqref="B10">
    <cfRule type="expression" dxfId="3333" priority="1514">
      <formula>AND(OR(ROW()=CELL("row"),COLUMN()=CELL("col")),NOT(ISBLANK($C10)),NOT(ISBLANK($B10)),ROW()&gt;2,COLUMN()&gt;1)</formula>
    </cfRule>
  </conditionalFormatting>
  <conditionalFormatting sqref="B10">
    <cfRule type="expression" dxfId="3332" priority="1513">
      <formula>SUM(--ISBLANK($B10:$J10))=COLUMNS($B10:$J10)</formula>
    </cfRule>
  </conditionalFormatting>
  <conditionalFormatting sqref="B10">
    <cfRule type="containsText" dxfId="3331" priority="1515" operator="containsText" text="NP">
      <formula>NOT(ISERROR(SEARCH("NP",B10)))</formula>
    </cfRule>
  </conditionalFormatting>
  <conditionalFormatting sqref="B10">
    <cfRule type="expression" dxfId="3330" priority="1512">
      <formula>ISBLANK(B10)</formula>
    </cfRule>
  </conditionalFormatting>
  <conditionalFormatting sqref="B10">
    <cfRule type="expression" dxfId="3329" priority="1511">
      <formula>AND(ISNUMBER(B10), OR(B10&gt;10, B10&lt;0))</formula>
    </cfRule>
  </conditionalFormatting>
  <conditionalFormatting sqref="B10">
    <cfRule type="expression" dxfId="3328" priority="1510">
      <formula>AND(NOT(ISNUMBER(B10)), B10&lt;&gt;"NP", B10&lt;&gt;"Reconocimiento Créditos", B10&lt;&gt;"Aprobado en otro curso")</formula>
    </cfRule>
  </conditionalFormatting>
  <conditionalFormatting sqref="B10">
    <cfRule type="containsText" dxfId="3327" priority="1509" operator="containsText" text="Reconocimiento Créditos">
      <formula>NOT(ISERROR(SEARCH("Reconocimiento Créditos",B10)))</formula>
    </cfRule>
  </conditionalFormatting>
  <conditionalFormatting sqref="A11">
    <cfRule type="expression" dxfId="3326" priority="1507">
      <formula>AND(OR(ROW()=CELL("row"),COLUMN()=CELL("col")),NOT(ISBLANK($C11)),NOT(ISBLANK($B11)),ROW()&gt;2,COLUMN()&gt;1)</formula>
    </cfRule>
  </conditionalFormatting>
  <conditionalFormatting sqref="A11">
    <cfRule type="expression" dxfId="3325" priority="1506">
      <formula>SUM(--ISBLANK($B11:$J11))=COLUMNS($B11:$J11)</formula>
    </cfRule>
  </conditionalFormatting>
  <conditionalFormatting sqref="A11">
    <cfRule type="containsText" dxfId="3324" priority="1508" operator="containsText" text="NP">
      <formula>NOT(ISERROR(SEARCH("NP",A11)))</formula>
    </cfRule>
  </conditionalFormatting>
  <conditionalFormatting sqref="A11">
    <cfRule type="expression" dxfId="3323" priority="1505">
      <formula>ISBLANK(A11)</formula>
    </cfRule>
  </conditionalFormatting>
  <conditionalFormatting sqref="B11">
    <cfRule type="containsText" dxfId="3322" priority="1503" operator="containsText" text="NP">
      <formula>NOT(ISERROR(SEARCH("NP",B11)))</formula>
    </cfRule>
    <cfRule type="cellIs" dxfId="3321" priority="1504" operator="lessThan">
      <formula>5</formula>
    </cfRule>
  </conditionalFormatting>
  <conditionalFormatting sqref="B11">
    <cfRule type="expression" dxfId="3320" priority="1501">
      <formula>AND(OR(ROW()=CELL("row"),COLUMN()=CELL("col")),NOT(ISBLANK($C11)),NOT(ISBLANK($B11)),ROW()&gt;2,COLUMN()&gt;1)</formula>
    </cfRule>
  </conditionalFormatting>
  <conditionalFormatting sqref="B11">
    <cfRule type="expression" dxfId="3319" priority="1500">
      <formula>SUM(--ISBLANK($B11:$J11))=COLUMNS($B11:$J11)</formula>
    </cfRule>
  </conditionalFormatting>
  <conditionalFormatting sqref="B11">
    <cfRule type="containsText" dxfId="3318" priority="1502" operator="containsText" text="NP">
      <formula>NOT(ISERROR(SEARCH("NP",B11)))</formula>
    </cfRule>
  </conditionalFormatting>
  <conditionalFormatting sqref="B11">
    <cfRule type="expression" dxfId="3317" priority="1499">
      <formula>ISBLANK(B11)</formula>
    </cfRule>
  </conditionalFormatting>
  <conditionalFormatting sqref="B11">
    <cfRule type="expression" dxfId="3316" priority="1498">
      <formula>AND(ISNUMBER(B11), OR(B11&gt;10, B11&lt;0))</formula>
    </cfRule>
  </conditionalFormatting>
  <conditionalFormatting sqref="B11">
    <cfRule type="expression" dxfId="3315" priority="1497">
      <formula>AND(NOT(ISNUMBER(B11)), B11&lt;&gt;"NP", B11&lt;&gt;"Reconocimiento Créditos", B11&lt;&gt;"Aprobado en otro curso")</formula>
    </cfRule>
  </conditionalFormatting>
  <conditionalFormatting sqref="B11">
    <cfRule type="containsText" dxfId="3314" priority="1496" operator="containsText" text="Reconocimiento Créditos">
      <formula>NOT(ISERROR(SEARCH("Reconocimiento Créditos",B11)))</formula>
    </cfRule>
  </conditionalFormatting>
  <conditionalFormatting sqref="A12">
    <cfRule type="expression" dxfId="3313" priority="1494">
      <formula>AND(OR(ROW()=CELL("row"),COLUMN()=CELL("col")),NOT(ISBLANK($C12)),NOT(ISBLANK($B12)),ROW()&gt;2,COLUMN()&gt;1)</formula>
    </cfRule>
  </conditionalFormatting>
  <conditionalFormatting sqref="A12">
    <cfRule type="expression" dxfId="3312" priority="1493">
      <formula>SUM(--ISBLANK($B12:$J12))=COLUMNS($B12:$J12)</formula>
    </cfRule>
  </conditionalFormatting>
  <conditionalFormatting sqref="A12">
    <cfRule type="containsText" dxfId="3311" priority="1495" operator="containsText" text="NP">
      <formula>NOT(ISERROR(SEARCH("NP",A12)))</formula>
    </cfRule>
  </conditionalFormatting>
  <conditionalFormatting sqref="A12">
    <cfRule type="expression" dxfId="3310" priority="1492">
      <formula>ISBLANK(A12)</formula>
    </cfRule>
  </conditionalFormatting>
  <conditionalFormatting sqref="B12">
    <cfRule type="containsText" dxfId="3309" priority="1490" operator="containsText" text="NP">
      <formula>NOT(ISERROR(SEARCH("NP",B12)))</formula>
    </cfRule>
    <cfRule type="cellIs" dxfId="3308" priority="1491" operator="lessThan">
      <formula>5</formula>
    </cfRule>
  </conditionalFormatting>
  <conditionalFormatting sqref="B12">
    <cfRule type="expression" dxfId="3307" priority="1488">
      <formula>AND(OR(ROW()=CELL("row"),COLUMN()=CELL("col")),NOT(ISBLANK($C12)),NOT(ISBLANK($B12)),ROW()&gt;2,COLUMN()&gt;1)</formula>
    </cfRule>
  </conditionalFormatting>
  <conditionalFormatting sqref="B12">
    <cfRule type="expression" dxfId="3306" priority="1487">
      <formula>SUM(--ISBLANK($B12:$J12))=COLUMNS($B12:$J12)</formula>
    </cfRule>
  </conditionalFormatting>
  <conditionalFormatting sqref="B12">
    <cfRule type="containsText" dxfId="3305" priority="1489" operator="containsText" text="NP">
      <formula>NOT(ISERROR(SEARCH("NP",B12)))</formula>
    </cfRule>
  </conditionalFormatting>
  <conditionalFormatting sqref="B12">
    <cfRule type="expression" dxfId="3304" priority="1486">
      <formula>ISBLANK(B12)</formula>
    </cfRule>
  </conditionalFormatting>
  <conditionalFormatting sqref="B12">
    <cfRule type="expression" dxfId="3303" priority="1485">
      <formula>AND(ISNUMBER(B12), OR(B12&gt;10, B12&lt;0))</formula>
    </cfRule>
  </conditionalFormatting>
  <conditionalFormatting sqref="B12">
    <cfRule type="expression" dxfId="3302" priority="1484">
      <formula>AND(NOT(ISNUMBER(B12)), B12&lt;&gt;"NP", B12&lt;&gt;"Reconocimiento Créditos", B12&lt;&gt;"Aprobado en otro curso")</formula>
    </cfRule>
  </conditionalFormatting>
  <conditionalFormatting sqref="B12">
    <cfRule type="containsText" dxfId="3301" priority="1483" operator="containsText" text="Reconocimiento Créditos">
      <formula>NOT(ISERROR(SEARCH("Reconocimiento Créditos",B12)))</formula>
    </cfRule>
  </conditionalFormatting>
  <conditionalFormatting sqref="A13">
    <cfRule type="expression" dxfId="3300" priority="1481">
      <formula>AND(OR(ROW()=CELL("row"),COLUMN()=CELL("col")),NOT(ISBLANK($C13)),NOT(ISBLANK($B13)),ROW()&gt;2,COLUMN()&gt;1)</formula>
    </cfRule>
  </conditionalFormatting>
  <conditionalFormatting sqref="A13">
    <cfRule type="expression" dxfId="3299" priority="1480">
      <formula>SUM(--ISBLANK($B13:$J13))=COLUMNS($B13:$J13)</formula>
    </cfRule>
  </conditionalFormatting>
  <conditionalFormatting sqref="A13">
    <cfRule type="containsText" dxfId="3298" priority="1482" operator="containsText" text="NP">
      <formula>NOT(ISERROR(SEARCH("NP",A13)))</formula>
    </cfRule>
  </conditionalFormatting>
  <conditionalFormatting sqref="A13">
    <cfRule type="expression" dxfId="3297" priority="1479">
      <formula>ISBLANK(A13)</formula>
    </cfRule>
  </conditionalFormatting>
  <conditionalFormatting sqref="B13">
    <cfRule type="containsText" dxfId="3296" priority="1477" operator="containsText" text="NP">
      <formula>NOT(ISERROR(SEARCH("NP",B13)))</formula>
    </cfRule>
    <cfRule type="cellIs" dxfId="3295" priority="1478" operator="lessThan">
      <formula>5</formula>
    </cfRule>
  </conditionalFormatting>
  <conditionalFormatting sqref="B13">
    <cfRule type="expression" dxfId="3294" priority="1475">
      <formula>AND(OR(ROW()=CELL("row"),COLUMN()=CELL("col")),NOT(ISBLANK($C13)),NOT(ISBLANK($B13)),ROW()&gt;2,COLUMN()&gt;1)</formula>
    </cfRule>
  </conditionalFormatting>
  <conditionalFormatting sqref="B13">
    <cfRule type="expression" dxfId="3293" priority="1474">
      <formula>SUM(--ISBLANK($B13:$J13))=COLUMNS($B13:$J13)</formula>
    </cfRule>
  </conditionalFormatting>
  <conditionalFormatting sqref="B13">
    <cfRule type="containsText" dxfId="3292" priority="1476" operator="containsText" text="NP">
      <formula>NOT(ISERROR(SEARCH("NP",B13)))</formula>
    </cfRule>
  </conditionalFormatting>
  <conditionalFormatting sqref="B13">
    <cfRule type="expression" dxfId="3291" priority="1473">
      <formula>ISBLANK(B13)</formula>
    </cfRule>
  </conditionalFormatting>
  <conditionalFormatting sqref="B13">
    <cfRule type="expression" dxfId="3290" priority="1472">
      <formula>AND(ISNUMBER(B13), OR(B13&gt;10, B13&lt;0))</formula>
    </cfRule>
  </conditionalFormatting>
  <conditionalFormatting sqref="B13">
    <cfRule type="expression" dxfId="3289" priority="1471">
      <formula>AND(NOT(ISNUMBER(B13)), B13&lt;&gt;"NP", B13&lt;&gt;"Reconocimiento Créditos", B13&lt;&gt;"Aprobado en otro curso")</formula>
    </cfRule>
  </conditionalFormatting>
  <conditionalFormatting sqref="B13">
    <cfRule type="containsText" dxfId="3288" priority="1470" operator="containsText" text="Reconocimiento Créditos">
      <formula>NOT(ISERROR(SEARCH("Reconocimiento Créditos",B13)))</formula>
    </cfRule>
  </conditionalFormatting>
  <conditionalFormatting sqref="A14">
    <cfRule type="expression" dxfId="3287" priority="1468">
      <formula>AND(OR(ROW()=CELL("row"),COLUMN()=CELL("col")),NOT(ISBLANK($C14)),NOT(ISBLANK($B14)),ROW()&gt;2,COLUMN()&gt;1)</formula>
    </cfRule>
  </conditionalFormatting>
  <conditionalFormatting sqref="A14">
    <cfRule type="expression" dxfId="3286" priority="1467">
      <formula>SUM(--ISBLANK($B14:$J14))=COLUMNS($B14:$J14)</formula>
    </cfRule>
  </conditionalFormatting>
  <conditionalFormatting sqref="A14">
    <cfRule type="containsText" dxfId="3285" priority="1469" operator="containsText" text="NP">
      <formula>NOT(ISERROR(SEARCH("NP",A14)))</formula>
    </cfRule>
  </conditionalFormatting>
  <conditionalFormatting sqref="A14">
    <cfRule type="expression" dxfId="3284" priority="1466">
      <formula>ISBLANK(A14)</formula>
    </cfRule>
  </conditionalFormatting>
  <conditionalFormatting sqref="B14">
    <cfRule type="containsText" dxfId="3283" priority="1464" operator="containsText" text="NP">
      <formula>NOT(ISERROR(SEARCH("NP",B14)))</formula>
    </cfRule>
    <cfRule type="cellIs" dxfId="3282" priority="1465" operator="lessThan">
      <formula>5</formula>
    </cfRule>
  </conditionalFormatting>
  <conditionalFormatting sqref="B14">
    <cfRule type="expression" dxfId="3281" priority="1462">
      <formula>AND(OR(ROW()=CELL("row"),COLUMN()=CELL("col")),NOT(ISBLANK($C14)),NOT(ISBLANK($B14)),ROW()&gt;2,COLUMN()&gt;1)</formula>
    </cfRule>
  </conditionalFormatting>
  <conditionalFormatting sqref="B14">
    <cfRule type="expression" dxfId="3280" priority="1461">
      <formula>SUM(--ISBLANK($B14:$J14))=COLUMNS($B14:$J14)</formula>
    </cfRule>
  </conditionalFormatting>
  <conditionalFormatting sqref="B14">
    <cfRule type="containsText" dxfId="3279" priority="1463" operator="containsText" text="NP">
      <formula>NOT(ISERROR(SEARCH("NP",B14)))</formula>
    </cfRule>
  </conditionalFormatting>
  <conditionalFormatting sqref="B14">
    <cfRule type="expression" dxfId="3278" priority="1460">
      <formula>ISBLANK(B14)</formula>
    </cfRule>
  </conditionalFormatting>
  <conditionalFormatting sqref="B14">
    <cfRule type="expression" dxfId="3277" priority="1459">
      <formula>AND(ISNUMBER(B14), OR(B14&gt;10, B14&lt;0))</formula>
    </cfRule>
  </conditionalFormatting>
  <conditionalFormatting sqref="B14">
    <cfRule type="expression" dxfId="3276" priority="1458">
      <formula>AND(NOT(ISNUMBER(B14)), B14&lt;&gt;"NP", B14&lt;&gt;"Reconocimiento Créditos", B14&lt;&gt;"Aprobado en otro curso")</formula>
    </cfRule>
  </conditionalFormatting>
  <conditionalFormatting sqref="B14">
    <cfRule type="containsText" dxfId="3275" priority="1457" operator="containsText" text="Reconocimiento Créditos">
      <formula>NOT(ISERROR(SEARCH("Reconocimiento Créditos",B14)))</formula>
    </cfRule>
  </conditionalFormatting>
  <conditionalFormatting sqref="A15">
    <cfRule type="expression" dxfId="3274" priority="1455">
      <formula>AND(OR(ROW()=CELL("row"),COLUMN()=CELL("col")),NOT(ISBLANK($C15)),NOT(ISBLANK($B15)),ROW()&gt;2,COLUMN()&gt;1)</formula>
    </cfRule>
  </conditionalFormatting>
  <conditionalFormatting sqref="A15">
    <cfRule type="expression" dxfId="3273" priority="1454">
      <formula>SUM(--ISBLANK($B15:$J15))=COLUMNS($B15:$J15)</formula>
    </cfRule>
  </conditionalFormatting>
  <conditionalFormatting sqref="A15">
    <cfRule type="containsText" dxfId="3272" priority="1456" operator="containsText" text="NP">
      <formula>NOT(ISERROR(SEARCH("NP",A15)))</formula>
    </cfRule>
  </conditionalFormatting>
  <conditionalFormatting sqref="A15">
    <cfRule type="expression" dxfId="3271" priority="1453">
      <formula>ISBLANK(A15)</formula>
    </cfRule>
  </conditionalFormatting>
  <conditionalFormatting sqref="B15">
    <cfRule type="containsText" dxfId="3270" priority="1451" operator="containsText" text="NP">
      <formula>NOT(ISERROR(SEARCH("NP",B15)))</formula>
    </cfRule>
    <cfRule type="cellIs" dxfId="3269" priority="1452" operator="lessThan">
      <formula>5</formula>
    </cfRule>
  </conditionalFormatting>
  <conditionalFormatting sqref="B15">
    <cfRule type="expression" dxfId="3268" priority="1449">
      <formula>AND(OR(ROW()=CELL("row"),COLUMN()=CELL("col")),NOT(ISBLANK($C15)),NOT(ISBLANK($B15)),ROW()&gt;2,COLUMN()&gt;1)</formula>
    </cfRule>
  </conditionalFormatting>
  <conditionalFormatting sqref="B15">
    <cfRule type="expression" dxfId="3267" priority="1448">
      <formula>SUM(--ISBLANK($B15:$J15))=COLUMNS($B15:$J15)</formula>
    </cfRule>
  </conditionalFormatting>
  <conditionalFormatting sqref="B15">
    <cfRule type="containsText" dxfId="3266" priority="1450" operator="containsText" text="NP">
      <formula>NOT(ISERROR(SEARCH("NP",B15)))</formula>
    </cfRule>
  </conditionalFormatting>
  <conditionalFormatting sqref="B15">
    <cfRule type="expression" dxfId="3265" priority="1447">
      <formula>ISBLANK(B15)</formula>
    </cfRule>
  </conditionalFormatting>
  <conditionalFormatting sqref="B15">
    <cfRule type="expression" dxfId="3264" priority="1446">
      <formula>AND(ISNUMBER(B15), OR(B15&gt;10, B15&lt;0))</formula>
    </cfRule>
  </conditionalFormatting>
  <conditionalFormatting sqref="B15">
    <cfRule type="expression" dxfId="3263" priority="1445">
      <formula>AND(NOT(ISNUMBER(B15)), B15&lt;&gt;"NP", B15&lt;&gt;"Reconocimiento Créditos", B15&lt;&gt;"Aprobado en otro curso")</formula>
    </cfRule>
  </conditionalFormatting>
  <conditionalFormatting sqref="B15">
    <cfRule type="containsText" dxfId="3262" priority="1444" operator="containsText" text="Reconocimiento Créditos">
      <formula>NOT(ISERROR(SEARCH("Reconocimiento Créditos",B15)))</formula>
    </cfRule>
  </conditionalFormatting>
  <conditionalFormatting sqref="A16">
    <cfRule type="expression" dxfId="3261" priority="1442">
      <formula>AND(OR(ROW()=CELL("row"),COLUMN()=CELL("col")),NOT(ISBLANK($C16)),NOT(ISBLANK($B16)),ROW()&gt;2,COLUMN()&gt;1)</formula>
    </cfRule>
  </conditionalFormatting>
  <conditionalFormatting sqref="A16">
    <cfRule type="expression" dxfId="3260" priority="1441">
      <formula>SUM(--ISBLANK($B16:$J16))=COLUMNS($B16:$J16)</formula>
    </cfRule>
  </conditionalFormatting>
  <conditionalFormatting sqref="A16">
    <cfRule type="containsText" dxfId="3259" priority="1443" operator="containsText" text="NP">
      <formula>NOT(ISERROR(SEARCH("NP",A16)))</formula>
    </cfRule>
  </conditionalFormatting>
  <conditionalFormatting sqref="A16">
    <cfRule type="expression" dxfId="3258" priority="1440">
      <formula>ISBLANK(A16)</formula>
    </cfRule>
  </conditionalFormatting>
  <conditionalFormatting sqref="B16">
    <cfRule type="containsText" dxfId="3257" priority="1438" operator="containsText" text="NP">
      <formula>NOT(ISERROR(SEARCH("NP",B16)))</formula>
    </cfRule>
    <cfRule type="cellIs" dxfId="3256" priority="1439" operator="lessThan">
      <formula>5</formula>
    </cfRule>
  </conditionalFormatting>
  <conditionalFormatting sqref="B16">
    <cfRule type="expression" dxfId="3255" priority="1436">
      <formula>AND(OR(ROW()=CELL("row"),COLUMN()=CELL("col")),NOT(ISBLANK($C16)),NOT(ISBLANK($B16)),ROW()&gt;2,COLUMN()&gt;1)</formula>
    </cfRule>
  </conditionalFormatting>
  <conditionalFormatting sqref="B16">
    <cfRule type="expression" dxfId="3254" priority="1435">
      <formula>SUM(--ISBLANK($B16:$J16))=COLUMNS($B16:$J16)</formula>
    </cfRule>
  </conditionalFormatting>
  <conditionalFormatting sqref="B16">
    <cfRule type="containsText" dxfId="3253" priority="1437" operator="containsText" text="NP">
      <formula>NOT(ISERROR(SEARCH("NP",B16)))</formula>
    </cfRule>
  </conditionalFormatting>
  <conditionalFormatting sqref="B16">
    <cfRule type="expression" dxfId="3252" priority="1434">
      <formula>ISBLANK(B16)</formula>
    </cfRule>
  </conditionalFormatting>
  <conditionalFormatting sqref="B16">
    <cfRule type="expression" dxfId="3251" priority="1433">
      <formula>AND(ISNUMBER(B16), OR(B16&gt;10, B16&lt;0))</formula>
    </cfRule>
  </conditionalFormatting>
  <conditionalFormatting sqref="B16">
    <cfRule type="expression" dxfId="3250" priority="1432">
      <formula>AND(NOT(ISNUMBER(B16)), B16&lt;&gt;"NP", B16&lt;&gt;"Reconocimiento Créditos", B16&lt;&gt;"Aprobado en otro curso")</formula>
    </cfRule>
  </conditionalFormatting>
  <conditionalFormatting sqref="B16">
    <cfRule type="containsText" dxfId="3249" priority="1431" operator="containsText" text="Reconocimiento Créditos">
      <formula>NOT(ISERROR(SEARCH("Reconocimiento Créditos",B16)))</formula>
    </cfRule>
  </conditionalFormatting>
  <conditionalFormatting sqref="A17">
    <cfRule type="expression" dxfId="3248" priority="1429">
      <formula>AND(OR(ROW()=CELL("row"),COLUMN()=CELL("col")),NOT(ISBLANK($C17)),NOT(ISBLANK($B17)),ROW()&gt;2,COLUMN()&gt;1)</formula>
    </cfRule>
  </conditionalFormatting>
  <conditionalFormatting sqref="A17">
    <cfRule type="expression" dxfId="3247" priority="1428">
      <formula>SUM(--ISBLANK($B17:$J17))=COLUMNS($B17:$J17)</formula>
    </cfRule>
  </conditionalFormatting>
  <conditionalFormatting sqref="A17">
    <cfRule type="containsText" dxfId="3246" priority="1430" operator="containsText" text="NP">
      <formula>NOT(ISERROR(SEARCH("NP",A17)))</formula>
    </cfRule>
  </conditionalFormatting>
  <conditionalFormatting sqref="A17">
    <cfRule type="expression" dxfId="3245" priority="1427">
      <formula>ISBLANK(A17)</formula>
    </cfRule>
  </conditionalFormatting>
  <conditionalFormatting sqref="B17">
    <cfRule type="containsText" dxfId="3244" priority="1425" operator="containsText" text="NP">
      <formula>NOT(ISERROR(SEARCH("NP",B17)))</formula>
    </cfRule>
    <cfRule type="cellIs" dxfId="3243" priority="1426" operator="lessThan">
      <formula>5</formula>
    </cfRule>
  </conditionalFormatting>
  <conditionalFormatting sqref="B17">
    <cfRule type="expression" dxfId="3242" priority="1423">
      <formula>AND(OR(ROW()=CELL("row"),COLUMN()=CELL("col")),NOT(ISBLANK($C17)),NOT(ISBLANK($B17)),ROW()&gt;2,COLUMN()&gt;1)</formula>
    </cfRule>
  </conditionalFormatting>
  <conditionalFormatting sqref="B17">
    <cfRule type="expression" dxfId="3241" priority="1422">
      <formula>SUM(--ISBLANK($B17:$J17))=COLUMNS($B17:$J17)</formula>
    </cfRule>
  </conditionalFormatting>
  <conditionalFormatting sqref="B17">
    <cfRule type="containsText" dxfId="3240" priority="1424" operator="containsText" text="NP">
      <formula>NOT(ISERROR(SEARCH("NP",B17)))</formula>
    </cfRule>
  </conditionalFormatting>
  <conditionalFormatting sqref="B17">
    <cfRule type="expression" dxfId="3239" priority="1421">
      <formula>ISBLANK(B17)</formula>
    </cfRule>
  </conditionalFormatting>
  <conditionalFormatting sqref="B17">
    <cfRule type="expression" dxfId="3238" priority="1420">
      <formula>AND(ISNUMBER(B17), OR(B17&gt;10, B17&lt;0))</formula>
    </cfRule>
  </conditionalFormatting>
  <conditionalFormatting sqref="B17">
    <cfRule type="containsText" dxfId="3237" priority="1419" operator="containsText" text="Reconocimiento Créditos">
      <formula>NOT(ISERROR(SEARCH("Reconocimiento Créditos",B17)))</formula>
    </cfRule>
  </conditionalFormatting>
  <conditionalFormatting sqref="A18">
    <cfRule type="expression" dxfId="3236" priority="1417">
      <formula>AND(OR(ROW()=CELL("row"),COLUMN()=CELL("col")),NOT(ISBLANK($C18)),NOT(ISBLANK($B18)),ROW()&gt;2,COLUMN()&gt;1)</formula>
    </cfRule>
  </conditionalFormatting>
  <conditionalFormatting sqref="A18">
    <cfRule type="expression" dxfId="3235" priority="1416">
      <formula>SUM(--ISBLANK($B18:$J18))=COLUMNS($B18:$J18)</formula>
    </cfRule>
  </conditionalFormatting>
  <conditionalFormatting sqref="A18">
    <cfRule type="containsText" dxfId="3234" priority="1418" operator="containsText" text="NP">
      <formula>NOT(ISERROR(SEARCH("NP",A18)))</formula>
    </cfRule>
  </conditionalFormatting>
  <conditionalFormatting sqref="A18">
    <cfRule type="expression" dxfId="3233" priority="1415">
      <formula>ISBLANK(A18)</formula>
    </cfRule>
  </conditionalFormatting>
  <conditionalFormatting sqref="B18">
    <cfRule type="containsText" dxfId="3232" priority="1413" operator="containsText" text="NP">
      <formula>NOT(ISERROR(SEARCH("NP",B18)))</formula>
    </cfRule>
    <cfRule type="cellIs" dxfId="3231" priority="1414" operator="lessThan">
      <formula>5</formula>
    </cfRule>
  </conditionalFormatting>
  <conditionalFormatting sqref="B18">
    <cfRule type="expression" dxfId="3230" priority="1411">
      <formula>AND(OR(ROW()=CELL("row"),COLUMN()=CELL("col")),NOT(ISBLANK($C18)),NOT(ISBLANK($B18)),ROW()&gt;2,COLUMN()&gt;1)</formula>
    </cfRule>
  </conditionalFormatting>
  <conditionalFormatting sqref="B18">
    <cfRule type="expression" dxfId="3229" priority="1410">
      <formula>SUM(--ISBLANK($B18:$J18))=COLUMNS($B18:$J18)</formula>
    </cfRule>
  </conditionalFormatting>
  <conditionalFormatting sqref="B18">
    <cfRule type="containsText" dxfId="3228" priority="1412" operator="containsText" text="NP">
      <formula>NOT(ISERROR(SEARCH("NP",B18)))</formula>
    </cfRule>
  </conditionalFormatting>
  <conditionalFormatting sqref="B18">
    <cfRule type="expression" dxfId="3227" priority="1409">
      <formula>ISBLANK(B18)</formula>
    </cfRule>
  </conditionalFormatting>
  <conditionalFormatting sqref="B18">
    <cfRule type="expression" dxfId="3226" priority="1407">
      <formula>AND(ISNUMBER(B18), OR(B18&gt;10, B18&lt;0))</formula>
    </cfRule>
  </conditionalFormatting>
  <conditionalFormatting sqref="B18">
    <cfRule type="expression" dxfId="3225" priority="1406">
      <formula>AND(NOT(ISNUMBER(B18)), B18&lt;&gt;"NP", B18&lt;&gt;"Reconocimiento Créditos", B18&lt;&gt;"Aprobado en otro curso")</formula>
    </cfRule>
  </conditionalFormatting>
  <conditionalFormatting sqref="B18">
    <cfRule type="containsText" dxfId="3224" priority="1405" operator="containsText" text="Reconocimiento Créditos">
      <formula>NOT(ISERROR(SEARCH("Reconocimiento Créditos",B18)))</formula>
    </cfRule>
  </conditionalFormatting>
  <conditionalFormatting sqref="B18">
    <cfRule type="containsText" dxfId="3223" priority="1408" operator="containsText" text="Aprobado en otro curso">
      <formula>NOT(ISERROR(SEARCH("Aprobado en otro curso",B18)))</formula>
    </cfRule>
  </conditionalFormatting>
  <conditionalFormatting sqref="A19">
    <cfRule type="expression" dxfId="3222" priority="1403">
      <formula>AND(OR(ROW()=CELL("row"),COLUMN()=CELL("col")),NOT(ISBLANK($C19)),NOT(ISBLANK($B19)),ROW()&gt;2,COLUMN()&gt;1)</formula>
    </cfRule>
  </conditionalFormatting>
  <conditionalFormatting sqref="A19">
    <cfRule type="expression" dxfId="3221" priority="1402">
      <formula>SUM(--ISBLANK($B19:$J19))=COLUMNS($B19:$J19)</formula>
    </cfRule>
  </conditionalFormatting>
  <conditionalFormatting sqref="A19">
    <cfRule type="containsText" dxfId="3220" priority="1404" operator="containsText" text="NP">
      <formula>NOT(ISERROR(SEARCH("NP",A19)))</formula>
    </cfRule>
  </conditionalFormatting>
  <conditionalFormatting sqref="A19">
    <cfRule type="expression" dxfId="3219" priority="1401">
      <formula>ISBLANK(A19)</formula>
    </cfRule>
  </conditionalFormatting>
  <conditionalFormatting sqref="B19">
    <cfRule type="containsText" dxfId="3218" priority="1399" operator="containsText" text="NP">
      <formula>NOT(ISERROR(SEARCH("NP",B19)))</formula>
    </cfRule>
    <cfRule type="cellIs" dxfId="3217" priority="1400" operator="lessThan">
      <formula>5</formula>
    </cfRule>
  </conditionalFormatting>
  <conditionalFormatting sqref="B19">
    <cfRule type="expression" dxfId="3216" priority="1397">
      <formula>AND(OR(ROW()=CELL("row"),COLUMN()=CELL("col")),NOT(ISBLANK($C19)),NOT(ISBLANK($B19)),ROW()&gt;2,COLUMN()&gt;1)</formula>
    </cfRule>
  </conditionalFormatting>
  <conditionalFormatting sqref="B19">
    <cfRule type="expression" dxfId="3215" priority="1396">
      <formula>SUM(--ISBLANK($B19:$J19))=COLUMNS($B19:$J19)</formula>
    </cfRule>
  </conditionalFormatting>
  <conditionalFormatting sqref="B19">
    <cfRule type="containsText" dxfId="3214" priority="1398" operator="containsText" text="NP">
      <formula>NOT(ISERROR(SEARCH("NP",B19)))</formula>
    </cfRule>
  </conditionalFormatting>
  <conditionalFormatting sqref="B19">
    <cfRule type="expression" dxfId="3213" priority="1395">
      <formula>ISBLANK(B19)</formula>
    </cfRule>
  </conditionalFormatting>
  <conditionalFormatting sqref="B19">
    <cfRule type="expression" dxfId="3212" priority="1393">
      <formula>AND(ISNUMBER(B19), OR(B19&gt;10, B19&lt;0))</formula>
    </cfRule>
  </conditionalFormatting>
  <conditionalFormatting sqref="B19">
    <cfRule type="expression" dxfId="3211" priority="1392">
      <formula>AND(NOT(ISNUMBER(B19)), B19&lt;&gt;"NP", B19&lt;&gt;"Reconocimiento Créditos", B19&lt;&gt;"Aprobado en otro curso")</formula>
    </cfRule>
  </conditionalFormatting>
  <conditionalFormatting sqref="B19">
    <cfRule type="containsText" dxfId="3210" priority="1391" operator="containsText" text="Reconocimiento Créditos">
      <formula>NOT(ISERROR(SEARCH("Reconocimiento Créditos",B19)))</formula>
    </cfRule>
  </conditionalFormatting>
  <conditionalFormatting sqref="B19">
    <cfRule type="containsText" dxfId="3209" priority="1394" operator="containsText" text="Aprobado en otro curso">
      <formula>NOT(ISERROR(SEARCH("Aprobado en otro curso",B19)))</formula>
    </cfRule>
  </conditionalFormatting>
  <conditionalFormatting sqref="A20">
    <cfRule type="expression" dxfId="3208" priority="1389">
      <formula>AND(OR(ROW()=CELL("row"),COLUMN()=CELL("col")),NOT(ISBLANK($C20)),NOT(ISBLANK($B20)),ROW()&gt;2,COLUMN()&gt;1)</formula>
    </cfRule>
  </conditionalFormatting>
  <conditionalFormatting sqref="A20">
    <cfRule type="expression" dxfId="3207" priority="1388">
      <formula>SUM(--ISBLANK($B20:$J20))=COLUMNS($B20:$J20)</formula>
    </cfRule>
  </conditionalFormatting>
  <conditionalFormatting sqref="A20">
    <cfRule type="containsText" dxfId="3206" priority="1390" operator="containsText" text="NP">
      <formula>NOT(ISERROR(SEARCH("NP",A20)))</formula>
    </cfRule>
  </conditionalFormatting>
  <conditionalFormatting sqref="A20">
    <cfRule type="expression" dxfId="3205" priority="1387">
      <formula>ISBLANK(A20)</formula>
    </cfRule>
  </conditionalFormatting>
  <conditionalFormatting sqref="B20">
    <cfRule type="containsText" dxfId="3204" priority="1385" operator="containsText" text="NP">
      <formula>NOT(ISERROR(SEARCH("NP",B20)))</formula>
    </cfRule>
    <cfRule type="cellIs" dxfId="3203" priority="1386" operator="lessThan">
      <formula>5</formula>
    </cfRule>
  </conditionalFormatting>
  <conditionalFormatting sqref="B20">
    <cfRule type="expression" dxfId="3202" priority="1383">
      <formula>AND(OR(ROW()=CELL("row"),COLUMN()=CELL("col")),NOT(ISBLANK($C20)),NOT(ISBLANK($B20)),ROW()&gt;2,COLUMN()&gt;1)</formula>
    </cfRule>
  </conditionalFormatting>
  <conditionalFormatting sqref="B20">
    <cfRule type="expression" dxfId="3201" priority="1382">
      <formula>SUM(--ISBLANK($B20:$J20))=COLUMNS($B20:$J20)</formula>
    </cfRule>
  </conditionalFormatting>
  <conditionalFormatting sqref="B20">
    <cfRule type="containsText" dxfId="3200" priority="1384" operator="containsText" text="NP">
      <formula>NOT(ISERROR(SEARCH("NP",B20)))</formula>
    </cfRule>
  </conditionalFormatting>
  <conditionalFormatting sqref="B20">
    <cfRule type="expression" dxfId="3199" priority="1381">
      <formula>ISBLANK(B20)</formula>
    </cfRule>
  </conditionalFormatting>
  <conditionalFormatting sqref="B20">
    <cfRule type="expression" dxfId="3198" priority="1379">
      <formula>AND(ISNUMBER(B20), OR(B20&gt;10, B20&lt;0))</formula>
    </cfRule>
  </conditionalFormatting>
  <conditionalFormatting sqref="B20">
    <cfRule type="expression" dxfId="3197" priority="1378">
      <formula>AND(NOT(ISNUMBER(B20)), B20&lt;&gt;"NP", B20&lt;&gt;"Reconocimiento Créditos", B20&lt;&gt;"Aprobado en otro curso")</formula>
    </cfRule>
  </conditionalFormatting>
  <conditionalFormatting sqref="B20">
    <cfRule type="containsText" dxfId="3196" priority="1377" operator="containsText" text="Reconocimiento Créditos">
      <formula>NOT(ISERROR(SEARCH("Reconocimiento Créditos",B20)))</formula>
    </cfRule>
  </conditionalFormatting>
  <conditionalFormatting sqref="B20">
    <cfRule type="containsText" dxfId="3195" priority="1380" operator="containsText" text="Aprobado en otro curso">
      <formula>NOT(ISERROR(SEARCH("Aprobado en otro curso",B20)))</formula>
    </cfRule>
  </conditionalFormatting>
  <conditionalFormatting sqref="A21">
    <cfRule type="expression" dxfId="3194" priority="1375">
      <formula>AND(OR(ROW()=CELL("row"),COLUMN()=CELL("col")),NOT(ISBLANK($C21)),NOT(ISBLANK($B21)),ROW()&gt;2,COLUMN()&gt;1)</formula>
    </cfRule>
  </conditionalFormatting>
  <conditionalFormatting sqref="A21">
    <cfRule type="expression" dxfId="3193" priority="1374">
      <formula>SUM(--ISBLANK($B21:$J21))=COLUMNS($B21:$J21)</formula>
    </cfRule>
  </conditionalFormatting>
  <conditionalFormatting sqref="A21">
    <cfRule type="containsText" dxfId="3192" priority="1376" operator="containsText" text="NP">
      <formula>NOT(ISERROR(SEARCH("NP",A21)))</formula>
    </cfRule>
  </conditionalFormatting>
  <conditionalFormatting sqref="A21">
    <cfRule type="expression" dxfId="3191" priority="1373">
      <formula>ISBLANK(A21)</formula>
    </cfRule>
  </conditionalFormatting>
  <conditionalFormatting sqref="B21">
    <cfRule type="containsText" dxfId="3190" priority="1371" operator="containsText" text="NP">
      <formula>NOT(ISERROR(SEARCH("NP",B21)))</formula>
    </cfRule>
    <cfRule type="cellIs" dxfId="3189" priority="1372" operator="lessThan">
      <formula>5</formula>
    </cfRule>
  </conditionalFormatting>
  <conditionalFormatting sqref="B21">
    <cfRule type="expression" dxfId="3188" priority="1369">
      <formula>AND(OR(ROW()=CELL("row"),COLUMN()=CELL("col")),NOT(ISBLANK($C21)),NOT(ISBLANK($B21)),ROW()&gt;2,COLUMN()&gt;1)</formula>
    </cfRule>
  </conditionalFormatting>
  <conditionalFormatting sqref="B21">
    <cfRule type="expression" dxfId="3187" priority="1368">
      <formula>SUM(--ISBLANK($B21:$J21))=COLUMNS($B21:$J21)</formula>
    </cfRule>
  </conditionalFormatting>
  <conditionalFormatting sqref="B21">
    <cfRule type="containsText" dxfId="3186" priority="1370" operator="containsText" text="NP">
      <formula>NOT(ISERROR(SEARCH("NP",B21)))</formula>
    </cfRule>
  </conditionalFormatting>
  <conditionalFormatting sqref="B21">
    <cfRule type="expression" dxfId="3185" priority="1367">
      <formula>ISBLANK(B21)</formula>
    </cfRule>
  </conditionalFormatting>
  <conditionalFormatting sqref="B21">
    <cfRule type="expression" dxfId="3184" priority="1365">
      <formula>AND(ISNUMBER(B21), OR(B21&gt;10, B21&lt;0))</formula>
    </cfRule>
  </conditionalFormatting>
  <conditionalFormatting sqref="B21">
    <cfRule type="expression" dxfId="3183" priority="1364">
      <formula>AND(NOT(ISNUMBER(B21)), B21&lt;&gt;"NP", B21&lt;&gt;"Reconocimiento Créditos", B21&lt;&gt;"Aprobado en otro curso")</formula>
    </cfRule>
  </conditionalFormatting>
  <conditionalFormatting sqref="B21">
    <cfRule type="containsText" dxfId="3182" priority="1363" operator="containsText" text="Reconocimiento Créditos">
      <formula>NOT(ISERROR(SEARCH("Reconocimiento Créditos",B21)))</formula>
    </cfRule>
  </conditionalFormatting>
  <conditionalFormatting sqref="B21">
    <cfRule type="containsText" dxfId="3181" priority="1366" operator="containsText" text="Aprobado en otro curso">
      <formula>NOT(ISERROR(SEARCH("Aprobado en otro curso",B21)))</formula>
    </cfRule>
  </conditionalFormatting>
  <conditionalFormatting sqref="A22">
    <cfRule type="expression" dxfId="3180" priority="1361">
      <formula>AND(OR(ROW()=CELL("row"),COLUMN()=CELL("col")),NOT(ISBLANK($C22)),NOT(ISBLANK($B22)),ROW()&gt;2,COLUMN()&gt;1)</formula>
    </cfRule>
  </conditionalFormatting>
  <conditionalFormatting sqref="A22">
    <cfRule type="expression" dxfId="3179" priority="1360">
      <formula>SUM(--ISBLANK($B22:$J22))=COLUMNS($B22:$J22)</formula>
    </cfRule>
  </conditionalFormatting>
  <conditionalFormatting sqref="A22">
    <cfRule type="containsText" dxfId="3178" priority="1362" operator="containsText" text="NP">
      <formula>NOT(ISERROR(SEARCH("NP",A22)))</formula>
    </cfRule>
  </conditionalFormatting>
  <conditionalFormatting sqref="A22">
    <cfRule type="expression" dxfId="3177" priority="1359">
      <formula>ISBLANK(A22)</formula>
    </cfRule>
  </conditionalFormatting>
  <conditionalFormatting sqref="B22">
    <cfRule type="containsText" dxfId="3176" priority="1357" operator="containsText" text="NP">
      <formula>NOT(ISERROR(SEARCH("NP",B22)))</formula>
    </cfRule>
    <cfRule type="cellIs" dxfId="3175" priority="1358" operator="lessThan">
      <formula>5</formula>
    </cfRule>
  </conditionalFormatting>
  <conditionalFormatting sqref="B22">
    <cfRule type="expression" dxfId="3174" priority="1355">
      <formula>AND(OR(ROW()=CELL("row"),COLUMN()=CELL("col")),NOT(ISBLANK($C22)),NOT(ISBLANK($B22)),ROW()&gt;2,COLUMN()&gt;1)</formula>
    </cfRule>
  </conditionalFormatting>
  <conditionalFormatting sqref="B22">
    <cfRule type="expression" dxfId="3173" priority="1354">
      <formula>SUM(--ISBLANK($B22:$J22))=COLUMNS($B22:$J22)</formula>
    </cfRule>
  </conditionalFormatting>
  <conditionalFormatting sqref="B22">
    <cfRule type="containsText" dxfId="3172" priority="1356" operator="containsText" text="NP">
      <formula>NOT(ISERROR(SEARCH("NP",B22)))</formula>
    </cfRule>
  </conditionalFormatting>
  <conditionalFormatting sqref="B22">
    <cfRule type="expression" dxfId="3171" priority="1353">
      <formula>ISBLANK(B22)</formula>
    </cfRule>
  </conditionalFormatting>
  <conditionalFormatting sqref="B22">
    <cfRule type="expression" dxfId="3170" priority="1351">
      <formula>AND(ISNUMBER(B22), OR(B22&gt;10, B22&lt;0))</formula>
    </cfRule>
  </conditionalFormatting>
  <conditionalFormatting sqref="B22">
    <cfRule type="expression" dxfId="3169" priority="1350">
      <formula>AND(NOT(ISNUMBER(B22)), B22&lt;&gt;"NP", B22&lt;&gt;"Reconocimiento Créditos", B22&lt;&gt;"Aprobado en otro curso")</formula>
    </cfRule>
  </conditionalFormatting>
  <conditionalFormatting sqref="B22">
    <cfRule type="containsText" dxfId="3168" priority="1349" operator="containsText" text="Reconocimiento Créditos">
      <formula>NOT(ISERROR(SEARCH("Reconocimiento Créditos",B22)))</formula>
    </cfRule>
  </conditionalFormatting>
  <conditionalFormatting sqref="B22">
    <cfRule type="containsText" dxfId="3167" priority="1352" operator="containsText" text="Aprobado en otro curso">
      <formula>NOT(ISERROR(SEARCH("Aprobado en otro curso",B22)))</formula>
    </cfRule>
  </conditionalFormatting>
  <conditionalFormatting sqref="A23">
    <cfRule type="expression" dxfId="3166" priority="1347">
      <formula>AND(OR(ROW()=CELL("row"),COLUMN()=CELL("col")),NOT(ISBLANK($C23)),NOT(ISBLANK($B23)),ROW()&gt;2,COLUMN()&gt;1)</formula>
    </cfRule>
  </conditionalFormatting>
  <conditionalFormatting sqref="A23">
    <cfRule type="expression" dxfId="3165" priority="1346">
      <formula>SUM(--ISBLANK($B23:$J23))=COLUMNS($B23:$J23)</formula>
    </cfRule>
  </conditionalFormatting>
  <conditionalFormatting sqref="A23">
    <cfRule type="containsText" dxfId="3164" priority="1348" operator="containsText" text="NP">
      <formula>NOT(ISERROR(SEARCH("NP",A23)))</formula>
    </cfRule>
  </conditionalFormatting>
  <conditionalFormatting sqref="A23">
    <cfRule type="expression" dxfId="3163" priority="1345">
      <formula>ISBLANK(A23)</formula>
    </cfRule>
  </conditionalFormatting>
  <conditionalFormatting sqref="B23">
    <cfRule type="containsText" dxfId="3162" priority="1343" operator="containsText" text="NP">
      <formula>NOT(ISERROR(SEARCH("NP",B23)))</formula>
    </cfRule>
    <cfRule type="cellIs" dxfId="3161" priority="1344" operator="lessThan">
      <formula>5</formula>
    </cfRule>
  </conditionalFormatting>
  <conditionalFormatting sqref="B23">
    <cfRule type="expression" dxfId="3160" priority="1341">
      <formula>AND(OR(ROW()=CELL("row"),COLUMN()=CELL("col")),NOT(ISBLANK($C23)),NOT(ISBLANK($B23)),ROW()&gt;2,COLUMN()&gt;1)</formula>
    </cfRule>
  </conditionalFormatting>
  <conditionalFormatting sqref="B23">
    <cfRule type="expression" dxfId="3159" priority="1340">
      <formula>SUM(--ISBLANK($B23:$J23))=COLUMNS($B23:$J23)</formula>
    </cfRule>
  </conditionalFormatting>
  <conditionalFormatting sqref="B23">
    <cfRule type="containsText" dxfId="3158" priority="1342" operator="containsText" text="NP">
      <formula>NOT(ISERROR(SEARCH("NP",B23)))</formula>
    </cfRule>
  </conditionalFormatting>
  <conditionalFormatting sqref="B23">
    <cfRule type="expression" dxfId="3157" priority="1339">
      <formula>ISBLANK(B23)</formula>
    </cfRule>
  </conditionalFormatting>
  <conditionalFormatting sqref="B23">
    <cfRule type="expression" dxfId="3156" priority="1337">
      <formula>AND(ISNUMBER(B23), OR(B23&gt;10, B23&lt;0))</formula>
    </cfRule>
  </conditionalFormatting>
  <conditionalFormatting sqref="B23">
    <cfRule type="expression" dxfId="3155" priority="1336">
      <formula>AND(NOT(ISNUMBER(B23)), B23&lt;&gt;"NP", B23&lt;&gt;"Reconocimiento Créditos", B23&lt;&gt;"Aprobado en otro curso")</formula>
    </cfRule>
  </conditionalFormatting>
  <conditionalFormatting sqref="B23">
    <cfRule type="containsText" dxfId="3154" priority="1335" operator="containsText" text="Reconocimiento Créditos">
      <formula>NOT(ISERROR(SEARCH("Reconocimiento Créditos",B23)))</formula>
    </cfRule>
  </conditionalFormatting>
  <conditionalFormatting sqref="B23">
    <cfRule type="containsText" dxfId="3153" priority="1338" operator="containsText" text="Aprobado en otro curso">
      <formula>NOT(ISERROR(SEARCH("Aprobado en otro curso",B23)))</formula>
    </cfRule>
  </conditionalFormatting>
  <conditionalFormatting sqref="A24">
    <cfRule type="expression" dxfId="3152" priority="1333">
      <formula>AND(OR(ROW()=CELL("row"),COLUMN()=CELL("col")),NOT(ISBLANK($C24)),NOT(ISBLANK($B24)),ROW()&gt;2,COLUMN()&gt;1)</formula>
    </cfRule>
  </conditionalFormatting>
  <conditionalFormatting sqref="A24">
    <cfRule type="expression" dxfId="3151" priority="1332">
      <formula>SUM(--ISBLANK($B24:$J24))=COLUMNS($B24:$J24)</formula>
    </cfRule>
  </conditionalFormatting>
  <conditionalFormatting sqref="A24">
    <cfRule type="containsText" dxfId="3150" priority="1334" operator="containsText" text="NP">
      <formula>NOT(ISERROR(SEARCH("NP",A24)))</formula>
    </cfRule>
  </conditionalFormatting>
  <conditionalFormatting sqref="A24">
    <cfRule type="expression" dxfId="3149" priority="1331">
      <formula>ISBLANK(A24)</formula>
    </cfRule>
  </conditionalFormatting>
  <conditionalFormatting sqref="B24">
    <cfRule type="containsText" dxfId="3148" priority="1329" operator="containsText" text="NP">
      <formula>NOT(ISERROR(SEARCH("NP",B24)))</formula>
    </cfRule>
    <cfRule type="cellIs" dxfId="3147" priority="1330" operator="lessThan">
      <formula>5</formula>
    </cfRule>
  </conditionalFormatting>
  <conditionalFormatting sqref="B24">
    <cfRule type="expression" dxfId="3146" priority="1327">
      <formula>AND(OR(ROW()=CELL("row"),COLUMN()=CELL("col")),NOT(ISBLANK($C24)),NOT(ISBLANK($B24)),ROW()&gt;2,COLUMN()&gt;1)</formula>
    </cfRule>
  </conditionalFormatting>
  <conditionalFormatting sqref="B24">
    <cfRule type="expression" dxfId="3145" priority="1326">
      <formula>SUM(--ISBLANK($B24:$J24))=COLUMNS($B24:$J24)</formula>
    </cfRule>
  </conditionalFormatting>
  <conditionalFormatting sqref="B24">
    <cfRule type="containsText" dxfId="3144" priority="1328" operator="containsText" text="NP">
      <formula>NOT(ISERROR(SEARCH("NP",B24)))</formula>
    </cfRule>
  </conditionalFormatting>
  <conditionalFormatting sqref="B24">
    <cfRule type="expression" dxfId="3143" priority="1325">
      <formula>ISBLANK(B24)</formula>
    </cfRule>
  </conditionalFormatting>
  <conditionalFormatting sqref="B24">
    <cfRule type="expression" dxfId="3142" priority="1323">
      <formula>AND(ISNUMBER(B24), OR(B24&gt;10, B24&lt;0))</formula>
    </cfRule>
  </conditionalFormatting>
  <conditionalFormatting sqref="B24">
    <cfRule type="expression" dxfId="3141" priority="1322">
      <formula>AND(NOT(ISNUMBER(B24)), B24&lt;&gt;"NP", B24&lt;&gt;"Reconocimiento Créditos", B24&lt;&gt;"Aprobado en otro curso")</formula>
    </cfRule>
  </conditionalFormatting>
  <conditionalFormatting sqref="B24">
    <cfRule type="containsText" dxfId="3140" priority="1321" operator="containsText" text="Reconocimiento Créditos">
      <formula>NOT(ISERROR(SEARCH("Reconocimiento Créditos",B24)))</formula>
    </cfRule>
  </conditionalFormatting>
  <conditionalFormatting sqref="B24">
    <cfRule type="containsText" dxfId="3139" priority="1324" operator="containsText" text="Aprobado en otro curso">
      <formula>NOT(ISERROR(SEARCH("Aprobado en otro curso",B24)))</formula>
    </cfRule>
  </conditionalFormatting>
  <conditionalFormatting sqref="A25">
    <cfRule type="expression" dxfId="3138" priority="1319">
      <formula>AND(OR(ROW()=CELL("row"),COLUMN()=CELL("col")),NOT(ISBLANK($C25)),NOT(ISBLANK($B25)),ROW()&gt;2,COLUMN()&gt;1)</formula>
    </cfRule>
  </conditionalFormatting>
  <conditionalFormatting sqref="A25">
    <cfRule type="expression" dxfId="3137" priority="1318">
      <formula>SUM(--ISBLANK($B25:$J25))=COLUMNS($B25:$J25)</formula>
    </cfRule>
  </conditionalFormatting>
  <conditionalFormatting sqref="A25">
    <cfRule type="containsText" dxfId="3136" priority="1320" operator="containsText" text="NP">
      <formula>NOT(ISERROR(SEARCH("NP",A25)))</formula>
    </cfRule>
  </conditionalFormatting>
  <conditionalFormatting sqref="A25">
    <cfRule type="expression" dxfId="3135" priority="1317">
      <formula>ISBLANK(A25)</formula>
    </cfRule>
  </conditionalFormatting>
  <conditionalFormatting sqref="B25">
    <cfRule type="containsText" dxfId="3134" priority="1315" operator="containsText" text="NP">
      <formula>NOT(ISERROR(SEARCH("NP",B25)))</formula>
    </cfRule>
    <cfRule type="cellIs" dxfId="3133" priority="1316" operator="lessThan">
      <formula>5</formula>
    </cfRule>
  </conditionalFormatting>
  <conditionalFormatting sqref="B25">
    <cfRule type="expression" dxfId="3132" priority="1313">
      <formula>AND(OR(ROW()=CELL("row"),COLUMN()=CELL("col")),NOT(ISBLANK($C25)),NOT(ISBLANK($B25)),ROW()&gt;2,COLUMN()&gt;1)</formula>
    </cfRule>
  </conditionalFormatting>
  <conditionalFormatting sqref="B25">
    <cfRule type="expression" dxfId="3131" priority="1312">
      <formula>SUM(--ISBLANK($B25:$J25))=COLUMNS($B25:$J25)</formula>
    </cfRule>
  </conditionalFormatting>
  <conditionalFormatting sqref="B25">
    <cfRule type="containsText" dxfId="3130" priority="1314" operator="containsText" text="NP">
      <formula>NOT(ISERROR(SEARCH("NP",B25)))</formula>
    </cfRule>
  </conditionalFormatting>
  <conditionalFormatting sqref="B25">
    <cfRule type="expression" dxfId="3129" priority="1311">
      <formula>ISBLANK(B25)</formula>
    </cfRule>
  </conditionalFormatting>
  <conditionalFormatting sqref="B25">
    <cfRule type="expression" dxfId="3128" priority="1309">
      <formula>AND(ISNUMBER(B25), OR(B25&gt;10, B25&lt;0))</formula>
    </cfRule>
  </conditionalFormatting>
  <conditionalFormatting sqref="B25">
    <cfRule type="expression" dxfId="3127" priority="1308">
      <formula>AND(NOT(ISNUMBER(B25)), B25&lt;&gt;"NP", B25&lt;&gt;"Reconocimiento Créditos", B25&lt;&gt;"Aprobado en otro curso")</formula>
    </cfRule>
  </conditionalFormatting>
  <conditionalFormatting sqref="B25">
    <cfRule type="containsText" dxfId="3126" priority="1307" operator="containsText" text="Reconocimiento Créditos">
      <formula>NOT(ISERROR(SEARCH("Reconocimiento Créditos",B25)))</formula>
    </cfRule>
  </conditionalFormatting>
  <conditionalFormatting sqref="B25">
    <cfRule type="containsText" dxfId="3125" priority="1310" operator="containsText" text="Aprobado en otro curso">
      <formula>NOT(ISERROR(SEARCH("Aprobado en otro curso",B25)))</formula>
    </cfRule>
  </conditionalFormatting>
  <conditionalFormatting sqref="A26">
    <cfRule type="expression" dxfId="3124" priority="1305">
      <formula>AND(OR(ROW()=CELL("row"),COLUMN()=CELL("col")),NOT(ISBLANK($C26)),NOT(ISBLANK($B26)),ROW()&gt;2,COLUMN()&gt;1)</formula>
    </cfRule>
  </conditionalFormatting>
  <conditionalFormatting sqref="A26">
    <cfRule type="expression" dxfId="3123" priority="1304">
      <formula>SUM(--ISBLANK($B26:$J26))=COLUMNS($B26:$J26)</formula>
    </cfRule>
  </conditionalFormatting>
  <conditionalFormatting sqref="A26">
    <cfRule type="containsText" dxfId="3122" priority="1306" operator="containsText" text="NP">
      <formula>NOT(ISERROR(SEARCH("NP",A26)))</formula>
    </cfRule>
  </conditionalFormatting>
  <conditionalFormatting sqref="A26">
    <cfRule type="expression" dxfId="3121" priority="1303">
      <formula>ISBLANK(A26)</formula>
    </cfRule>
  </conditionalFormatting>
  <conditionalFormatting sqref="B26">
    <cfRule type="containsText" dxfId="3120" priority="1301" operator="containsText" text="NP">
      <formula>NOT(ISERROR(SEARCH("NP",B26)))</formula>
    </cfRule>
    <cfRule type="cellIs" dxfId="3119" priority="1302" operator="lessThan">
      <formula>5</formula>
    </cfRule>
  </conditionalFormatting>
  <conditionalFormatting sqref="B26">
    <cfRule type="expression" dxfId="3118" priority="1299">
      <formula>AND(OR(ROW()=CELL("row"),COLUMN()=CELL("col")),NOT(ISBLANK($C26)),NOT(ISBLANK($B26)),ROW()&gt;2,COLUMN()&gt;1)</formula>
    </cfRule>
  </conditionalFormatting>
  <conditionalFormatting sqref="B26">
    <cfRule type="expression" dxfId="3117" priority="1298">
      <formula>SUM(--ISBLANK($B26:$J26))=COLUMNS($B26:$J26)</formula>
    </cfRule>
  </conditionalFormatting>
  <conditionalFormatting sqref="B26">
    <cfRule type="containsText" dxfId="3116" priority="1300" operator="containsText" text="NP">
      <formula>NOT(ISERROR(SEARCH("NP",B26)))</formula>
    </cfRule>
  </conditionalFormatting>
  <conditionalFormatting sqref="B26">
    <cfRule type="expression" dxfId="3115" priority="1297">
      <formula>ISBLANK(B26)</formula>
    </cfRule>
  </conditionalFormatting>
  <conditionalFormatting sqref="B26">
    <cfRule type="expression" dxfId="3114" priority="1295">
      <formula>AND(ISNUMBER(B26), OR(B26&gt;10, B26&lt;0))</formula>
    </cfRule>
  </conditionalFormatting>
  <conditionalFormatting sqref="B26">
    <cfRule type="expression" dxfId="3113" priority="1294">
      <formula>AND(NOT(ISNUMBER(B26)), B26&lt;&gt;"NP", B26&lt;&gt;"Reconocimiento Créditos", B26&lt;&gt;"Aprobado en otro curso")</formula>
    </cfRule>
  </conditionalFormatting>
  <conditionalFormatting sqref="B26">
    <cfRule type="containsText" dxfId="3112" priority="1293" operator="containsText" text="Reconocimiento Créditos">
      <formula>NOT(ISERROR(SEARCH("Reconocimiento Créditos",B26)))</formula>
    </cfRule>
  </conditionalFormatting>
  <conditionalFormatting sqref="B26">
    <cfRule type="containsText" dxfId="3111" priority="1296" operator="containsText" text="Aprobado en otro curso">
      <formula>NOT(ISERROR(SEARCH("Aprobado en otro curso",B26)))</formula>
    </cfRule>
  </conditionalFormatting>
  <conditionalFormatting sqref="A27">
    <cfRule type="expression" dxfId="3110" priority="1291">
      <formula>AND(OR(ROW()=CELL("row"),COLUMN()=CELL("col")),NOT(ISBLANK($C27)),NOT(ISBLANK($B27)),ROW()&gt;2,COLUMN()&gt;1)</formula>
    </cfRule>
  </conditionalFormatting>
  <conditionalFormatting sqref="A27">
    <cfRule type="expression" dxfId="3109" priority="1290">
      <formula>SUM(--ISBLANK($B27:$J27))=COLUMNS($B27:$J27)</formula>
    </cfRule>
  </conditionalFormatting>
  <conditionalFormatting sqref="A27">
    <cfRule type="containsText" dxfId="3108" priority="1292" operator="containsText" text="NP">
      <formula>NOT(ISERROR(SEARCH("NP",A27)))</formula>
    </cfRule>
  </conditionalFormatting>
  <conditionalFormatting sqref="A27">
    <cfRule type="expression" dxfId="3107" priority="1289">
      <formula>ISBLANK(A27)</formula>
    </cfRule>
  </conditionalFormatting>
  <conditionalFormatting sqref="B27">
    <cfRule type="containsText" dxfId="3106" priority="1287" operator="containsText" text="NP">
      <formula>NOT(ISERROR(SEARCH("NP",B27)))</formula>
    </cfRule>
    <cfRule type="cellIs" dxfId="3105" priority="1288" operator="lessThan">
      <formula>5</formula>
    </cfRule>
  </conditionalFormatting>
  <conditionalFormatting sqref="B27">
    <cfRule type="expression" dxfId="3104" priority="1285">
      <formula>AND(OR(ROW()=CELL("row"),COLUMN()=CELL("col")),NOT(ISBLANK($C27)),NOT(ISBLANK($B27)),ROW()&gt;2,COLUMN()&gt;1)</formula>
    </cfRule>
  </conditionalFormatting>
  <conditionalFormatting sqref="B27">
    <cfRule type="expression" dxfId="3103" priority="1284">
      <formula>SUM(--ISBLANK($B27:$J27))=COLUMNS($B27:$J27)</formula>
    </cfRule>
  </conditionalFormatting>
  <conditionalFormatting sqref="B27">
    <cfRule type="containsText" dxfId="3102" priority="1286" operator="containsText" text="NP">
      <formula>NOT(ISERROR(SEARCH("NP",B27)))</formula>
    </cfRule>
  </conditionalFormatting>
  <conditionalFormatting sqref="B27">
    <cfRule type="expression" dxfId="3101" priority="1283">
      <formula>ISBLANK(B27)</formula>
    </cfRule>
  </conditionalFormatting>
  <conditionalFormatting sqref="B27">
    <cfRule type="expression" dxfId="3100" priority="1281">
      <formula>AND(ISNUMBER(B27), OR(B27&gt;10, B27&lt;0))</formula>
    </cfRule>
  </conditionalFormatting>
  <conditionalFormatting sqref="B27">
    <cfRule type="expression" dxfId="3099" priority="1280">
      <formula>AND(NOT(ISNUMBER(B27)), B27&lt;&gt;"NP", B27&lt;&gt;"Reconocimiento Créditos", B27&lt;&gt;"Aprobado en otro curso")</formula>
    </cfRule>
  </conditionalFormatting>
  <conditionalFormatting sqref="B27">
    <cfRule type="containsText" dxfId="3098" priority="1279" operator="containsText" text="Reconocimiento Créditos">
      <formula>NOT(ISERROR(SEARCH("Reconocimiento Créditos",B27)))</formula>
    </cfRule>
  </conditionalFormatting>
  <conditionalFormatting sqref="B27">
    <cfRule type="containsText" dxfId="3097" priority="1282" operator="containsText" text="Aprobado en otro curso">
      <formula>NOT(ISERROR(SEARCH("Aprobado en otro curso",B27)))</formula>
    </cfRule>
  </conditionalFormatting>
  <conditionalFormatting sqref="A28">
    <cfRule type="expression" dxfId="3096" priority="1277">
      <formula>AND(OR(ROW()=CELL("row"),COLUMN()=CELL("col")),NOT(ISBLANK($C28)),NOT(ISBLANK($B28)),ROW()&gt;2,COLUMN()&gt;1)</formula>
    </cfRule>
  </conditionalFormatting>
  <conditionalFormatting sqref="A28">
    <cfRule type="expression" dxfId="3095" priority="1276">
      <formula>SUM(--ISBLANK($B28:$J28))=COLUMNS($B28:$J28)</formula>
    </cfRule>
  </conditionalFormatting>
  <conditionalFormatting sqref="A28">
    <cfRule type="containsText" dxfId="3094" priority="1278" operator="containsText" text="NP">
      <formula>NOT(ISERROR(SEARCH("NP",A28)))</formula>
    </cfRule>
  </conditionalFormatting>
  <conditionalFormatting sqref="A28">
    <cfRule type="expression" dxfId="3093" priority="1275">
      <formula>ISBLANK(A28)</formula>
    </cfRule>
  </conditionalFormatting>
  <conditionalFormatting sqref="B28">
    <cfRule type="containsText" dxfId="3092" priority="1273" operator="containsText" text="NP">
      <formula>NOT(ISERROR(SEARCH("NP",B28)))</formula>
    </cfRule>
    <cfRule type="cellIs" dxfId="3091" priority="1274" operator="lessThan">
      <formula>5</formula>
    </cfRule>
  </conditionalFormatting>
  <conditionalFormatting sqref="B28">
    <cfRule type="expression" dxfId="3090" priority="1271">
      <formula>AND(OR(ROW()=CELL("row"),COLUMN()=CELL("col")),NOT(ISBLANK($C28)),NOT(ISBLANK($B28)),ROW()&gt;2,COLUMN()&gt;1)</formula>
    </cfRule>
  </conditionalFormatting>
  <conditionalFormatting sqref="B28">
    <cfRule type="expression" dxfId="3089" priority="1270">
      <formula>SUM(--ISBLANK($B28:$J28))=COLUMNS($B28:$J28)</formula>
    </cfRule>
  </conditionalFormatting>
  <conditionalFormatting sqref="B28">
    <cfRule type="containsText" dxfId="3088" priority="1272" operator="containsText" text="NP">
      <formula>NOT(ISERROR(SEARCH("NP",B28)))</formula>
    </cfRule>
  </conditionalFormatting>
  <conditionalFormatting sqref="B28">
    <cfRule type="expression" dxfId="3087" priority="1269">
      <formula>ISBLANK(B28)</formula>
    </cfRule>
  </conditionalFormatting>
  <conditionalFormatting sqref="B28">
    <cfRule type="expression" dxfId="3086" priority="1267">
      <formula>AND(ISNUMBER(B28), OR(B28&gt;10, B28&lt;0))</formula>
    </cfRule>
  </conditionalFormatting>
  <conditionalFormatting sqref="B28">
    <cfRule type="expression" dxfId="3085" priority="1266">
      <formula>AND(NOT(ISNUMBER(B28)), B28&lt;&gt;"NP", B28&lt;&gt;"Reconocimiento Créditos", B28&lt;&gt;"Aprobado en otro curso")</formula>
    </cfRule>
  </conditionalFormatting>
  <conditionalFormatting sqref="B28">
    <cfRule type="containsText" dxfId="3084" priority="1265" operator="containsText" text="Reconocimiento Créditos">
      <formula>NOT(ISERROR(SEARCH("Reconocimiento Créditos",B28)))</formula>
    </cfRule>
  </conditionalFormatting>
  <conditionalFormatting sqref="B28">
    <cfRule type="containsText" dxfId="3083" priority="1268" operator="containsText" text="Aprobado en otro curso">
      <formula>NOT(ISERROR(SEARCH("Aprobado en otro curso",B28)))</formula>
    </cfRule>
  </conditionalFormatting>
  <conditionalFormatting sqref="A29">
    <cfRule type="expression" dxfId="3082" priority="1263">
      <formula>AND(OR(ROW()=CELL("row"),COLUMN()=CELL("col")),NOT(ISBLANK($C29)),NOT(ISBLANK($B29)),ROW()&gt;2,COLUMN()&gt;1)</formula>
    </cfRule>
  </conditionalFormatting>
  <conditionalFormatting sqref="A29">
    <cfRule type="expression" dxfId="3081" priority="1262">
      <formula>SUM(--ISBLANK($B29:$J29))=COLUMNS($B29:$J29)</formula>
    </cfRule>
  </conditionalFormatting>
  <conditionalFormatting sqref="A29">
    <cfRule type="containsText" dxfId="3080" priority="1264" operator="containsText" text="NP">
      <formula>NOT(ISERROR(SEARCH("NP",A29)))</formula>
    </cfRule>
  </conditionalFormatting>
  <conditionalFormatting sqref="A29">
    <cfRule type="expression" dxfId="3079" priority="1261">
      <formula>ISBLANK(A29)</formula>
    </cfRule>
  </conditionalFormatting>
  <conditionalFormatting sqref="B29">
    <cfRule type="containsText" dxfId="3078" priority="1259" operator="containsText" text="NP">
      <formula>NOT(ISERROR(SEARCH("NP",B29)))</formula>
    </cfRule>
    <cfRule type="cellIs" dxfId="3077" priority="1260" operator="lessThan">
      <formula>5</formula>
    </cfRule>
  </conditionalFormatting>
  <conditionalFormatting sqref="B29">
    <cfRule type="expression" dxfId="3076" priority="1257">
      <formula>AND(OR(ROW()=CELL("row"),COLUMN()=CELL("col")),NOT(ISBLANK($C29)),NOT(ISBLANK($B29)),ROW()&gt;2,COLUMN()&gt;1)</formula>
    </cfRule>
  </conditionalFormatting>
  <conditionalFormatting sqref="B29">
    <cfRule type="expression" dxfId="3075" priority="1256">
      <formula>SUM(--ISBLANK($B29:$J29))=COLUMNS($B29:$J29)</formula>
    </cfRule>
  </conditionalFormatting>
  <conditionalFormatting sqref="B29">
    <cfRule type="containsText" dxfId="3074" priority="1258" operator="containsText" text="NP">
      <formula>NOT(ISERROR(SEARCH("NP",B29)))</formula>
    </cfRule>
  </conditionalFormatting>
  <conditionalFormatting sqref="B29">
    <cfRule type="expression" dxfId="3073" priority="1255">
      <formula>ISBLANK(B29)</formula>
    </cfRule>
  </conditionalFormatting>
  <conditionalFormatting sqref="B29">
    <cfRule type="expression" dxfId="3072" priority="1253">
      <formula>AND(ISNUMBER(B29), OR(B29&gt;10, B29&lt;0))</formula>
    </cfRule>
  </conditionalFormatting>
  <conditionalFormatting sqref="B29">
    <cfRule type="expression" dxfId="3071" priority="1252">
      <formula>AND(NOT(ISNUMBER(B29)), B29&lt;&gt;"NP", B29&lt;&gt;"Reconocimiento Créditos", B29&lt;&gt;"Aprobado en otro curso")</formula>
    </cfRule>
  </conditionalFormatting>
  <conditionalFormatting sqref="B29">
    <cfRule type="containsText" dxfId="3070" priority="1251" operator="containsText" text="Reconocimiento Créditos">
      <formula>NOT(ISERROR(SEARCH("Reconocimiento Créditos",B29)))</formula>
    </cfRule>
  </conditionalFormatting>
  <conditionalFormatting sqref="B29">
    <cfRule type="containsText" dxfId="3069" priority="1254" operator="containsText" text="Aprobado en otro curso">
      <formula>NOT(ISERROR(SEARCH("Aprobado en otro curso",B29)))</formula>
    </cfRule>
  </conditionalFormatting>
  <conditionalFormatting sqref="A30">
    <cfRule type="expression" dxfId="3068" priority="1249">
      <formula>AND(OR(ROW()=CELL("row"),COLUMN()=CELL("col")),NOT(ISBLANK($C30)),NOT(ISBLANK($B30)),ROW()&gt;2,COLUMN()&gt;1)</formula>
    </cfRule>
  </conditionalFormatting>
  <conditionalFormatting sqref="A30">
    <cfRule type="expression" dxfId="3067" priority="1248">
      <formula>SUM(--ISBLANK($B30:$J30))=COLUMNS($B30:$J30)</formula>
    </cfRule>
  </conditionalFormatting>
  <conditionalFormatting sqref="A30">
    <cfRule type="containsText" dxfId="3066" priority="1250" operator="containsText" text="NP">
      <formula>NOT(ISERROR(SEARCH("NP",A30)))</formula>
    </cfRule>
  </conditionalFormatting>
  <conditionalFormatting sqref="A30">
    <cfRule type="expression" dxfId="3065" priority="1247">
      <formula>ISBLANK(A30)</formula>
    </cfRule>
  </conditionalFormatting>
  <conditionalFormatting sqref="B30">
    <cfRule type="containsText" dxfId="3064" priority="1245" operator="containsText" text="NP">
      <formula>NOT(ISERROR(SEARCH("NP",B30)))</formula>
    </cfRule>
    <cfRule type="cellIs" dxfId="3063" priority="1246" operator="lessThan">
      <formula>5</formula>
    </cfRule>
  </conditionalFormatting>
  <conditionalFormatting sqref="B30">
    <cfRule type="expression" dxfId="3062" priority="1243">
      <formula>AND(OR(ROW()=CELL("row"),COLUMN()=CELL("col")),NOT(ISBLANK($C30)),NOT(ISBLANK($B30)),ROW()&gt;2,COLUMN()&gt;1)</formula>
    </cfRule>
  </conditionalFormatting>
  <conditionalFormatting sqref="B30">
    <cfRule type="expression" dxfId="3061" priority="1242">
      <formula>SUM(--ISBLANK($B30:$J30))=COLUMNS($B30:$J30)</formula>
    </cfRule>
  </conditionalFormatting>
  <conditionalFormatting sqref="B30">
    <cfRule type="containsText" dxfId="3060" priority="1244" operator="containsText" text="NP">
      <formula>NOT(ISERROR(SEARCH("NP",B30)))</formula>
    </cfRule>
  </conditionalFormatting>
  <conditionalFormatting sqref="B30">
    <cfRule type="expression" dxfId="3059" priority="1241">
      <formula>ISBLANK(B30)</formula>
    </cfRule>
  </conditionalFormatting>
  <conditionalFormatting sqref="B30">
    <cfRule type="expression" dxfId="3058" priority="1239">
      <formula>AND(ISNUMBER(B30), OR(B30&gt;10, B30&lt;0))</formula>
    </cfRule>
  </conditionalFormatting>
  <conditionalFormatting sqref="B30">
    <cfRule type="containsText" dxfId="3057" priority="1238" operator="containsText" text="Reconocimiento Créditos">
      <formula>NOT(ISERROR(SEARCH("Reconocimiento Créditos",B30)))</formula>
    </cfRule>
  </conditionalFormatting>
  <conditionalFormatting sqref="B30">
    <cfRule type="containsText" dxfId="3056" priority="1240" operator="containsText" text="Aprobado en otro curso">
      <formula>NOT(ISERROR(SEARCH("Aprobado en otro curso",B30)))</formula>
    </cfRule>
  </conditionalFormatting>
  <conditionalFormatting sqref="A31">
    <cfRule type="expression" dxfId="3055" priority="1236">
      <formula>AND(OR(ROW()=CELL("row"),COLUMN()=CELL("col")),NOT(ISBLANK($C31)),NOT(ISBLANK($B31)),ROW()&gt;2,COLUMN()&gt;1)</formula>
    </cfRule>
  </conditionalFormatting>
  <conditionalFormatting sqref="A31">
    <cfRule type="expression" dxfId="3054" priority="1235">
      <formula>SUM(--ISBLANK($B31:$J31))=COLUMNS($B31:$J31)</formula>
    </cfRule>
  </conditionalFormatting>
  <conditionalFormatting sqref="A31">
    <cfRule type="containsText" dxfId="3053" priority="1237" operator="containsText" text="NP">
      <formula>NOT(ISERROR(SEARCH("NP",A31)))</formula>
    </cfRule>
  </conditionalFormatting>
  <conditionalFormatting sqref="A31">
    <cfRule type="expression" dxfId="3052" priority="1234">
      <formula>ISBLANK(A31)</formula>
    </cfRule>
  </conditionalFormatting>
  <conditionalFormatting sqref="B31">
    <cfRule type="containsText" dxfId="3051" priority="1232" operator="containsText" text="NP">
      <formula>NOT(ISERROR(SEARCH("NP",B31)))</formula>
    </cfRule>
    <cfRule type="cellIs" dxfId="3050" priority="1233" operator="lessThan">
      <formula>5</formula>
    </cfRule>
  </conditionalFormatting>
  <conditionalFormatting sqref="B31">
    <cfRule type="expression" dxfId="3049" priority="1230">
      <formula>AND(OR(ROW()=CELL("row"),COLUMN()=CELL("col")),NOT(ISBLANK($C31)),NOT(ISBLANK($B31)),ROW()&gt;2,COLUMN()&gt;1)</formula>
    </cfRule>
  </conditionalFormatting>
  <conditionalFormatting sqref="B31">
    <cfRule type="expression" dxfId="3048" priority="1229">
      <formula>SUM(--ISBLANK($B31:$J31))=COLUMNS($B31:$J31)</formula>
    </cfRule>
  </conditionalFormatting>
  <conditionalFormatting sqref="B31">
    <cfRule type="containsText" dxfId="3047" priority="1231" operator="containsText" text="NP">
      <formula>NOT(ISERROR(SEARCH("NP",B31)))</formula>
    </cfRule>
  </conditionalFormatting>
  <conditionalFormatting sqref="B31">
    <cfRule type="expression" dxfId="3046" priority="1228">
      <formula>ISBLANK(B31)</formula>
    </cfRule>
  </conditionalFormatting>
  <conditionalFormatting sqref="B31">
    <cfRule type="expression" dxfId="3045" priority="1226">
      <formula>AND(ISNUMBER(B31), OR(B31&gt;10, B31&lt;0))</formula>
    </cfRule>
  </conditionalFormatting>
  <conditionalFormatting sqref="B31">
    <cfRule type="expression" dxfId="3044" priority="1225">
      <formula>AND(NOT(ISNUMBER(B31)), B31&lt;&gt;"NP", B31&lt;&gt;"Reconocimiento Créditos", B31&lt;&gt;"Aprobado en otro curso")</formula>
    </cfRule>
  </conditionalFormatting>
  <conditionalFormatting sqref="B31">
    <cfRule type="containsText" dxfId="3043" priority="1224" operator="containsText" text="Reconocimiento Créditos">
      <formula>NOT(ISERROR(SEARCH("Reconocimiento Créditos",B31)))</formula>
    </cfRule>
  </conditionalFormatting>
  <conditionalFormatting sqref="B31">
    <cfRule type="containsText" dxfId="3042" priority="1227" operator="containsText" text="Aprobado en otro curso">
      <formula>NOT(ISERROR(SEARCH("Aprobado en otro curso",B31)))</formula>
    </cfRule>
  </conditionalFormatting>
  <conditionalFormatting sqref="A32">
    <cfRule type="expression" dxfId="3041" priority="1222">
      <formula>AND(OR(ROW()=CELL("row"),COLUMN()=CELL("col")),NOT(ISBLANK($C32)),NOT(ISBLANK($B32)),ROW()&gt;2,COLUMN()&gt;1)</formula>
    </cfRule>
  </conditionalFormatting>
  <conditionalFormatting sqref="A32">
    <cfRule type="expression" dxfId="3040" priority="1221">
      <formula>SUM(--ISBLANK($B32:$J32))=COLUMNS($B32:$J32)</formula>
    </cfRule>
  </conditionalFormatting>
  <conditionalFormatting sqref="A32">
    <cfRule type="containsText" dxfId="3039" priority="1223" operator="containsText" text="NP">
      <formula>NOT(ISERROR(SEARCH("NP",A32)))</formula>
    </cfRule>
  </conditionalFormatting>
  <conditionalFormatting sqref="A32">
    <cfRule type="expression" dxfId="3038" priority="1220">
      <formula>ISBLANK(A32)</formula>
    </cfRule>
  </conditionalFormatting>
  <conditionalFormatting sqref="B32">
    <cfRule type="containsText" dxfId="3037" priority="1218" operator="containsText" text="NP">
      <formula>NOT(ISERROR(SEARCH("NP",B32)))</formula>
    </cfRule>
    <cfRule type="cellIs" dxfId="3036" priority="1219" operator="lessThan">
      <formula>5</formula>
    </cfRule>
  </conditionalFormatting>
  <conditionalFormatting sqref="B32">
    <cfRule type="expression" dxfId="3035" priority="1216">
      <formula>AND(OR(ROW()=CELL("row"),COLUMN()=CELL("col")),NOT(ISBLANK($C32)),NOT(ISBLANK($B32)),ROW()&gt;2,COLUMN()&gt;1)</formula>
    </cfRule>
  </conditionalFormatting>
  <conditionalFormatting sqref="B32">
    <cfRule type="expression" dxfId="3034" priority="1215">
      <formula>SUM(--ISBLANK($B32:$J32))=COLUMNS($B32:$J32)</formula>
    </cfRule>
  </conditionalFormatting>
  <conditionalFormatting sqref="B32">
    <cfRule type="containsText" dxfId="3033" priority="1217" operator="containsText" text="NP">
      <formula>NOT(ISERROR(SEARCH("NP",B32)))</formula>
    </cfRule>
  </conditionalFormatting>
  <conditionalFormatting sqref="B32">
    <cfRule type="expression" dxfId="3032" priority="1214">
      <formula>ISBLANK(B32)</formula>
    </cfRule>
  </conditionalFormatting>
  <conditionalFormatting sqref="B32">
    <cfRule type="expression" dxfId="3031" priority="1212">
      <formula>AND(ISNUMBER(B32), OR(B32&gt;10, B32&lt;0))</formula>
    </cfRule>
  </conditionalFormatting>
  <conditionalFormatting sqref="B32">
    <cfRule type="expression" dxfId="3030" priority="1211">
      <formula>AND(NOT(ISNUMBER(B32)), B32&lt;&gt;"NP", B32&lt;&gt;"Reconocimiento Créditos", B32&lt;&gt;"Aprobado en otro curso")</formula>
    </cfRule>
  </conditionalFormatting>
  <conditionalFormatting sqref="B32">
    <cfRule type="containsText" dxfId="3029" priority="1210" operator="containsText" text="Reconocimiento Créditos">
      <formula>NOT(ISERROR(SEARCH("Reconocimiento Créditos",B32)))</formula>
    </cfRule>
  </conditionalFormatting>
  <conditionalFormatting sqref="B32">
    <cfRule type="containsText" dxfId="3028" priority="1213" operator="containsText" text="Aprobado en otro curso">
      <formula>NOT(ISERROR(SEARCH("Aprobado en otro curso",B32)))</formula>
    </cfRule>
  </conditionalFormatting>
  <conditionalFormatting sqref="A33">
    <cfRule type="expression" dxfId="3027" priority="1208">
      <formula>AND(OR(ROW()=CELL("row"),COLUMN()=CELL("col")),NOT(ISBLANK($C33)),NOT(ISBLANK($B33)),ROW()&gt;2,COLUMN()&gt;1)</formula>
    </cfRule>
  </conditionalFormatting>
  <conditionalFormatting sqref="A33">
    <cfRule type="expression" dxfId="3026" priority="1207">
      <formula>SUM(--ISBLANK($B33:$J33))=COLUMNS($B33:$J33)</formula>
    </cfRule>
  </conditionalFormatting>
  <conditionalFormatting sqref="A33">
    <cfRule type="containsText" dxfId="3025" priority="1209" operator="containsText" text="NP">
      <formula>NOT(ISERROR(SEARCH("NP",A33)))</formula>
    </cfRule>
  </conditionalFormatting>
  <conditionalFormatting sqref="A33">
    <cfRule type="expression" dxfId="3024" priority="1206">
      <formula>ISBLANK(A33)</formula>
    </cfRule>
  </conditionalFormatting>
  <conditionalFormatting sqref="B33">
    <cfRule type="containsText" dxfId="3023" priority="1204" operator="containsText" text="NP">
      <formula>NOT(ISERROR(SEARCH("NP",B33)))</formula>
    </cfRule>
    <cfRule type="cellIs" dxfId="3022" priority="1205" operator="lessThan">
      <formula>5</formula>
    </cfRule>
  </conditionalFormatting>
  <conditionalFormatting sqref="B33">
    <cfRule type="expression" dxfId="3021" priority="1202">
      <formula>AND(OR(ROW()=CELL("row"),COLUMN()=CELL("col")),NOT(ISBLANK($C33)),NOT(ISBLANK($B33)),ROW()&gt;2,COLUMN()&gt;1)</formula>
    </cfRule>
  </conditionalFormatting>
  <conditionalFormatting sqref="B33">
    <cfRule type="expression" dxfId="3020" priority="1201">
      <formula>SUM(--ISBLANK($B33:$J33))=COLUMNS($B33:$J33)</formula>
    </cfRule>
  </conditionalFormatting>
  <conditionalFormatting sqref="B33">
    <cfRule type="containsText" dxfId="3019" priority="1203" operator="containsText" text="NP">
      <formula>NOT(ISERROR(SEARCH("NP",B33)))</formula>
    </cfRule>
  </conditionalFormatting>
  <conditionalFormatting sqref="B33">
    <cfRule type="expression" dxfId="3018" priority="1200">
      <formula>ISBLANK(B33)</formula>
    </cfRule>
  </conditionalFormatting>
  <conditionalFormatting sqref="B33">
    <cfRule type="expression" dxfId="3017" priority="1198">
      <formula>AND(ISNUMBER(B33), OR(B33&gt;10, B33&lt;0))</formula>
    </cfRule>
  </conditionalFormatting>
  <conditionalFormatting sqref="B33">
    <cfRule type="expression" dxfId="3016" priority="1197">
      <formula>AND(NOT(ISNUMBER(B33)), B33&lt;&gt;"NP", B33&lt;&gt;"Reconocimiento Créditos", B33&lt;&gt;"Aprobado en otro curso")</formula>
    </cfRule>
  </conditionalFormatting>
  <conditionalFormatting sqref="B33">
    <cfRule type="containsText" dxfId="3015" priority="1196" operator="containsText" text="Reconocimiento Créditos">
      <formula>NOT(ISERROR(SEARCH("Reconocimiento Créditos",B33)))</formula>
    </cfRule>
  </conditionalFormatting>
  <conditionalFormatting sqref="B33">
    <cfRule type="containsText" dxfId="3014" priority="1199" operator="containsText" text="Aprobado en otro curso">
      <formula>NOT(ISERROR(SEARCH("Aprobado en otro curso",B33)))</formula>
    </cfRule>
  </conditionalFormatting>
  <conditionalFormatting sqref="A34">
    <cfRule type="expression" dxfId="3013" priority="1194">
      <formula>AND(OR(ROW()=CELL("row"),COLUMN()=CELL("col")),NOT(ISBLANK($C34)),NOT(ISBLANK($B34)),ROW()&gt;2,COLUMN()&gt;1)</formula>
    </cfRule>
  </conditionalFormatting>
  <conditionalFormatting sqref="A34">
    <cfRule type="expression" dxfId="3012" priority="1193">
      <formula>SUM(--ISBLANK($B34:$J34))=COLUMNS($B34:$J34)</formula>
    </cfRule>
  </conditionalFormatting>
  <conditionalFormatting sqref="A34">
    <cfRule type="containsText" dxfId="3011" priority="1195" operator="containsText" text="NP">
      <formula>NOT(ISERROR(SEARCH("NP",A34)))</formula>
    </cfRule>
  </conditionalFormatting>
  <conditionalFormatting sqref="A34">
    <cfRule type="expression" dxfId="3010" priority="1192">
      <formula>ISBLANK(A34)</formula>
    </cfRule>
  </conditionalFormatting>
  <conditionalFormatting sqref="B34">
    <cfRule type="containsText" dxfId="3009" priority="1190" operator="containsText" text="NP">
      <formula>NOT(ISERROR(SEARCH("NP",B34)))</formula>
    </cfRule>
    <cfRule type="cellIs" dxfId="3008" priority="1191" operator="lessThan">
      <formula>5</formula>
    </cfRule>
  </conditionalFormatting>
  <conditionalFormatting sqref="B34">
    <cfRule type="expression" dxfId="3007" priority="1188">
      <formula>AND(OR(ROW()=CELL("row"),COLUMN()=CELL("col")),NOT(ISBLANK($C34)),NOT(ISBLANK($B34)),ROW()&gt;2,COLUMN()&gt;1)</formula>
    </cfRule>
  </conditionalFormatting>
  <conditionalFormatting sqref="B34">
    <cfRule type="expression" dxfId="3006" priority="1187">
      <formula>SUM(--ISBLANK($B34:$J34))=COLUMNS($B34:$J34)</formula>
    </cfRule>
  </conditionalFormatting>
  <conditionalFormatting sqref="B34">
    <cfRule type="containsText" dxfId="3005" priority="1189" operator="containsText" text="NP">
      <formula>NOT(ISERROR(SEARCH("NP",B34)))</formula>
    </cfRule>
  </conditionalFormatting>
  <conditionalFormatting sqref="B34">
    <cfRule type="expression" dxfId="3004" priority="1186">
      <formula>ISBLANK(B34)</formula>
    </cfRule>
  </conditionalFormatting>
  <conditionalFormatting sqref="B34">
    <cfRule type="expression" dxfId="3003" priority="1184">
      <formula>AND(ISNUMBER(B34), OR(B34&gt;10, B34&lt;0))</formula>
    </cfRule>
  </conditionalFormatting>
  <conditionalFormatting sqref="B34">
    <cfRule type="expression" dxfId="3002" priority="1183">
      <formula>AND(NOT(ISNUMBER(B34)), B34&lt;&gt;"NP", B34&lt;&gt;"Reconocimiento Créditos", B34&lt;&gt;"Aprobado en otro curso")</formula>
    </cfRule>
  </conditionalFormatting>
  <conditionalFormatting sqref="B34">
    <cfRule type="containsText" dxfId="3001" priority="1182" operator="containsText" text="Reconocimiento Créditos">
      <formula>NOT(ISERROR(SEARCH("Reconocimiento Créditos",B34)))</formula>
    </cfRule>
  </conditionalFormatting>
  <conditionalFormatting sqref="B34">
    <cfRule type="containsText" dxfId="3000" priority="1185" operator="containsText" text="Aprobado en otro curso">
      <formula>NOT(ISERROR(SEARCH("Aprobado en otro curso",B34)))</formula>
    </cfRule>
  </conditionalFormatting>
  <conditionalFormatting sqref="A35">
    <cfRule type="expression" dxfId="2999" priority="1180">
      <formula>AND(OR(ROW()=CELL("row"),COLUMN()=CELL("col")),NOT(ISBLANK($C35)),NOT(ISBLANK($B35)),ROW()&gt;2,COLUMN()&gt;1)</formula>
    </cfRule>
  </conditionalFormatting>
  <conditionalFormatting sqref="A35">
    <cfRule type="expression" dxfId="2998" priority="1179">
      <formula>SUM(--ISBLANK($B35:$J35))=COLUMNS($B35:$J35)</formula>
    </cfRule>
  </conditionalFormatting>
  <conditionalFormatting sqref="A35">
    <cfRule type="containsText" dxfId="2997" priority="1181" operator="containsText" text="NP">
      <formula>NOT(ISERROR(SEARCH("NP",A35)))</formula>
    </cfRule>
  </conditionalFormatting>
  <conditionalFormatting sqref="A35">
    <cfRule type="expression" dxfId="2996" priority="1178">
      <formula>ISBLANK(A35)</formula>
    </cfRule>
  </conditionalFormatting>
  <conditionalFormatting sqref="B35">
    <cfRule type="containsText" dxfId="2995" priority="1176" operator="containsText" text="NP">
      <formula>NOT(ISERROR(SEARCH("NP",B35)))</formula>
    </cfRule>
    <cfRule type="cellIs" dxfId="2994" priority="1177" operator="lessThan">
      <formula>5</formula>
    </cfRule>
  </conditionalFormatting>
  <conditionalFormatting sqref="B35">
    <cfRule type="expression" dxfId="2993" priority="1174">
      <formula>AND(OR(ROW()=CELL("row"),COLUMN()=CELL("col")),NOT(ISBLANK($C35)),NOT(ISBLANK($B35)),ROW()&gt;2,COLUMN()&gt;1)</formula>
    </cfRule>
  </conditionalFormatting>
  <conditionalFormatting sqref="B35">
    <cfRule type="expression" dxfId="2992" priority="1173">
      <formula>SUM(--ISBLANK($B35:$J35))=COLUMNS($B35:$J35)</formula>
    </cfRule>
  </conditionalFormatting>
  <conditionalFormatting sqref="B35">
    <cfRule type="containsText" dxfId="2991" priority="1175" operator="containsText" text="NP">
      <formula>NOT(ISERROR(SEARCH("NP",B35)))</formula>
    </cfRule>
  </conditionalFormatting>
  <conditionalFormatting sqref="B35">
    <cfRule type="expression" dxfId="2990" priority="1172">
      <formula>ISBLANK(B35)</formula>
    </cfRule>
  </conditionalFormatting>
  <conditionalFormatting sqref="B35">
    <cfRule type="expression" dxfId="2989" priority="1170">
      <formula>AND(ISNUMBER(B35), OR(B35&gt;10, B35&lt;0))</formula>
    </cfRule>
  </conditionalFormatting>
  <conditionalFormatting sqref="B35">
    <cfRule type="expression" dxfId="2988" priority="1169">
      <formula>AND(NOT(ISNUMBER(B35)), B35&lt;&gt;"NP", B35&lt;&gt;"Reconocimiento Créditos", B35&lt;&gt;"Aprobado en otro curso")</formula>
    </cfRule>
  </conditionalFormatting>
  <conditionalFormatting sqref="B35">
    <cfRule type="containsText" dxfId="2987" priority="1168" operator="containsText" text="Reconocimiento Créditos">
      <formula>NOT(ISERROR(SEARCH("Reconocimiento Créditos",B35)))</formula>
    </cfRule>
  </conditionalFormatting>
  <conditionalFormatting sqref="B35">
    <cfRule type="containsText" dxfId="2986" priority="1171" operator="containsText" text="Aprobado en otro curso">
      <formula>NOT(ISERROR(SEARCH("Aprobado en otro curso",B35)))</formula>
    </cfRule>
  </conditionalFormatting>
  <conditionalFormatting sqref="A36">
    <cfRule type="expression" dxfId="2985" priority="1166">
      <formula>AND(OR(ROW()=CELL("row"),COLUMN()=CELL("col")),NOT(ISBLANK($C36)),NOT(ISBLANK($B36)),ROW()&gt;2,COLUMN()&gt;1)</formula>
    </cfRule>
  </conditionalFormatting>
  <conditionalFormatting sqref="A36">
    <cfRule type="expression" dxfId="2984" priority="1165">
      <formula>SUM(--ISBLANK($B36:$J36))=COLUMNS($B36:$J36)</formula>
    </cfRule>
  </conditionalFormatting>
  <conditionalFormatting sqref="A36">
    <cfRule type="containsText" dxfId="2983" priority="1167" operator="containsText" text="NP">
      <formula>NOT(ISERROR(SEARCH("NP",A36)))</formula>
    </cfRule>
  </conditionalFormatting>
  <conditionalFormatting sqref="A36">
    <cfRule type="expression" dxfId="2982" priority="1164">
      <formula>ISBLANK(A36)</formula>
    </cfRule>
  </conditionalFormatting>
  <conditionalFormatting sqref="B36">
    <cfRule type="containsText" dxfId="2981" priority="1162" operator="containsText" text="NP">
      <formula>NOT(ISERROR(SEARCH("NP",B36)))</formula>
    </cfRule>
    <cfRule type="cellIs" dxfId="2980" priority="1163" operator="lessThan">
      <formula>5</formula>
    </cfRule>
  </conditionalFormatting>
  <conditionalFormatting sqref="B36">
    <cfRule type="expression" dxfId="2979" priority="1160">
      <formula>AND(OR(ROW()=CELL("row"),COLUMN()=CELL("col")),NOT(ISBLANK($C36)),NOT(ISBLANK($B36)),ROW()&gt;2,COLUMN()&gt;1)</formula>
    </cfRule>
  </conditionalFormatting>
  <conditionalFormatting sqref="B36">
    <cfRule type="expression" dxfId="2978" priority="1159">
      <formula>SUM(--ISBLANK($B36:$J36))=COLUMNS($B36:$J36)</formula>
    </cfRule>
  </conditionalFormatting>
  <conditionalFormatting sqref="B36">
    <cfRule type="containsText" dxfId="2977" priority="1161" operator="containsText" text="NP">
      <formula>NOT(ISERROR(SEARCH("NP",B36)))</formula>
    </cfRule>
  </conditionalFormatting>
  <conditionalFormatting sqref="B36">
    <cfRule type="expression" dxfId="2976" priority="1158">
      <formula>ISBLANK(B36)</formula>
    </cfRule>
  </conditionalFormatting>
  <conditionalFormatting sqref="B36">
    <cfRule type="expression" dxfId="2975" priority="1156">
      <formula>AND(ISNUMBER(B36), OR(B36&gt;10, B36&lt;0))</formula>
    </cfRule>
  </conditionalFormatting>
  <conditionalFormatting sqref="B36">
    <cfRule type="expression" dxfId="2974" priority="1155">
      <formula>AND(NOT(ISNUMBER(B36)), B36&lt;&gt;"NP", B36&lt;&gt;"Reconocimiento Créditos", B36&lt;&gt;"Aprobado en otro curso")</formula>
    </cfRule>
  </conditionalFormatting>
  <conditionalFormatting sqref="B36">
    <cfRule type="containsText" dxfId="2973" priority="1154" operator="containsText" text="Reconocimiento Créditos">
      <formula>NOT(ISERROR(SEARCH("Reconocimiento Créditos",B36)))</formula>
    </cfRule>
  </conditionalFormatting>
  <conditionalFormatting sqref="B36">
    <cfRule type="containsText" dxfId="2972" priority="1157" operator="containsText" text="Aprobado en otro curso">
      <formula>NOT(ISERROR(SEARCH("Aprobado en otro curso",B36)))</formula>
    </cfRule>
  </conditionalFormatting>
  <conditionalFormatting sqref="A37">
    <cfRule type="expression" dxfId="2971" priority="1152">
      <formula>AND(OR(ROW()=CELL("row"),COLUMN()=CELL("col")),NOT(ISBLANK($C37)),NOT(ISBLANK($B37)),ROW()&gt;2,COLUMN()&gt;1)</formula>
    </cfRule>
  </conditionalFormatting>
  <conditionalFormatting sqref="A37">
    <cfRule type="expression" dxfId="2970" priority="1151">
      <formula>SUM(--ISBLANK($B37:$J37))=COLUMNS($B37:$J37)</formula>
    </cfRule>
  </conditionalFormatting>
  <conditionalFormatting sqref="A37">
    <cfRule type="containsText" dxfId="2969" priority="1153" operator="containsText" text="NP">
      <formula>NOT(ISERROR(SEARCH("NP",A37)))</formula>
    </cfRule>
  </conditionalFormatting>
  <conditionalFormatting sqref="A37">
    <cfRule type="expression" dxfId="2968" priority="1150">
      <formula>ISBLANK(A37)</formula>
    </cfRule>
  </conditionalFormatting>
  <conditionalFormatting sqref="B37">
    <cfRule type="containsText" dxfId="2967" priority="1148" operator="containsText" text="NP">
      <formula>NOT(ISERROR(SEARCH("NP",B37)))</formula>
    </cfRule>
    <cfRule type="cellIs" dxfId="2966" priority="1149" operator="lessThan">
      <formula>5</formula>
    </cfRule>
  </conditionalFormatting>
  <conditionalFormatting sqref="B37">
    <cfRule type="expression" dxfId="2965" priority="1146">
      <formula>AND(OR(ROW()=CELL("row"),COLUMN()=CELL("col")),NOT(ISBLANK($C37)),NOT(ISBLANK($B37)),ROW()&gt;2,COLUMN()&gt;1)</formula>
    </cfRule>
  </conditionalFormatting>
  <conditionalFormatting sqref="B37">
    <cfRule type="expression" dxfId="2964" priority="1145">
      <formula>SUM(--ISBLANK($B37:$J37))=COLUMNS($B37:$J37)</formula>
    </cfRule>
  </conditionalFormatting>
  <conditionalFormatting sqref="B37">
    <cfRule type="containsText" dxfId="2963" priority="1147" operator="containsText" text="NP">
      <formula>NOT(ISERROR(SEARCH("NP",B37)))</formula>
    </cfRule>
  </conditionalFormatting>
  <conditionalFormatting sqref="B37">
    <cfRule type="expression" dxfId="2962" priority="1144">
      <formula>ISBLANK(B37)</formula>
    </cfRule>
  </conditionalFormatting>
  <conditionalFormatting sqref="B37">
    <cfRule type="expression" dxfId="2961" priority="1142">
      <formula>AND(ISNUMBER(B37), OR(B37&gt;10, B37&lt;0))</formula>
    </cfRule>
  </conditionalFormatting>
  <conditionalFormatting sqref="B37">
    <cfRule type="expression" dxfId="2960" priority="1141">
      <formula>AND(NOT(ISNUMBER(B37)), B37&lt;&gt;"NP", B37&lt;&gt;"Reconocimiento Créditos", B37&lt;&gt;"Aprobado en otro curso")</formula>
    </cfRule>
  </conditionalFormatting>
  <conditionalFormatting sqref="B37">
    <cfRule type="containsText" dxfId="2959" priority="1140" operator="containsText" text="Reconocimiento Créditos">
      <formula>NOT(ISERROR(SEARCH("Reconocimiento Créditos",B37)))</formula>
    </cfRule>
  </conditionalFormatting>
  <conditionalFormatting sqref="B37">
    <cfRule type="containsText" dxfId="2958" priority="1143" operator="containsText" text="Aprobado en otro curso">
      <formula>NOT(ISERROR(SEARCH("Aprobado en otro curso",B37)))</formula>
    </cfRule>
  </conditionalFormatting>
  <conditionalFormatting sqref="A38">
    <cfRule type="expression" dxfId="2957" priority="1138">
      <formula>AND(OR(ROW()=CELL("row"),COLUMN()=CELL("col")),NOT(ISBLANK($C38)),NOT(ISBLANK($B38)),ROW()&gt;2,COLUMN()&gt;1)</formula>
    </cfRule>
  </conditionalFormatting>
  <conditionalFormatting sqref="A38">
    <cfRule type="expression" dxfId="2956" priority="1137">
      <formula>SUM(--ISBLANK($B38:$J38))=COLUMNS($B38:$J38)</formula>
    </cfRule>
  </conditionalFormatting>
  <conditionalFormatting sqref="A38">
    <cfRule type="containsText" dxfId="2955" priority="1139" operator="containsText" text="NP">
      <formula>NOT(ISERROR(SEARCH("NP",A38)))</formula>
    </cfRule>
  </conditionalFormatting>
  <conditionalFormatting sqref="A38">
    <cfRule type="expression" dxfId="2954" priority="1136">
      <formula>ISBLANK(A38)</formula>
    </cfRule>
  </conditionalFormatting>
  <conditionalFormatting sqref="B38">
    <cfRule type="containsText" dxfId="2953" priority="1134" operator="containsText" text="NP">
      <formula>NOT(ISERROR(SEARCH("NP",B38)))</formula>
    </cfRule>
    <cfRule type="cellIs" dxfId="2952" priority="1135" operator="lessThan">
      <formula>5</formula>
    </cfRule>
  </conditionalFormatting>
  <conditionalFormatting sqref="B38">
    <cfRule type="expression" dxfId="2951" priority="1132">
      <formula>AND(OR(ROW()=CELL("row"),COLUMN()=CELL("col")),NOT(ISBLANK($C38)),NOT(ISBLANK($B38)),ROW()&gt;2,COLUMN()&gt;1)</formula>
    </cfRule>
  </conditionalFormatting>
  <conditionalFormatting sqref="B38">
    <cfRule type="expression" dxfId="2950" priority="1131">
      <formula>SUM(--ISBLANK($B38:$J38))=COLUMNS($B38:$J38)</formula>
    </cfRule>
  </conditionalFormatting>
  <conditionalFormatting sqref="B38">
    <cfRule type="containsText" dxfId="2949" priority="1133" operator="containsText" text="NP">
      <formula>NOT(ISERROR(SEARCH("NP",B38)))</formula>
    </cfRule>
  </conditionalFormatting>
  <conditionalFormatting sqref="B38">
    <cfRule type="expression" dxfId="2948" priority="1130">
      <formula>ISBLANK(B38)</formula>
    </cfRule>
  </conditionalFormatting>
  <conditionalFormatting sqref="B38">
    <cfRule type="expression" dxfId="2947" priority="1128">
      <formula>AND(ISNUMBER(B38), OR(B38&gt;10, B38&lt;0))</formula>
    </cfRule>
  </conditionalFormatting>
  <conditionalFormatting sqref="B38">
    <cfRule type="expression" dxfId="2946" priority="1127">
      <formula>AND(NOT(ISNUMBER(B38)), B38&lt;&gt;"NP", B38&lt;&gt;"Reconocimiento Créditos", B38&lt;&gt;"Aprobado en otro curso")</formula>
    </cfRule>
  </conditionalFormatting>
  <conditionalFormatting sqref="B38">
    <cfRule type="containsText" dxfId="2945" priority="1126" operator="containsText" text="Reconocimiento Créditos">
      <formula>NOT(ISERROR(SEARCH("Reconocimiento Créditos",B38)))</formula>
    </cfRule>
  </conditionalFormatting>
  <conditionalFormatting sqref="B38">
    <cfRule type="containsText" dxfId="2944" priority="1129" operator="containsText" text="Aprobado en otro curso">
      <formula>NOT(ISERROR(SEARCH("Aprobado en otro curso",B38)))</formula>
    </cfRule>
  </conditionalFormatting>
  <conditionalFormatting sqref="A39">
    <cfRule type="expression" dxfId="2943" priority="1124">
      <formula>AND(OR(ROW()=CELL("row"),COLUMN()=CELL("col")),NOT(ISBLANK($C39)),NOT(ISBLANK($B39)),ROW()&gt;2,COLUMN()&gt;1)</formula>
    </cfRule>
  </conditionalFormatting>
  <conditionalFormatting sqref="A39">
    <cfRule type="expression" dxfId="2942" priority="1123">
      <formula>SUM(--ISBLANK($B39:$J39))=COLUMNS($B39:$J39)</formula>
    </cfRule>
  </conditionalFormatting>
  <conditionalFormatting sqref="A39">
    <cfRule type="containsText" dxfId="2941" priority="1125" operator="containsText" text="NP">
      <formula>NOT(ISERROR(SEARCH("NP",A39)))</formula>
    </cfRule>
  </conditionalFormatting>
  <conditionalFormatting sqref="A39">
    <cfRule type="expression" dxfId="2940" priority="1122">
      <formula>ISBLANK(A39)</formula>
    </cfRule>
  </conditionalFormatting>
  <conditionalFormatting sqref="B39">
    <cfRule type="containsText" dxfId="2939" priority="1120" operator="containsText" text="NP">
      <formula>NOT(ISERROR(SEARCH("NP",B39)))</formula>
    </cfRule>
    <cfRule type="cellIs" dxfId="2938" priority="1121" operator="lessThan">
      <formula>5</formula>
    </cfRule>
  </conditionalFormatting>
  <conditionalFormatting sqref="B39">
    <cfRule type="expression" dxfId="2937" priority="1118">
      <formula>AND(OR(ROW()=CELL("row"),COLUMN()=CELL("col")),NOT(ISBLANK($C39)),NOT(ISBLANK($B39)),ROW()&gt;2,COLUMN()&gt;1)</formula>
    </cfRule>
  </conditionalFormatting>
  <conditionalFormatting sqref="B39">
    <cfRule type="expression" dxfId="2936" priority="1117">
      <formula>SUM(--ISBLANK($B39:$J39))=COLUMNS($B39:$J39)</formula>
    </cfRule>
  </conditionalFormatting>
  <conditionalFormatting sqref="B39">
    <cfRule type="containsText" dxfId="2935" priority="1119" operator="containsText" text="NP">
      <formula>NOT(ISERROR(SEARCH("NP",B39)))</formula>
    </cfRule>
  </conditionalFormatting>
  <conditionalFormatting sqref="B39">
    <cfRule type="expression" dxfId="2934" priority="1116">
      <formula>ISBLANK(B39)</formula>
    </cfRule>
  </conditionalFormatting>
  <conditionalFormatting sqref="B39">
    <cfRule type="expression" dxfId="2933" priority="1114">
      <formula>AND(ISNUMBER(B39), OR(B39&gt;10, B39&lt;0))</formula>
    </cfRule>
  </conditionalFormatting>
  <conditionalFormatting sqref="B39">
    <cfRule type="expression" dxfId="2932" priority="1113">
      <formula>AND(NOT(ISNUMBER(B39)), B39&lt;&gt;"NP", B39&lt;&gt;"Reconocimiento Créditos", B39&lt;&gt;"Aprobado en otro curso")</formula>
    </cfRule>
  </conditionalFormatting>
  <conditionalFormatting sqref="B39">
    <cfRule type="containsText" dxfId="2931" priority="1112" operator="containsText" text="Reconocimiento Créditos">
      <formula>NOT(ISERROR(SEARCH("Reconocimiento Créditos",B39)))</formula>
    </cfRule>
  </conditionalFormatting>
  <conditionalFormatting sqref="B39">
    <cfRule type="containsText" dxfId="2930" priority="1115" operator="containsText" text="Aprobado en otro curso">
      <formula>NOT(ISERROR(SEARCH("Aprobado en otro curso",B39)))</formula>
    </cfRule>
  </conditionalFormatting>
  <conditionalFormatting sqref="A40">
    <cfRule type="expression" dxfId="2929" priority="1110">
      <formula>AND(OR(ROW()=CELL("row"),COLUMN()=CELL("col")),NOT(ISBLANK($C40)),NOT(ISBLANK($B40)),ROW()&gt;2,COLUMN()&gt;1)</formula>
    </cfRule>
  </conditionalFormatting>
  <conditionalFormatting sqref="A40">
    <cfRule type="expression" dxfId="2928" priority="1109">
      <formula>SUM(--ISBLANK($B40:$J40))=COLUMNS($B40:$J40)</formula>
    </cfRule>
  </conditionalFormatting>
  <conditionalFormatting sqref="A40">
    <cfRule type="containsText" dxfId="2927" priority="1111" operator="containsText" text="NP">
      <formula>NOT(ISERROR(SEARCH("NP",A40)))</formula>
    </cfRule>
  </conditionalFormatting>
  <conditionalFormatting sqref="A40">
    <cfRule type="expression" dxfId="2926" priority="1108">
      <formula>ISBLANK(A40)</formula>
    </cfRule>
  </conditionalFormatting>
  <conditionalFormatting sqref="B40">
    <cfRule type="containsText" dxfId="2925" priority="1106" operator="containsText" text="NP">
      <formula>NOT(ISERROR(SEARCH("NP",B40)))</formula>
    </cfRule>
    <cfRule type="cellIs" dxfId="2924" priority="1107" operator="lessThan">
      <formula>5</formula>
    </cfRule>
  </conditionalFormatting>
  <conditionalFormatting sqref="B40">
    <cfRule type="expression" dxfId="2923" priority="1104">
      <formula>AND(OR(ROW()=CELL("row"),COLUMN()=CELL("col")),NOT(ISBLANK($C40)),NOT(ISBLANK($B40)),ROW()&gt;2,COLUMN()&gt;1)</formula>
    </cfRule>
  </conditionalFormatting>
  <conditionalFormatting sqref="B40">
    <cfRule type="expression" dxfId="2922" priority="1103">
      <formula>SUM(--ISBLANK($B40:$J40))=COLUMNS($B40:$J40)</formula>
    </cfRule>
  </conditionalFormatting>
  <conditionalFormatting sqref="B40">
    <cfRule type="containsText" dxfId="2921" priority="1105" operator="containsText" text="NP">
      <formula>NOT(ISERROR(SEARCH("NP",B40)))</formula>
    </cfRule>
  </conditionalFormatting>
  <conditionalFormatting sqref="B40">
    <cfRule type="expression" dxfId="2920" priority="1102">
      <formula>ISBLANK(B40)</formula>
    </cfRule>
  </conditionalFormatting>
  <conditionalFormatting sqref="B40">
    <cfRule type="expression" dxfId="2919" priority="1100">
      <formula>AND(ISNUMBER(B40), OR(B40&gt;10, B40&lt;0))</formula>
    </cfRule>
  </conditionalFormatting>
  <conditionalFormatting sqref="B40">
    <cfRule type="expression" dxfId="2918" priority="1099">
      <formula>AND(NOT(ISNUMBER(B40)), B40&lt;&gt;"NP", B40&lt;&gt;"Reconocimiento Créditos", B40&lt;&gt;"Aprobado en otro curso")</formula>
    </cfRule>
  </conditionalFormatting>
  <conditionalFormatting sqref="B40">
    <cfRule type="containsText" dxfId="2917" priority="1098" operator="containsText" text="Reconocimiento Créditos">
      <formula>NOT(ISERROR(SEARCH("Reconocimiento Créditos",B40)))</formula>
    </cfRule>
  </conditionalFormatting>
  <conditionalFormatting sqref="B40">
    <cfRule type="containsText" dxfId="2916" priority="1101" operator="containsText" text="Aprobado en otro curso">
      <formula>NOT(ISERROR(SEARCH("Aprobado en otro curso",B40)))</formula>
    </cfRule>
  </conditionalFormatting>
  <conditionalFormatting sqref="A41">
    <cfRule type="expression" dxfId="2915" priority="1096">
      <formula>AND(OR(ROW()=CELL("row"),COLUMN()=CELL("col")),NOT(ISBLANK($C41)),NOT(ISBLANK($B41)),ROW()&gt;2,COLUMN()&gt;1)</formula>
    </cfRule>
  </conditionalFormatting>
  <conditionalFormatting sqref="A41">
    <cfRule type="expression" dxfId="2914" priority="1095">
      <formula>SUM(--ISBLANK($B41:$J41))=COLUMNS($B41:$J41)</formula>
    </cfRule>
  </conditionalFormatting>
  <conditionalFormatting sqref="A41">
    <cfRule type="containsText" dxfId="2913" priority="1097" operator="containsText" text="NP">
      <formula>NOT(ISERROR(SEARCH("NP",A41)))</formula>
    </cfRule>
  </conditionalFormatting>
  <conditionalFormatting sqref="A41">
    <cfRule type="expression" dxfId="2912" priority="1094">
      <formula>ISBLANK(A41)</formula>
    </cfRule>
  </conditionalFormatting>
  <conditionalFormatting sqref="B41">
    <cfRule type="containsText" dxfId="2911" priority="1092" operator="containsText" text="NP">
      <formula>NOT(ISERROR(SEARCH("NP",B41)))</formula>
    </cfRule>
    <cfRule type="cellIs" dxfId="2910" priority="1093" operator="lessThan">
      <formula>5</formula>
    </cfRule>
  </conditionalFormatting>
  <conditionalFormatting sqref="B41">
    <cfRule type="expression" dxfId="2909" priority="1090">
      <formula>AND(OR(ROW()=CELL("row"),COLUMN()=CELL("col")),NOT(ISBLANK($C41)),NOT(ISBLANK($B41)),ROW()&gt;2,COLUMN()&gt;1)</formula>
    </cfRule>
  </conditionalFormatting>
  <conditionalFormatting sqref="B41">
    <cfRule type="expression" dxfId="2908" priority="1089">
      <formula>SUM(--ISBLANK($B41:$J41))=COLUMNS($B41:$J41)</formula>
    </cfRule>
  </conditionalFormatting>
  <conditionalFormatting sqref="B41">
    <cfRule type="containsText" dxfId="2907" priority="1091" operator="containsText" text="NP">
      <formula>NOT(ISERROR(SEARCH("NP",B41)))</formula>
    </cfRule>
  </conditionalFormatting>
  <conditionalFormatting sqref="B41">
    <cfRule type="expression" dxfId="2906" priority="1088">
      <formula>ISBLANK(B41)</formula>
    </cfRule>
  </conditionalFormatting>
  <conditionalFormatting sqref="B41">
    <cfRule type="expression" dxfId="2905" priority="1086">
      <formula>AND(ISNUMBER(B41), OR(B41&gt;10, B41&lt;0))</formula>
    </cfRule>
  </conditionalFormatting>
  <conditionalFormatting sqref="B41">
    <cfRule type="expression" dxfId="2904" priority="1085">
      <formula>AND(NOT(ISNUMBER(B41)), B41&lt;&gt;"NP", B41&lt;&gt;"Reconocimiento Créditos", B41&lt;&gt;"Aprobado en otro curso")</formula>
    </cfRule>
  </conditionalFormatting>
  <conditionalFormatting sqref="B41">
    <cfRule type="containsText" dxfId="2903" priority="1084" operator="containsText" text="Reconocimiento Créditos">
      <formula>NOT(ISERROR(SEARCH("Reconocimiento Créditos",B41)))</formula>
    </cfRule>
  </conditionalFormatting>
  <conditionalFormatting sqref="B41">
    <cfRule type="containsText" dxfId="2902" priority="1087" operator="containsText" text="Aprobado en otro curso">
      <formula>NOT(ISERROR(SEARCH("Aprobado en otro curso",B41)))</formula>
    </cfRule>
  </conditionalFormatting>
  <conditionalFormatting sqref="A42">
    <cfRule type="expression" dxfId="2901" priority="1082">
      <formula>AND(OR(ROW()=CELL("row"),COLUMN()=CELL("col")),NOT(ISBLANK($C42)),NOT(ISBLANK($B42)),ROW()&gt;2,COLUMN()&gt;1)</formula>
    </cfRule>
  </conditionalFormatting>
  <conditionalFormatting sqref="A42">
    <cfRule type="expression" dxfId="2900" priority="1081">
      <formula>SUM(--ISBLANK($B42:$J42))=COLUMNS($B42:$J42)</formula>
    </cfRule>
  </conditionalFormatting>
  <conditionalFormatting sqref="A42">
    <cfRule type="containsText" dxfId="2899" priority="1083" operator="containsText" text="NP">
      <formula>NOT(ISERROR(SEARCH("NP",A42)))</formula>
    </cfRule>
  </conditionalFormatting>
  <conditionalFormatting sqref="A42">
    <cfRule type="expression" dxfId="2898" priority="1080">
      <formula>ISBLANK(A42)</formula>
    </cfRule>
  </conditionalFormatting>
  <conditionalFormatting sqref="B42">
    <cfRule type="containsText" dxfId="2897" priority="1078" operator="containsText" text="NP">
      <formula>NOT(ISERROR(SEARCH("NP",B42)))</formula>
    </cfRule>
    <cfRule type="cellIs" dxfId="2896" priority="1079" operator="lessThan">
      <formula>5</formula>
    </cfRule>
  </conditionalFormatting>
  <conditionalFormatting sqref="B42">
    <cfRule type="expression" dxfId="2895" priority="1076">
      <formula>AND(OR(ROW()=CELL("row"),COLUMN()=CELL("col")),NOT(ISBLANK($C42)),NOT(ISBLANK($B42)),ROW()&gt;2,COLUMN()&gt;1)</formula>
    </cfRule>
  </conditionalFormatting>
  <conditionalFormatting sqref="B42">
    <cfRule type="expression" dxfId="2894" priority="1075">
      <formula>SUM(--ISBLANK($B42:$J42))=COLUMNS($B42:$J42)</formula>
    </cfRule>
  </conditionalFormatting>
  <conditionalFormatting sqref="B42">
    <cfRule type="containsText" dxfId="2893" priority="1077" operator="containsText" text="NP">
      <formula>NOT(ISERROR(SEARCH("NP",B42)))</formula>
    </cfRule>
  </conditionalFormatting>
  <conditionalFormatting sqref="B42">
    <cfRule type="expression" dxfId="2892" priority="1074">
      <formula>ISBLANK(B42)</formula>
    </cfRule>
  </conditionalFormatting>
  <conditionalFormatting sqref="B42">
    <cfRule type="expression" dxfId="2891" priority="1072">
      <formula>AND(ISNUMBER(B42), OR(B42&gt;10, B42&lt;0))</formula>
    </cfRule>
  </conditionalFormatting>
  <conditionalFormatting sqref="B42">
    <cfRule type="expression" dxfId="2890" priority="1071">
      <formula>AND(NOT(ISNUMBER(B42)), B42&lt;&gt;"NP", B42&lt;&gt;"Reconocimiento Créditos", B42&lt;&gt;"Aprobado en otro curso")</formula>
    </cfRule>
  </conditionalFormatting>
  <conditionalFormatting sqref="B42">
    <cfRule type="containsText" dxfId="2889" priority="1070" operator="containsText" text="Reconocimiento Créditos">
      <formula>NOT(ISERROR(SEARCH("Reconocimiento Créditos",B42)))</formula>
    </cfRule>
  </conditionalFormatting>
  <conditionalFormatting sqref="B42">
    <cfRule type="containsText" dxfId="2888" priority="1073" operator="containsText" text="Aprobado en otro curso">
      <formula>NOT(ISERROR(SEARCH("Aprobado en otro curso",B42)))</formula>
    </cfRule>
  </conditionalFormatting>
  <conditionalFormatting sqref="A43">
    <cfRule type="expression" dxfId="2887" priority="1068">
      <formula>AND(OR(ROW()=CELL("row"),COLUMN()=CELL("col")),NOT(ISBLANK($C43)),NOT(ISBLANK($B43)),ROW()&gt;2,COLUMN()&gt;1)</formula>
    </cfRule>
  </conditionalFormatting>
  <conditionalFormatting sqref="A43">
    <cfRule type="expression" dxfId="2886" priority="1067">
      <formula>SUM(--ISBLANK($B43:$J43))=COLUMNS($B43:$J43)</formula>
    </cfRule>
  </conditionalFormatting>
  <conditionalFormatting sqref="A43">
    <cfRule type="containsText" dxfId="2885" priority="1069" operator="containsText" text="NP">
      <formula>NOT(ISERROR(SEARCH("NP",A43)))</formula>
    </cfRule>
  </conditionalFormatting>
  <conditionalFormatting sqref="A43">
    <cfRule type="expression" dxfId="2884" priority="1066">
      <formula>ISBLANK(A43)</formula>
    </cfRule>
  </conditionalFormatting>
  <conditionalFormatting sqref="B43">
    <cfRule type="containsText" dxfId="2883" priority="1064" operator="containsText" text="NP">
      <formula>NOT(ISERROR(SEARCH("NP",B43)))</formula>
    </cfRule>
    <cfRule type="cellIs" dxfId="2882" priority="1065" operator="lessThan">
      <formula>5</formula>
    </cfRule>
  </conditionalFormatting>
  <conditionalFormatting sqref="B43">
    <cfRule type="expression" dxfId="2881" priority="1062">
      <formula>AND(OR(ROW()=CELL("row"),COLUMN()=CELL("col")),NOT(ISBLANK($C43)),NOT(ISBLANK($B43)),ROW()&gt;2,COLUMN()&gt;1)</formula>
    </cfRule>
  </conditionalFormatting>
  <conditionalFormatting sqref="B43">
    <cfRule type="expression" dxfId="2880" priority="1061">
      <formula>SUM(--ISBLANK($B43:$J43))=COLUMNS($B43:$J43)</formula>
    </cfRule>
  </conditionalFormatting>
  <conditionalFormatting sqref="B43">
    <cfRule type="containsText" dxfId="2879" priority="1063" operator="containsText" text="NP">
      <formula>NOT(ISERROR(SEARCH("NP",B43)))</formula>
    </cfRule>
  </conditionalFormatting>
  <conditionalFormatting sqref="B43">
    <cfRule type="expression" dxfId="2878" priority="1060">
      <formula>ISBLANK(B43)</formula>
    </cfRule>
  </conditionalFormatting>
  <conditionalFormatting sqref="B43">
    <cfRule type="expression" dxfId="2877" priority="1058">
      <formula>AND(ISNUMBER(B43), OR(B43&gt;10, B43&lt;0))</formula>
    </cfRule>
  </conditionalFormatting>
  <conditionalFormatting sqref="B43">
    <cfRule type="expression" dxfId="2876" priority="1057">
      <formula>AND(NOT(ISNUMBER(B43)), B43&lt;&gt;"NP", B43&lt;&gt;"Reconocimiento Créditos", B43&lt;&gt;"Aprobado en otro curso")</formula>
    </cfRule>
  </conditionalFormatting>
  <conditionalFormatting sqref="B43">
    <cfRule type="containsText" dxfId="2875" priority="1056" operator="containsText" text="Reconocimiento Créditos">
      <formula>NOT(ISERROR(SEARCH("Reconocimiento Créditos",B43)))</formula>
    </cfRule>
  </conditionalFormatting>
  <conditionalFormatting sqref="B43">
    <cfRule type="containsText" dxfId="2874" priority="1059" operator="containsText" text="Aprobado en otro curso">
      <formula>NOT(ISERROR(SEARCH("Aprobado en otro curso",B43)))</formula>
    </cfRule>
  </conditionalFormatting>
  <conditionalFormatting sqref="A44">
    <cfRule type="expression" dxfId="2873" priority="1054">
      <formula>AND(OR(ROW()=CELL("row"),COLUMN()=CELL("col")),NOT(ISBLANK($C44)),NOT(ISBLANK($B44)),ROW()&gt;2,COLUMN()&gt;1)</formula>
    </cfRule>
  </conditionalFormatting>
  <conditionalFormatting sqref="A44">
    <cfRule type="expression" dxfId="2872" priority="1053">
      <formula>SUM(--ISBLANK($B44:$J44))=COLUMNS($B44:$J44)</formula>
    </cfRule>
  </conditionalFormatting>
  <conditionalFormatting sqref="A44">
    <cfRule type="containsText" dxfId="2871" priority="1055" operator="containsText" text="NP">
      <formula>NOT(ISERROR(SEARCH("NP",A44)))</formula>
    </cfRule>
  </conditionalFormatting>
  <conditionalFormatting sqref="A44">
    <cfRule type="expression" dxfId="2870" priority="1052">
      <formula>ISBLANK(A44)</formula>
    </cfRule>
  </conditionalFormatting>
  <conditionalFormatting sqref="B44">
    <cfRule type="containsText" dxfId="2869" priority="1050" operator="containsText" text="NP">
      <formula>NOT(ISERROR(SEARCH("NP",B44)))</formula>
    </cfRule>
    <cfRule type="cellIs" dxfId="2868" priority="1051" operator="lessThan">
      <formula>5</formula>
    </cfRule>
  </conditionalFormatting>
  <conditionalFormatting sqref="B44">
    <cfRule type="expression" dxfId="2867" priority="1048">
      <formula>AND(OR(ROW()=CELL("row"),COLUMN()=CELL("col")),NOT(ISBLANK($C44)),NOT(ISBLANK($B44)),ROW()&gt;2,COLUMN()&gt;1)</formula>
    </cfRule>
  </conditionalFormatting>
  <conditionalFormatting sqref="B44">
    <cfRule type="expression" dxfId="2866" priority="1047">
      <formula>SUM(--ISBLANK($B44:$J44))=COLUMNS($B44:$J44)</formula>
    </cfRule>
  </conditionalFormatting>
  <conditionalFormatting sqref="B44">
    <cfRule type="containsText" dxfId="2865" priority="1049" operator="containsText" text="NP">
      <formula>NOT(ISERROR(SEARCH("NP",B44)))</formula>
    </cfRule>
  </conditionalFormatting>
  <conditionalFormatting sqref="B44">
    <cfRule type="expression" dxfId="2864" priority="1046">
      <formula>ISBLANK(B44)</formula>
    </cfRule>
  </conditionalFormatting>
  <conditionalFormatting sqref="B44">
    <cfRule type="expression" dxfId="2863" priority="1044">
      <formula>AND(ISNUMBER(B44), OR(B44&gt;10, B44&lt;0))</formula>
    </cfRule>
  </conditionalFormatting>
  <conditionalFormatting sqref="B44">
    <cfRule type="containsText" dxfId="2862" priority="1043" operator="containsText" text="Reconocimiento Créditos">
      <formula>NOT(ISERROR(SEARCH("Reconocimiento Créditos",B44)))</formula>
    </cfRule>
  </conditionalFormatting>
  <conditionalFormatting sqref="B44">
    <cfRule type="containsText" dxfId="2861" priority="1045" operator="containsText" text="Aprobado en otro curso">
      <formula>NOT(ISERROR(SEARCH("Aprobado en otro curso",B44)))</formula>
    </cfRule>
  </conditionalFormatting>
  <conditionalFormatting sqref="A45">
    <cfRule type="expression" dxfId="2860" priority="1041">
      <formula>AND(OR(ROW()=CELL("row"),COLUMN()=CELL("col")),NOT(ISBLANK($C45)),NOT(ISBLANK($B45)),ROW()&gt;2,COLUMN()&gt;1)</formula>
    </cfRule>
  </conditionalFormatting>
  <conditionalFormatting sqref="A45">
    <cfRule type="expression" dxfId="2859" priority="1040">
      <formula>SUM(--ISBLANK($B45:$J45))=COLUMNS($B45:$J45)</formula>
    </cfRule>
  </conditionalFormatting>
  <conditionalFormatting sqref="A45">
    <cfRule type="containsText" dxfId="2858" priority="1042" operator="containsText" text="NP">
      <formula>NOT(ISERROR(SEARCH("NP",A45)))</formula>
    </cfRule>
  </conditionalFormatting>
  <conditionalFormatting sqref="A45">
    <cfRule type="expression" dxfId="2857" priority="1039">
      <formula>ISBLANK(A45)</formula>
    </cfRule>
  </conditionalFormatting>
  <conditionalFormatting sqref="B45">
    <cfRule type="containsText" dxfId="2856" priority="1037" operator="containsText" text="NP">
      <formula>NOT(ISERROR(SEARCH("NP",B45)))</formula>
    </cfRule>
    <cfRule type="cellIs" dxfId="2855" priority="1038" operator="lessThan">
      <formula>5</formula>
    </cfRule>
  </conditionalFormatting>
  <conditionalFormatting sqref="B45">
    <cfRule type="expression" dxfId="2854" priority="1035">
      <formula>AND(OR(ROW()=CELL("row"),COLUMN()=CELL("col")),NOT(ISBLANK($C45)),NOT(ISBLANK($B45)),ROW()&gt;2,COLUMN()&gt;1)</formula>
    </cfRule>
  </conditionalFormatting>
  <conditionalFormatting sqref="B45">
    <cfRule type="expression" dxfId="2853" priority="1034">
      <formula>SUM(--ISBLANK($B45:$J45))=COLUMNS($B45:$J45)</formula>
    </cfRule>
  </conditionalFormatting>
  <conditionalFormatting sqref="B45">
    <cfRule type="containsText" dxfId="2852" priority="1036" operator="containsText" text="NP">
      <formula>NOT(ISERROR(SEARCH("NP",B45)))</formula>
    </cfRule>
  </conditionalFormatting>
  <conditionalFormatting sqref="B45">
    <cfRule type="expression" dxfId="2851" priority="1033">
      <formula>ISBLANK(B45)</formula>
    </cfRule>
  </conditionalFormatting>
  <conditionalFormatting sqref="B45">
    <cfRule type="expression" dxfId="2850" priority="1031">
      <formula>AND(ISNUMBER(B45), OR(B45&gt;10, B45&lt;0))</formula>
    </cfRule>
  </conditionalFormatting>
  <conditionalFormatting sqref="B45">
    <cfRule type="expression" dxfId="2849" priority="1030">
      <formula>AND(NOT(ISNUMBER(B45)), B45&lt;&gt;"NP", B45&lt;&gt;"Reconocimiento Créditos", B45&lt;&gt;"Aprobado en otro curso")</formula>
    </cfRule>
  </conditionalFormatting>
  <conditionalFormatting sqref="B45">
    <cfRule type="containsText" dxfId="2848" priority="1029" operator="containsText" text="Reconocimiento Créditos">
      <formula>NOT(ISERROR(SEARCH("Reconocimiento Créditos",B45)))</formula>
    </cfRule>
  </conditionalFormatting>
  <conditionalFormatting sqref="B45">
    <cfRule type="containsText" dxfId="2847" priority="1032" operator="containsText" text="Aprobado en otro curso">
      <formula>NOT(ISERROR(SEARCH("Aprobado en otro curso",B45)))</formula>
    </cfRule>
  </conditionalFormatting>
  <conditionalFormatting sqref="A46">
    <cfRule type="expression" dxfId="2846" priority="1027">
      <formula>AND(OR(ROW()=CELL("row"),COLUMN()=CELL("col")),NOT(ISBLANK($C46)),NOT(ISBLANK($B46)),ROW()&gt;2,COLUMN()&gt;1)</formula>
    </cfRule>
  </conditionalFormatting>
  <conditionalFormatting sqref="A46">
    <cfRule type="expression" dxfId="2845" priority="1026">
      <formula>SUM(--ISBLANK($B46:$J46))=COLUMNS($B46:$J46)</formula>
    </cfRule>
  </conditionalFormatting>
  <conditionalFormatting sqref="A46">
    <cfRule type="containsText" dxfId="2844" priority="1028" operator="containsText" text="NP">
      <formula>NOT(ISERROR(SEARCH("NP",A46)))</formula>
    </cfRule>
  </conditionalFormatting>
  <conditionalFormatting sqref="A46">
    <cfRule type="expression" dxfId="2843" priority="1025">
      <formula>ISBLANK(A46)</formula>
    </cfRule>
  </conditionalFormatting>
  <conditionalFormatting sqref="B46">
    <cfRule type="containsText" dxfId="2842" priority="1023" operator="containsText" text="NP">
      <formula>NOT(ISERROR(SEARCH("NP",B46)))</formula>
    </cfRule>
    <cfRule type="cellIs" dxfId="2841" priority="1024" operator="lessThan">
      <formula>5</formula>
    </cfRule>
  </conditionalFormatting>
  <conditionalFormatting sqref="B46">
    <cfRule type="expression" dxfId="2840" priority="1021">
      <formula>AND(OR(ROW()=CELL("row"),COLUMN()=CELL("col")),NOT(ISBLANK($C46)),NOT(ISBLANK($B46)),ROW()&gt;2,COLUMN()&gt;1)</formula>
    </cfRule>
  </conditionalFormatting>
  <conditionalFormatting sqref="B46">
    <cfRule type="expression" dxfId="2839" priority="1020">
      <formula>SUM(--ISBLANK($B46:$J46))=COLUMNS($B46:$J46)</formula>
    </cfRule>
  </conditionalFormatting>
  <conditionalFormatting sqref="B46">
    <cfRule type="containsText" dxfId="2838" priority="1022" operator="containsText" text="NP">
      <formula>NOT(ISERROR(SEARCH("NP",B46)))</formula>
    </cfRule>
  </conditionalFormatting>
  <conditionalFormatting sqref="B46">
    <cfRule type="expression" dxfId="2837" priority="1019">
      <formula>ISBLANK(B46)</formula>
    </cfRule>
  </conditionalFormatting>
  <conditionalFormatting sqref="B46">
    <cfRule type="expression" dxfId="2836" priority="1017">
      <formula>AND(ISNUMBER(B46), OR(B46&gt;10, B46&lt;0))</formula>
    </cfRule>
  </conditionalFormatting>
  <conditionalFormatting sqref="B46">
    <cfRule type="expression" dxfId="2835" priority="1016">
      <formula>AND(NOT(ISNUMBER(B46)), B46&lt;&gt;"NP", B46&lt;&gt;"Reconocimiento Créditos", B46&lt;&gt;"Aprobado en otro curso")</formula>
    </cfRule>
  </conditionalFormatting>
  <conditionalFormatting sqref="B46">
    <cfRule type="containsText" dxfId="2834" priority="1015" operator="containsText" text="Reconocimiento Créditos">
      <formula>NOT(ISERROR(SEARCH("Reconocimiento Créditos",B46)))</formula>
    </cfRule>
  </conditionalFormatting>
  <conditionalFormatting sqref="B46">
    <cfRule type="containsText" dxfId="2833" priority="1018" operator="containsText" text="Aprobado en otro curso">
      <formula>NOT(ISERROR(SEARCH("Aprobado en otro curso",B46)))</formula>
    </cfRule>
  </conditionalFormatting>
  <conditionalFormatting sqref="A47">
    <cfRule type="expression" dxfId="2832" priority="1013">
      <formula>AND(OR(ROW()=CELL("row"),COLUMN()=CELL("col")),NOT(ISBLANK($C47)),NOT(ISBLANK($B47)),ROW()&gt;2,COLUMN()&gt;1)</formula>
    </cfRule>
  </conditionalFormatting>
  <conditionalFormatting sqref="A47">
    <cfRule type="expression" dxfId="2831" priority="1012">
      <formula>SUM(--ISBLANK($B47:$J47))=COLUMNS($B47:$J47)</formula>
    </cfRule>
  </conditionalFormatting>
  <conditionalFormatting sqref="A47">
    <cfRule type="containsText" dxfId="2830" priority="1014" operator="containsText" text="NP">
      <formula>NOT(ISERROR(SEARCH("NP",A47)))</formula>
    </cfRule>
  </conditionalFormatting>
  <conditionalFormatting sqref="A47">
    <cfRule type="expression" dxfId="2829" priority="1011">
      <formula>ISBLANK(A47)</formula>
    </cfRule>
  </conditionalFormatting>
  <conditionalFormatting sqref="B47">
    <cfRule type="containsText" dxfId="2828" priority="1009" operator="containsText" text="NP">
      <formula>NOT(ISERROR(SEARCH("NP",B47)))</formula>
    </cfRule>
    <cfRule type="cellIs" dxfId="2827" priority="1010" operator="lessThan">
      <formula>5</formula>
    </cfRule>
  </conditionalFormatting>
  <conditionalFormatting sqref="B47">
    <cfRule type="expression" dxfId="2826" priority="1007">
      <formula>AND(OR(ROW()=CELL("row"),COLUMN()=CELL("col")),NOT(ISBLANK($C47)),NOT(ISBLANK($B47)),ROW()&gt;2,COLUMN()&gt;1)</formula>
    </cfRule>
  </conditionalFormatting>
  <conditionalFormatting sqref="B47">
    <cfRule type="expression" dxfId="2825" priority="1006">
      <formula>SUM(--ISBLANK($B47:$J47))=COLUMNS($B47:$J47)</formula>
    </cfRule>
  </conditionalFormatting>
  <conditionalFormatting sqref="B47">
    <cfRule type="containsText" dxfId="2824" priority="1008" operator="containsText" text="NP">
      <formula>NOT(ISERROR(SEARCH("NP",B47)))</formula>
    </cfRule>
  </conditionalFormatting>
  <conditionalFormatting sqref="B47">
    <cfRule type="expression" dxfId="2823" priority="1005">
      <formula>ISBLANK(B47)</formula>
    </cfRule>
  </conditionalFormatting>
  <conditionalFormatting sqref="B47">
    <cfRule type="expression" dxfId="2822" priority="1003">
      <formula>AND(ISNUMBER(B47), OR(B47&gt;10, B47&lt;0))</formula>
    </cfRule>
  </conditionalFormatting>
  <conditionalFormatting sqref="B47">
    <cfRule type="expression" dxfId="2821" priority="1002">
      <formula>AND(NOT(ISNUMBER(B47)), B47&lt;&gt;"NP", B47&lt;&gt;"Reconocimiento Créditos", B47&lt;&gt;"Aprobado en otro curso")</formula>
    </cfRule>
  </conditionalFormatting>
  <conditionalFormatting sqref="B47">
    <cfRule type="containsText" dxfId="2820" priority="1001" operator="containsText" text="Reconocimiento Créditos">
      <formula>NOT(ISERROR(SEARCH("Reconocimiento Créditos",B47)))</formula>
    </cfRule>
  </conditionalFormatting>
  <conditionalFormatting sqref="B47">
    <cfRule type="containsText" dxfId="2819" priority="1004" operator="containsText" text="Aprobado en otro curso">
      <formula>NOT(ISERROR(SEARCH("Aprobado en otro curso",B47)))</formula>
    </cfRule>
  </conditionalFormatting>
  <conditionalFormatting sqref="A48">
    <cfRule type="expression" dxfId="2818" priority="999">
      <formula>AND(OR(ROW()=CELL("row"),COLUMN()=CELL("col")),NOT(ISBLANK($C48)),NOT(ISBLANK($B48)),ROW()&gt;2,COLUMN()&gt;1)</formula>
    </cfRule>
  </conditionalFormatting>
  <conditionalFormatting sqref="A48">
    <cfRule type="expression" dxfId="2817" priority="998">
      <formula>SUM(--ISBLANK($B48:$J48))=COLUMNS($B48:$J48)</formula>
    </cfRule>
  </conditionalFormatting>
  <conditionalFormatting sqref="A48">
    <cfRule type="containsText" dxfId="2816" priority="1000" operator="containsText" text="NP">
      <formula>NOT(ISERROR(SEARCH("NP",A48)))</formula>
    </cfRule>
  </conditionalFormatting>
  <conditionalFormatting sqref="A48">
    <cfRule type="expression" dxfId="2815" priority="997">
      <formula>ISBLANK(A48)</formula>
    </cfRule>
  </conditionalFormatting>
  <conditionalFormatting sqref="B48">
    <cfRule type="containsText" dxfId="2814" priority="995" operator="containsText" text="NP">
      <formula>NOT(ISERROR(SEARCH("NP",B48)))</formula>
    </cfRule>
    <cfRule type="cellIs" dxfId="2813" priority="996" operator="lessThan">
      <formula>5</formula>
    </cfRule>
  </conditionalFormatting>
  <conditionalFormatting sqref="B48">
    <cfRule type="expression" dxfId="2812" priority="993">
      <formula>AND(OR(ROW()=CELL("row"),COLUMN()=CELL("col")),NOT(ISBLANK($C48)),NOT(ISBLANK($B48)),ROW()&gt;2,COLUMN()&gt;1)</formula>
    </cfRule>
  </conditionalFormatting>
  <conditionalFormatting sqref="B48">
    <cfRule type="expression" dxfId="2811" priority="992">
      <formula>SUM(--ISBLANK($B48:$J48))=COLUMNS($B48:$J48)</formula>
    </cfRule>
  </conditionalFormatting>
  <conditionalFormatting sqref="B48">
    <cfRule type="containsText" dxfId="2810" priority="994" operator="containsText" text="NP">
      <formula>NOT(ISERROR(SEARCH("NP",B48)))</formula>
    </cfRule>
  </conditionalFormatting>
  <conditionalFormatting sqref="B48">
    <cfRule type="expression" dxfId="2809" priority="991">
      <formula>ISBLANK(B48)</formula>
    </cfRule>
  </conditionalFormatting>
  <conditionalFormatting sqref="B48">
    <cfRule type="expression" dxfId="2808" priority="989">
      <formula>AND(ISNUMBER(B48), OR(B48&gt;10, B48&lt;0))</formula>
    </cfRule>
  </conditionalFormatting>
  <conditionalFormatting sqref="B48">
    <cfRule type="expression" dxfId="2807" priority="988">
      <formula>AND(NOT(ISNUMBER(B48)), B48&lt;&gt;"NP", B48&lt;&gt;"Reconocimiento Créditos", B48&lt;&gt;"Aprobado en otro curso")</formula>
    </cfRule>
  </conditionalFormatting>
  <conditionalFormatting sqref="B48">
    <cfRule type="containsText" dxfId="2806" priority="987" operator="containsText" text="Reconocimiento Créditos">
      <formula>NOT(ISERROR(SEARCH("Reconocimiento Créditos",B48)))</formula>
    </cfRule>
  </conditionalFormatting>
  <conditionalFormatting sqref="B48">
    <cfRule type="containsText" dxfId="2805" priority="990" operator="containsText" text="Aprobado en otro curso">
      <formula>NOT(ISERROR(SEARCH("Aprobado en otro curso",B48)))</formula>
    </cfRule>
  </conditionalFormatting>
  <conditionalFormatting sqref="A49">
    <cfRule type="expression" dxfId="2804" priority="985">
      <formula>AND(OR(ROW()=CELL("row"),COLUMN()=CELL("col")),NOT(ISBLANK($C49)),NOT(ISBLANK($B49)),ROW()&gt;2,COLUMN()&gt;1)</formula>
    </cfRule>
  </conditionalFormatting>
  <conditionalFormatting sqref="A49">
    <cfRule type="expression" dxfId="2803" priority="984">
      <formula>SUM(--ISBLANK($B49:$J49))=COLUMNS($B49:$J49)</formula>
    </cfRule>
  </conditionalFormatting>
  <conditionalFormatting sqref="A49">
    <cfRule type="containsText" dxfId="2802" priority="986" operator="containsText" text="NP">
      <formula>NOT(ISERROR(SEARCH("NP",A49)))</formula>
    </cfRule>
  </conditionalFormatting>
  <conditionalFormatting sqref="A49">
    <cfRule type="expression" dxfId="2801" priority="983">
      <formula>ISBLANK(A49)</formula>
    </cfRule>
  </conditionalFormatting>
  <conditionalFormatting sqref="B49">
    <cfRule type="containsText" dxfId="2800" priority="981" operator="containsText" text="NP">
      <formula>NOT(ISERROR(SEARCH("NP",B49)))</formula>
    </cfRule>
    <cfRule type="cellIs" dxfId="2799" priority="982" operator="lessThan">
      <formula>5</formula>
    </cfRule>
  </conditionalFormatting>
  <conditionalFormatting sqref="B49">
    <cfRule type="expression" dxfId="2798" priority="979">
      <formula>AND(OR(ROW()=CELL("row"),COLUMN()=CELL("col")),NOT(ISBLANK($C49)),NOT(ISBLANK($B49)),ROW()&gt;2,COLUMN()&gt;1)</formula>
    </cfRule>
  </conditionalFormatting>
  <conditionalFormatting sqref="B49">
    <cfRule type="expression" dxfId="2797" priority="978">
      <formula>SUM(--ISBLANK($B49:$J49))=COLUMNS($B49:$J49)</formula>
    </cfRule>
  </conditionalFormatting>
  <conditionalFormatting sqref="B49">
    <cfRule type="containsText" dxfId="2796" priority="980" operator="containsText" text="NP">
      <formula>NOT(ISERROR(SEARCH("NP",B49)))</formula>
    </cfRule>
  </conditionalFormatting>
  <conditionalFormatting sqref="B49">
    <cfRule type="expression" dxfId="2795" priority="977">
      <formula>ISBLANK(B49)</formula>
    </cfRule>
  </conditionalFormatting>
  <conditionalFormatting sqref="B49">
    <cfRule type="expression" dxfId="2794" priority="975">
      <formula>AND(ISNUMBER(B49), OR(B49&gt;10, B49&lt;0))</formula>
    </cfRule>
  </conditionalFormatting>
  <conditionalFormatting sqref="B49">
    <cfRule type="expression" dxfId="2793" priority="974">
      <formula>AND(NOT(ISNUMBER(B49)), B49&lt;&gt;"NP", B49&lt;&gt;"Reconocimiento Créditos", B49&lt;&gt;"Aprobado en otro curso")</formula>
    </cfRule>
  </conditionalFormatting>
  <conditionalFormatting sqref="B49">
    <cfRule type="containsText" dxfId="2792" priority="973" operator="containsText" text="Reconocimiento Créditos">
      <formula>NOT(ISERROR(SEARCH("Reconocimiento Créditos",B49)))</formula>
    </cfRule>
  </conditionalFormatting>
  <conditionalFormatting sqref="B49">
    <cfRule type="containsText" dxfId="2791" priority="976" operator="containsText" text="Aprobado en otro curso">
      <formula>NOT(ISERROR(SEARCH("Aprobado en otro curso",B49)))</formula>
    </cfRule>
  </conditionalFormatting>
  <conditionalFormatting sqref="A50">
    <cfRule type="expression" dxfId="2790" priority="971">
      <formula>AND(OR(ROW()=CELL("row"),COLUMN()=CELL("col")),NOT(ISBLANK($C50)),NOT(ISBLANK($B50)),ROW()&gt;2,COLUMN()&gt;1)</formula>
    </cfRule>
  </conditionalFormatting>
  <conditionalFormatting sqref="A50">
    <cfRule type="expression" dxfId="2789" priority="970">
      <formula>SUM(--ISBLANK($B50:$J50))=COLUMNS($B50:$J50)</formula>
    </cfRule>
  </conditionalFormatting>
  <conditionalFormatting sqref="A50">
    <cfRule type="containsText" dxfId="2788" priority="972" operator="containsText" text="NP">
      <formula>NOT(ISERROR(SEARCH("NP",A50)))</formula>
    </cfRule>
  </conditionalFormatting>
  <conditionalFormatting sqref="A50">
    <cfRule type="expression" dxfId="2787" priority="969">
      <formula>ISBLANK(A50)</formula>
    </cfRule>
  </conditionalFormatting>
  <conditionalFormatting sqref="B50">
    <cfRule type="containsText" dxfId="2786" priority="967" operator="containsText" text="NP">
      <formula>NOT(ISERROR(SEARCH("NP",B50)))</formula>
    </cfRule>
    <cfRule type="cellIs" dxfId="2785" priority="968" operator="lessThan">
      <formula>5</formula>
    </cfRule>
  </conditionalFormatting>
  <conditionalFormatting sqref="B50">
    <cfRule type="expression" dxfId="2784" priority="965">
      <formula>AND(OR(ROW()=CELL("row"),COLUMN()=CELL("col")),NOT(ISBLANK($C50)),NOT(ISBLANK($B50)),ROW()&gt;2,COLUMN()&gt;1)</formula>
    </cfRule>
  </conditionalFormatting>
  <conditionalFormatting sqref="B50">
    <cfRule type="expression" dxfId="2783" priority="964">
      <formula>SUM(--ISBLANK($B50:$J50))=COLUMNS($B50:$J50)</formula>
    </cfRule>
  </conditionalFormatting>
  <conditionalFormatting sqref="B50">
    <cfRule type="containsText" dxfId="2782" priority="966" operator="containsText" text="NP">
      <formula>NOT(ISERROR(SEARCH("NP",B50)))</formula>
    </cfRule>
  </conditionalFormatting>
  <conditionalFormatting sqref="B50">
    <cfRule type="expression" dxfId="2781" priority="963">
      <formula>ISBLANK(B50)</formula>
    </cfRule>
  </conditionalFormatting>
  <conditionalFormatting sqref="B50">
    <cfRule type="expression" dxfId="2780" priority="961">
      <formula>AND(ISNUMBER(B50), OR(B50&gt;10, B50&lt;0))</formula>
    </cfRule>
  </conditionalFormatting>
  <conditionalFormatting sqref="B50">
    <cfRule type="expression" dxfId="2779" priority="960">
      <formula>AND(NOT(ISNUMBER(B50)), B50&lt;&gt;"NP", B50&lt;&gt;"Reconocimiento Créditos", B50&lt;&gt;"Aprobado en otro curso")</formula>
    </cfRule>
  </conditionalFormatting>
  <conditionalFormatting sqref="B50">
    <cfRule type="containsText" dxfId="2778" priority="959" operator="containsText" text="Reconocimiento Créditos">
      <formula>NOT(ISERROR(SEARCH("Reconocimiento Créditos",B50)))</formula>
    </cfRule>
  </conditionalFormatting>
  <conditionalFormatting sqref="B50">
    <cfRule type="containsText" dxfId="2777" priority="962" operator="containsText" text="Aprobado en otro curso">
      <formula>NOT(ISERROR(SEARCH("Aprobado en otro curso",B50)))</formula>
    </cfRule>
  </conditionalFormatting>
  <conditionalFormatting sqref="A51">
    <cfRule type="expression" dxfId="2776" priority="957">
      <formula>AND(OR(ROW()=CELL("row"),COLUMN()=CELL("col")),NOT(ISBLANK($C51)),NOT(ISBLANK($B51)),ROW()&gt;2,COLUMN()&gt;1)</formula>
    </cfRule>
  </conditionalFormatting>
  <conditionalFormatting sqref="A51">
    <cfRule type="expression" dxfId="2775" priority="956">
      <formula>SUM(--ISBLANK($B51:$J51))=COLUMNS($B51:$J51)</formula>
    </cfRule>
  </conditionalFormatting>
  <conditionalFormatting sqref="A51">
    <cfRule type="containsText" dxfId="2774" priority="958" operator="containsText" text="NP">
      <formula>NOT(ISERROR(SEARCH("NP",A51)))</formula>
    </cfRule>
  </conditionalFormatting>
  <conditionalFormatting sqref="A51">
    <cfRule type="expression" dxfId="2773" priority="955">
      <formula>ISBLANK(A51)</formula>
    </cfRule>
  </conditionalFormatting>
  <conditionalFormatting sqref="B51">
    <cfRule type="containsText" dxfId="2772" priority="953" operator="containsText" text="NP">
      <formula>NOT(ISERROR(SEARCH("NP",B51)))</formula>
    </cfRule>
    <cfRule type="cellIs" dxfId="2771" priority="954" operator="lessThan">
      <formula>5</formula>
    </cfRule>
  </conditionalFormatting>
  <conditionalFormatting sqref="B51">
    <cfRule type="expression" dxfId="2770" priority="951">
      <formula>AND(OR(ROW()=CELL("row"),COLUMN()=CELL("col")),NOT(ISBLANK($C51)),NOT(ISBLANK($B51)),ROW()&gt;2,COLUMN()&gt;1)</formula>
    </cfRule>
  </conditionalFormatting>
  <conditionalFormatting sqref="B51">
    <cfRule type="expression" dxfId="2769" priority="950">
      <formula>SUM(--ISBLANK($B51:$J51))=COLUMNS($B51:$J51)</formula>
    </cfRule>
  </conditionalFormatting>
  <conditionalFormatting sqref="B51">
    <cfRule type="containsText" dxfId="2768" priority="952" operator="containsText" text="NP">
      <formula>NOT(ISERROR(SEARCH("NP",B51)))</formula>
    </cfRule>
  </conditionalFormatting>
  <conditionalFormatting sqref="B51">
    <cfRule type="expression" dxfId="2767" priority="949">
      <formula>ISBLANK(B51)</formula>
    </cfRule>
  </conditionalFormatting>
  <conditionalFormatting sqref="B51">
    <cfRule type="expression" dxfId="2766" priority="947">
      <formula>AND(ISNUMBER(B51), OR(B51&gt;10, B51&lt;0))</formula>
    </cfRule>
  </conditionalFormatting>
  <conditionalFormatting sqref="B51">
    <cfRule type="expression" dxfId="2765" priority="946">
      <formula>AND(NOT(ISNUMBER(B51)), B51&lt;&gt;"NP", B51&lt;&gt;"Reconocimiento Créditos", B51&lt;&gt;"Aprobado en otro curso")</formula>
    </cfRule>
  </conditionalFormatting>
  <conditionalFormatting sqref="B51">
    <cfRule type="containsText" dxfId="2764" priority="945" operator="containsText" text="Reconocimiento Créditos">
      <formula>NOT(ISERROR(SEARCH("Reconocimiento Créditos",B51)))</formula>
    </cfRule>
  </conditionalFormatting>
  <conditionalFormatting sqref="B51">
    <cfRule type="containsText" dxfId="2763" priority="948" operator="containsText" text="Aprobado en otro curso">
      <formula>NOT(ISERROR(SEARCH("Aprobado en otro curso",B51)))</formula>
    </cfRule>
  </conditionalFormatting>
  <conditionalFormatting sqref="A52">
    <cfRule type="expression" dxfId="2762" priority="943">
      <formula>AND(OR(ROW()=CELL("row"),COLUMN()=CELL("col")),NOT(ISBLANK($C52)),NOT(ISBLANK($B52)),ROW()&gt;2,COLUMN()&gt;1)</formula>
    </cfRule>
  </conditionalFormatting>
  <conditionalFormatting sqref="A52">
    <cfRule type="expression" dxfId="2761" priority="942">
      <formula>SUM(--ISBLANK($B52:$J52))=COLUMNS($B52:$J52)</formula>
    </cfRule>
  </conditionalFormatting>
  <conditionalFormatting sqref="A52">
    <cfRule type="containsText" dxfId="2760" priority="944" operator="containsText" text="NP">
      <formula>NOT(ISERROR(SEARCH("NP",A52)))</formula>
    </cfRule>
  </conditionalFormatting>
  <conditionalFormatting sqref="A52">
    <cfRule type="expression" dxfId="2759" priority="941">
      <formula>ISBLANK(A52)</formula>
    </cfRule>
  </conditionalFormatting>
  <conditionalFormatting sqref="B52">
    <cfRule type="containsText" dxfId="2758" priority="939" operator="containsText" text="NP">
      <formula>NOT(ISERROR(SEARCH("NP",B52)))</formula>
    </cfRule>
    <cfRule type="cellIs" dxfId="2757" priority="940" operator="lessThan">
      <formula>5</formula>
    </cfRule>
  </conditionalFormatting>
  <conditionalFormatting sqref="B52">
    <cfRule type="expression" dxfId="2756" priority="937">
      <formula>AND(OR(ROW()=CELL("row"),COLUMN()=CELL("col")),NOT(ISBLANK($C52)),NOT(ISBLANK($B52)),ROW()&gt;2,COLUMN()&gt;1)</formula>
    </cfRule>
  </conditionalFormatting>
  <conditionalFormatting sqref="B52">
    <cfRule type="expression" dxfId="2755" priority="936">
      <formula>SUM(--ISBLANK($B52:$J52))=COLUMNS($B52:$J52)</formula>
    </cfRule>
  </conditionalFormatting>
  <conditionalFormatting sqref="B52">
    <cfRule type="containsText" dxfId="2754" priority="938" operator="containsText" text="NP">
      <formula>NOT(ISERROR(SEARCH("NP",B52)))</formula>
    </cfRule>
  </conditionalFormatting>
  <conditionalFormatting sqref="B52">
    <cfRule type="expression" dxfId="2753" priority="935">
      <formula>ISBLANK(B52)</formula>
    </cfRule>
  </conditionalFormatting>
  <conditionalFormatting sqref="B52">
    <cfRule type="expression" dxfId="2752" priority="933">
      <formula>AND(ISNUMBER(B52), OR(B52&gt;10, B52&lt;0))</formula>
    </cfRule>
  </conditionalFormatting>
  <conditionalFormatting sqref="B52">
    <cfRule type="expression" dxfId="2751" priority="932">
      <formula>AND(NOT(ISNUMBER(B52)), B52&lt;&gt;"NP", B52&lt;&gt;"Reconocimiento Créditos", B52&lt;&gt;"Aprobado en otro curso")</formula>
    </cfRule>
  </conditionalFormatting>
  <conditionalFormatting sqref="B52">
    <cfRule type="containsText" dxfId="2750" priority="931" operator="containsText" text="Reconocimiento Créditos">
      <formula>NOT(ISERROR(SEARCH("Reconocimiento Créditos",B52)))</formula>
    </cfRule>
  </conditionalFormatting>
  <conditionalFormatting sqref="B52">
    <cfRule type="containsText" dxfId="2749" priority="934" operator="containsText" text="Aprobado en otro curso">
      <formula>NOT(ISERROR(SEARCH("Aprobado en otro curso",B52)))</formula>
    </cfRule>
  </conditionalFormatting>
  <conditionalFormatting sqref="A53">
    <cfRule type="expression" dxfId="2748" priority="929">
      <formula>AND(OR(ROW()=CELL("row"),COLUMN()=CELL("col")),NOT(ISBLANK($C53)),NOT(ISBLANK($B53)),ROW()&gt;2,COLUMN()&gt;1)</formula>
    </cfRule>
  </conditionalFormatting>
  <conditionalFormatting sqref="A53">
    <cfRule type="expression" dxfId="2747" priority="928">
      <formula>SUM(--ISBLANK($B53:$J53))=COLUMNS($B53:$J53)</formula>
    </cfRule>
  </conditionalFormatting>
  <conditionalFormatting sqref="A53">
    <cfRule type="containsText" dxfId="2746" priority="930" operator="containsText" text="NP">
      <formula>NOT(ISERROR(SEARCH("NP",A53)))</formula>
    </cfRule>
  </conditionalFormatting>
  <conditionalFormatting sqref="A53">
    <cfRule type="expression" dxfId="2745" priority="927">
      <formula>ISBLANK(A53)</formula>
    </cfRule>
  </conditionalFormatting>
  <conditionalFormatting sqref="B53">
    <cfRule type="containsText" dxfId="2744" priority="925" operator="containsText" text="NP">
      <formula>NOT(ISERROR(SEARCH("NP",B53)))</formula>
    </cfRule>
    <cfRule type="cellIs" dxfId="2743" priority="926" operator="lessThan">
      <formula>5</formula>
    </cfRule>
  </conditionalFormatting>
  <conditionalFormatting sqref="B53">
    <cfRule type="expression" dxfId="2742" priority="923">
      <formula>AND(OR(ROW()=CELL("row"),COLUMN()=CELL("col")),NOT(ISBLANK($C53)),NOT(ISBLANK($B53)),ROW()&gt;2,COLUMN()&gt;1)</formula>
    </cfRule>
  </conditionalFormatting>
  <conditionalFormatting sqref="B53">
    <cfRule type="expression" dxfId="2741" priority="922">
      <formula>SUM(--ISBLANK($B53:$J53))=COLUMNS($B53:$J53)</formula>
    </cfRule>
  </conditionalFormatting>
  <conditionalFormatting sqref="B53">
    <cfRule type="containsText" dxfId="2740" priority="924" operator="containsText" text="NP">
      <formula>NOT(ISERROR(SEARCH("NP",B53)))</formula>
    </cfRule>
  </conditionalFormatting>
  <conditionalFormatting sqref="B53">
    <cfRule type="expression" dxfId="2739" priority="921">
      <formula>ISBLANK(B53)</formula>
    </cfRule>
  </conditionalFormatting>
  <conditionalFormatting sqref="B53">
    <cfRule type="expression" dxfId="2738" priority="919">
      <formula>AND(ISNUMBER(B53), OR(B53&gt;10, B53&lt;0))</formula>
    </cfRule>
  </conditionalFormatting>
  <conditionalFormatting sqref="B53">
    <cfRule type="expression" dxfId="2737" priority="918">
      <formula>AND(NOT(ISNUMBER(B53)), B53&lt;&gt;"NP", B53&lt;&gt;"Reconocimiento Créditos", B53&lt;&gt;"Aprobado en otro curso")</formula>
    </cfRule>
  </conditionalFormatting>
  <conditionalFormatting sqref="B53">
    <cfRule type="containsText" dxfId="2736" priority="917" operator="containsText" text="Reconocimiento Créditos">
      <formula>NOT(ISERROR(SEARCH("Reconocimiento Créditos",B53)))</formula>
    </cfRule>
  </conditionalFormatting>
  <conditionalFormatting sqref="B53">
    <cfRule type="containsText" dxfId="2735" priority="920" operator="containsText" text="Aprobado en otro curso">
      <formula>NOT(ISERROR(SEARCH("Aprobado en otro curso",B53)))</formula>
    </cfRule>
  </conditionalFormatting>
  <conditionalFormatting sqref="A54">
    <cfRule type="expression" dxfId="2734" priority="915">
      <formula>AND(OR(ROW()=CELL("row"),COLUMN()=CELL("col")),NOT(ISBLANK($C54)),NOT(ISBLANK($B54)),ROW()&gt;2,COLUMN()&gt;1)</formula>
    </cfRule>
  </conditionalFormatting>
  <conditionalFormatting sqref="A54">
    <cfRule type="expression" dxfId="2733" priority="914">
      <formula>SUM(--ISBLANK($B54:$J54))=COLUMNS($B54:$J54)</formula>
    </cfRule>
  </conditionalFormatting>
  <conditionalFormatting sqref="A54">
    <cfRule type="containsText" dxfId="2732" priority="916" operator="containsText" text="NP">
      <formula>NOT(ISERROR(SEARCH("NP",A54)))</formula>
    </cfRule>
  </conditionalFormatting>
  <conditionalFormatting sqref="A54">
    <cfRule type="expression" dxfId="2731" priority="913">
      <formula>ISBLANK(A54)</formula>
    </cfRule>
  </conditionalFormatting>
  <conditionalFormatting sqref="B54">
    <cfRule type="containsText" dxfId="2730" priority="911" operator="containsText" text="NP">
      <formula>NOT(ISERROR(SEARCH("NP",B54)))</formula>
    </cfRule>
    <cfRule type="cellIs" dxfId="2729" priority="912" operator="lessThan">
      <formula>5</formula>
    </cfRule>
  </conditionalFormatting>
  <conditionalFormatting sqref="B54">
    <cfRule type="expression" dxfId="2728" priority="909">
      <formula>AND(OR(ROW()=CELL("row"),COLUMN()=CELL("col")),NOT(ISBLANK($C54)),NOT(ISBLANK($B54)),ROW()&gt;2,COLUMN()&gt;1)</formula>
    </cfRule>
  </conditionalFormatting>
  <conditionalFormatting sqref="B54">
    <cfRule type="expression" dxfId="2727" priority="908">
      <formula>SUM(--ISBLANK($B54:$J54))=COLUMNS($B54:$J54)</formula>
    </cfRule>
  </conditionalFormatting>
  <conditionalFormatting sqref="B54">
    <cfRule type="containsText" dxfId="2726" priority="910" operator="containsText" text="NP">
      <formula>NOT(ISERROR(SEARCH("NP",B54)))</formula>
    </cfRule>
  </conditionalFormatting>
  <conditionalFormatting sqref="B54">
    <cfRule type="expression" dxfId="2725" priority="907">
      <formula>ISBLANK(B54)</formula>
    </cfRule>
  </conditionalFormatting>
  <conditionalFormatting sqref="B54">
    <cfRule type="expression" dxfId="2724" priority="905">
      <formula>AND(ISNUMBER(B54), OR(B54&gt;10, B54&lt;0))</formula>
    </cfRule>
  </conditionalFormatting>
  <conditionalFormatting sqref="B54">
    <cfRule type="expression" dxfId="2723" priority="904">
      <formula>AND(NOT(ISNUMBER(B54)), B54&lt;&gt;"NP", B54&lt;&gt;"Reconocimiento Créditos", B54&lt;&gt;"Aprobado en otro curso")</formula>
    </cfRule>
  </conditionalFormatting>
  <conditionalFormatting sqref="B54">
    <cfRule type="containsText" dxfId="2722" priority="903" operator="containsText" text="Reconocimiento Créditos">
      <formula>NOT(ISERROR(SEARCH("Reconocimiento Créditos",B54)))</formula>
    </cfRule>
  </conditionalFormatting>
  <conditionalFormatting sqref="B54">
    <cfRule type="containsText" dxfId="2721" priority="906" operator="containsText" text="Aprobado en otro curso">
      <formula>NOT(ISERROR(SEARCH("Aprobado en otro curso",B54)))</formula>
    </cfRule>
  </conditionalFormatting>
  <conditionalFormatting sqref="A55">
    <cfRule type="expression" dxfId="2720" priority="901">
      <formula>AND(OR(ROW()=CELL("row"),COLUMN()=CELL("col")),NOT(ISBLANK($C55)),NOT(ISBLANK($B55)),ROW()&gt;2,COLUMN()&gt;1)</formula>
    </cfRule>
  </conditionalFormatting>
  <conditionalFormatting sqref="A55">
    <cfRule type="expression" dxfId="2719" priority="900">
      <formula>SUM(--ISBLANK($B55:$J55))=COLUMNS($B55:$J55)</formula>
    </cfRule>
  </conditionalFormatting>
  <conditionalFormatting sqref="A55">
    <cfRule type="containsText" dxfId="2718" priority="902" operator="containsText" text="NP">
      <formula>NOT(ISERROR(SEARCH("NP",A55)))</formula>
    </cfRule>
  </conditionalFormatting>
  <conditionalFormatting sqref="A55">
    <cfRule type="expression" dxfId="2717" priority="899">
      <formula>ISBLANK(A55)</formula>
    </cfRule>
  </conditionalFormatting>
  <conditionalFormatting sqref="B55">
    <cfRule type="containsText" dxfId="2716" priority="897" operator="containsText" text="NP">
      <formula>NOT(ISERROR(SEARCH("NP",B55)))</formula>
    </cfRule>
    <cfRule type="cellIs" dxfId="2715" priority="898" operator="lessThan">
      <formula>5</formula>
    </cfRule>
  </conditionalFormatting>
  <conditionalFormatting sqref="B55">
    <cfRule type="expression" dxfId="2714" priority="895">
      <formula>AND(OR(ROW()=CELL("row"),COLUMN()=CELL("col")),NOT(ISBLANK($C55)),NOT(ISBLANK($B55)),ROW()&gt;2,COLUMN()&gt;1)</formula>
    </cfRule>
  </conditionalFormatting>
  <conditionalFormatting sqref="B55">
    <cfRule type="expression" dxfId="2713" priority="894">
      <formula>SUM(--ISBLANK($B55:$J55))=COLUMNS($B55:$J55)</formula>
    </cfRule>
  </conditionalFormatting>
  <conditionalFormatting sqref="B55">
    <cfRule type="containsText" dxfId="2712" priority="896" operator="containsText" text="NP">
      <formula>NOT(ISERROR(SEARCH("NP",B55)))</formula>
    </cfRule>
  </conditionalFormatting>
  <conditionalFormatting sqref="B55">
    <cfRule type="expression" dxfId="2711" priority="893">
      <formula>ISBLANK(B55)</formula>
    </cfRule>
  </conditionalFormatting>
  <conditionalFormatting sqref="B55">
    <cfRule type="expression" dxfId="2710" priority="891">
      <formula>AND(ISNUMBER(B55), OR(B55&gt;10, B55&lt;0))</formula>
    </cfRule>
  </conditionalFormatting>
  <conditionalFormatting sqref="B55">
    <cfRule type="expression" dxfId="2709" priority="890">
      <formula>AND(NOT(ISNUMBER(B55)), B55&lt;&gt;"NP", B55&lt;&gt;"Reconocimiento Créditos", B55&lt;&gt;"Aprobado en otro curso")</formula>
    </cfRule>
  </conditionalFormatting>
  <conditionalFormatting sqref="B55">
    <cfRule type="containsText" dxfId="2708" priority="889" operator="containsText" text="Reconocimiento Créditos">
      <formula>NOT(ISERROR(SEARCH("Reconocimiento Créditos",B55)))</formula>
    </cfRule>
  </conditionalFormatting>
  <conditionalFormatting sqref="B55">
    <cfRule type="containsText" dxfId="2707" priority="892" operator="containsText" text="Aprobado en otro curso">
      <formula>NOT(ISERROR(SEARCH("Aprobado en otro curso",B55)))</formula>
    </cfRule>
  </conditionalFormatting>
  <conditionalFormatting sqref="A56">
    <cfRule type="expression" dxfId="2706" priority="887">
      <formula>AND(OR(ROW()=CELL("row"),COLUMN()=CELL("col")),NOT(ISBLANK($C56)),NOT(ISBLANK($B56)),ROW()&gt;2,COLUMN()&gt;1)</formula>
    </cfRule>
  </conditionalFormatting>
  <conditionalFormatting sqref="A56">
    <cfRule type="expression" dxfId="2705" priority="886">
      <formula>SUM(--ISBLANK($B56:$J56))=COLUMNS($B56:$J56)</formula>
    </cfRule>
  </conditionalFormatting>
  <conditionalFormatting sqref="A56">
    <cfRule type="containsText" dxfId="2704" priority="888" operator="containsText" text="NP">
      <formula>NOT(ISERROR(SEARCH("NP",A56)))</formula>
    </cfRule>
  </conditionalFormatting>
  <conditionalFormatting sqref="A56">
    <cfRule type="expression" dxfId="2703" priority="885">
      <formula>ISBLANK(A56)</formula>
    </cfRule>
  </conditionalFormatting>
  <conditionalFormatting sqref="B56">
    <cfRule type="containsText" dxfId="2702" priority="883" operator="containsText" text="NP">
      <formula>NOT(ISERROR(SEARCH("NP",B56)))</formula>
    </cfRule>
    <cfRule type="cellIs" dxfId="2701" priority="884" operator="lessThan">
      <formula>5</formula>
    </cfRule>
  </conditionalFormatting>
  <conditionalFormatting sqref="B56">
    <cfRule type="expression" dxfId="2700" priority="881">
      <formula>AND(OR(ROW()=CELL("row"),COLUMN()=CELL("col")),NOT(ISBLANK($C56)),NOT(ISBLANK($B56)),ROW()&gt;2,COLUMN()&gt;1)</formula>
    </cfRule>
  </conditionalFormatting>
  <conditionalFormatting sqref="B56">
    <cfRule type="expression" dxfId="2699" priority="880">
      <formula>SUM(--ISBLANK($B56:$J56))=COLUMNS($B56:$J56)</formula>
    </cfRule>
  </conditionalFormatting>
  <conditionalFormatting sqref="B56">
    <cfRule type="containsText" dxfId="2698" priority="882" operator="containsText" text="NP">
      <formula>NOT(ISERROR(SEARCH("NP",B56)))</formula>
    </cfRule>
  </conditionalFormatting>
  <conditionalFormatting sqref="B56">
    <cfRule type="expression" dxfId="2697" priority="879">
      <formula>ISBLANK(B56)</formula>
    </cfRule>
  </conditionalFormatting>
  <conditionalFormatting sqref="B56">
    <cfRule type="expression" dxfId="2696" priority="877">
      <formula>AND(ISNUMBER(B56), OR(B56&gt;10, B56&lt;0))</formula>
    </cfRule>
  </conditionalFormatting>
  <conditionalFormatting sqref="B56">
    <cfRule type="expression" dxfId="2695" priority="876">
      <formula>AND(NOT(ISNUMBER(B56)), B56&lt;&gt;"NP", B56&lt;&gt;"Reconocimiento Créditos", B56&lt;&gt;"Aprobado en otro curso")</formula>
    </cfRule>
  </conditionalFormatting>
  <conditionalFormatting sqref="B56">
    <cfRule type="containsText" dxfId="2694" priority="875" operator="containsText" text="Reconocimiento Créditos">
      <formula>NOT(ISERROR(SEARCH("Reconocimiento Créditos",B56)))</formula>
    </cfRule>
  </conditionalFormatting>
  <conditionalFormatting sqref="B56">
    <cfRule type="containsText" dxfId="2693" priority="878" operator="containsText" text="Aprobado en otro curso">
      <formula>NOT(ISERROR(SEARCH("Aprobado en otro curso",B56)))</formula>
    </cfRule>
  </conditionalFormatting>
  <conditionalFormatting sqref="A57">
    <cfRule type="expression" dxfId="2692" priority="873">
      <formula>AND(OR(ROW()=CELL("row"),COLUMN()=CELL("col")),NOT(ISBLANK($C57)),NOT(ISBLANK($B57)),ROW()&gt;2,COLUMN()&gt;1)</formula>
    </cfRule>
  </conditionalFormatting>
  <conditionalFormatting sqref="A57">
    <cfRule type="expression" dxfId="2691" priority="872">
      <formula>SUM(--ISBLANK($B57:$J57))=COLUMNS($B57:$J57)</formula>
    </cfRule>
  </conditionalFormatting>
  <conditionalFormatting sqref="A57">
    <cfRule type="containsText" dxfId="2690" priority="874" operator="containsText" text="NP">
      <formula>NOT(ISERROR(SEARCH("NP",A57)))</formula>
    </cfRule>
  </conditionalFormatting>
  <conditionalFormatting sqref="A57">
    <cfRule type="expression" dxfId="2689" priority="871">
      <formula>ISBLANK(A57)</formula>
    </cfRule>
  </conditionalFormatting>
  <conditionalFormatting sqref="B57">
    <cfRule type="containsText" dxfId="2688" priority="869" operator="containsText" text="NP">
      <formula>NOT(ISERROR(SEARCH("NP",B57)))</formula>
    </cfRule>
    <cfRule type="cellIs" dxfId="2687" priority="870" operator="lessThan">
      <formula>5</formula>
    </cfRule>
  </conditionalFormatting>
  <conditionalFormatting sqref="B57">
    <cfRule type="expression" dxfId="2686" priority="867">
      <formula>AND(OR(ROW()=CELL("row"),COLUMN()=CELL("col")),NOT(ISBLANK($C57)),NOT(ISBLANK($B57)),ROW()&gt;2,COLUMN()&gt;1)</formula>
    </cfRule>
  </conditionalFormatting>
  <conditionalFormatting sqref="B57">
    <cfRule type="expression" dxfId="2685" priority="866">
      <formula>SUM(--ISBLANK($B57:$J57))=COLUMNS($B57:$J57)</formula>
    </cfRule>
  </conditionalFormatting>
  <conditionalFormatting sqref="B57">
    <cfRule type="containsText" dxfId="2684" priority="868" operator="containsText" text="NP">
      <formula>NOT(ISERROR(SEARCH("NP",B57)))</formula>
    </cfRule>
  </conditionalFormatting>
  <conditionalFormatting sqref="B57">
    <cfRule type="expression" dxfId="2683" priority="865">
      <formula>ISBLANK(B57)</formula>
    </cfRule>
  </conditionalFormatting>
  <conditionalFormatting sqref="B57">
    <cfRule type="expression" dxfId="2682" priority="863">
      <formula>AND(ISNUMBER(B57), OR(B57&gt;10, B57&lt;0))</formula>
    </cfRule>
  </conditionalFormatting>
  <conditionalFormatting sqref="B57">
    <cfRule type="expression" dxfId="2681" priority="862">
      <formula>AND(NOT(ISNUMBER(B57)), B57&lt;&gt;"NP", B57&lt;&gt;"Reconocimiento Créditos", B57&lt;&gt;"Aprobado en otro curso")</formula>
    </cfRule>
  </conditionalFormatting>
  <conditionalFormatting sqref="B57">
    <cfRule type="containsText" dxfId="2680" priority="861" operator="containsText" text="Reconocimiento Créditos">
      <formula>NOT(ISERROR(SEARCH("Reconocimiento Créditos",B57)))</formula>
    </cfRule>
  </conditionalFormatting>
  <conditionalFormatting sqref="B57">
    <cfRule type="containsText" dxfId="2679" priority="864" operator="containsText" text="Aprobado en otro curso">
      <formula>NOT(ISERROR(SEARCH("Aprobado en otro curso",B57)))</formula>
    </cfRule>
  </conditionalFormatting>
  <conditionalFormatting sqref="A58">
    <cfRule type="expression" dxfId="2678" priority="859">
      <formula>AND(OR(ROW()=CELL("row"),COLUMN()=CELL("col")),NOT(ISBLANK($C58)),NOT(ISBLANK($B58)),ROW()&gt;2,COLUMN()&gt;1)</formula>
    </cfRule>
  </conditionalFormatting>
  <conditionalFormatting sqref="A58">
    <cfRule type="expression" dxfId="2677" priority="858">
      <formula>SUM(--ISBLANK($B58:$J58))=COLUMNS($B58:$J58)</formula>
    </cfRule>
  </conditionalFormatting>
  <conditionalFormatting sqref="A58">
    <cfRule type="containsText" dxfId="2676" priority="860" operator="containsText" text="NP">
      <formula>NOT(ISERROR(SEARCH("NP",A58)))</formula>
    </cfRule>
  </conditionalFormatting>
  <conditionalFormatting sqref="A58">
    <cfRule type="expression" dxfId="2675" priority="857">
      <formula>ISBLANK(A58)</formula>
    </cfRule>
  </conditionalFormatting>
  <conditionalFormatting sqref="B58">
    <cfRule type="containsText" dxfId="2674" priority="855" operator="containsText" text="NP">
      <formula>NOT(ISERROR(SEARCH("NP",B58)))</formula>
    </cfRule>
    <cfRule type="cellIs" dxfId="2673" priority="856" operator="lessThan">
      <formula>5</formula>
    </cfRule>
  </conditionalFormatting>
  <conditionalFormatting sqref="B58">
    <cfRule type="expression" dxfId="2672" priority="853">
      <formula>AND(OR(ROW()=CELL("row"),COLUMN()=CELL("col")),NOT(ISBLANK($C58)),NOT(ISBLANK($B58)),ROW()&gt;2,COLUMN()&gt;1)</formula>
    </cfRule>
  </conditionalFormatting>
  <conditionalFormatting sqref="B58">
    <cfRule type="expression" dxfId="2671" priority="852">
      <formula>SUM(--ISBLANK($B58:$J58))=COLUMNS($B58:$J58)</formula>
    </cfRule>
  </conditionalFormatting>
  <conditionalFormatting sqref="B58">
    <cfRule type="containsText" dxfId="2670" priority="854" operator="containsText" text="NP">
      <formula>NOT(ISERROR(SEARCH("NP",B58)))</formula>
    </cfRule>
  </conditionalFormatting>
  <conditionalFormatting sqref="B58">
    <cfRule type="expression" dxfId="2669" priority="851">
      <formula>ISBLANK(B58)</formula>
    </cfRule>
  </conditionalFormatting>
  <conditionalFormatting sqref="B58">
    <cfRule type="expression" dxfId="2668" priority="849">
      <formula>AND(ISNUMBER(B58), OR(B58&gt;10, B58&lt;0))</formula>
    </cfRule>
  </conditionalFormatting>
  <conditionalFormatting sqref="B58">
    <cfRule type="containsText" dxfId="2667" priority="848" operator="containsText" text="Reconocimiento Créditos">
      <formula>NOT(ISERROR(SEARCH("Reconocimiento Créditos",B58)))</formula>
    </cfRule>
  </conditionalFormatting>
  <conditionalFormatting sqref="B58">
    <cfRule type="containsText" dxfId="2666" priority="850" operator="containsText" text="Aprobado en otro curso">
      <formula>NOT(ISERROR(SEARCH("Aprobado en otro curso",B58)))</formula>
    </cfRule>
  </conditionalFormatting>
  <conditionalFormatting sqref="A59">
    <cfRule type="expression" dxfId="2665" priority="846">
      <formula>AND(OR(ROW()=CELL("row"),COLUMN()=CELL("col")),NOT(ISBLANK($C59)),NOT(ISBLANK($B59)),ROW()&gt;2,COLUMN()&gt;1)</formula>
    </cfRule>
  </conditionalFormatting>
  <conditionalFormatting sqref="A59">
    <cfRule type="expression" dxfId="2664" priority="845">
      <formula>SUM(--ISBLANK($B59:$J59))=COLUMNS($B59:$J59)</formula>
    </cfRule>
  </conditionalFormatting>
  <conditionalFormatting sqref="A59">
    <cfRule type="containsText" dxfId="2663" priority="847" operator="containsText" text="NP">
      <formula>NOT(ISERROR(SEARCH("NP",A59)))</formula>
    </cfRule>
  </conditionalFormatting>
  <conditionalFormatting sqref="A59">
    <cfRule type="expression" dxfId="2662" priority="844">
      <formula>ISBLANK(A59)</formula>
    </cfRule>
  </conditionalFormatting>
  <conditionalFormatting sqref="B59">
    <cfRule type="containsText" dxfId="2661" priority="842" operator="containsText" text="NP">
      <formula>NOT(ISERROR(SEARCH("NP",B59)))</formula>
    </cfRule>
    <cfRule type="cellIs" dxfId="2660" priority="843" operator="lessThan">
      <formula>5</formula>
    </cfRule>
  </conditionalFormatting>
  <conditionalFormatting sqref="B59">
    <cfRule type="expression" dxfId="2659" priority="840">
      <formula>AND(OR(ROW()=CELL("row"),COLUMN()=CELL("col")),NOT(ISBLANK($C59)),NOT(ISBLANK($B59)),ROW()&gt;2,COLUMN()&gt;1)</formula>
    </cfRule>
  </conditionalFormatting>
  <conditionalFormatting sqref="B59">
    <cfRule type="expression" dxfId="2658" priority="839">
      <formula>SUM(--ISBLANK($B59:$J59))=COLUMNS($B59:$J59)</formula>
    </cfRule>
  </conditionalFormatting>
  <conditionalFormatting sqref="B59">
    <cfRule type="containsText" dxfId="2657" priority="841" operator="containsText" text="NP">
      <formula>NOT(ISERROR(SEARCH("NP",B59)))</formula>
    </cfRule>
  </conditionalFormatting>
  <conditionalFormatting sqref="B59">
    <cfRule type="expression" dxfId="2656" priority="838">
      <formula>ISBLANK(B59)</formula>
    </cfRule>
  </conditionalFormatting>
  <conditionalFormatting sqref="B59">
    <cfRule type="expression" dxfId="2655" priority="836">
      <formula>AND(ISNUMBER(B59), OR(B59&gt;10, B59&lt;0))</formula>
    </cfRule>
  </conditionalFormatting>
  <conditionalFormatting sqref="B59">
    <cfRule type="expression" dxfId="2654" priority="835">
      <formula>AND(NOT(ISNUMBER(B59)), B59&lt;&gt;"NP", B59&lt;&gt;"Reconocimiento Créditos", B59&lt;&gt;"Aprobado en otro curso")</formula>
    </cfRule>
  </conditionalFormatting>
  <conditionalFormatting sqref="B59">
    <cfRule type="containsText" dxfId="2653" priority="834" operator="containsText" text="Reconocimiento Créditos">
      <formula>NOT(ISERROR(SEARCH("Reconocimiento Créditos",B59)))</formula>
    </cfRule>
  </conditionalFormatting>
  <conditionalFormatting sqref="B59">
    <cfRule type="containsText" dxfId="2652" priority="837" operator="containsText" text="Aprobado en otro curso">
      <formula>NOT(ISERROR(SEARCH("Aprobado en otro curso",B59)))</formula>
    </cfRule>
  </conditionalFormatting>
  <conditionalFormatting sqref="A60">
    <cfRule type="expression" dxfId="2651" priority="832">
      <formula>AND(OR(ROW()=CELL("row"),COLUMN()=CELL("col")),NOT(ISBLANK($C60)),NOT(ISBLANK($B60)),ROW()&gt;2,COLUMN()&gt;1)</formula>
    </cfRule>
  </conditionalFormatting>
  <conditionalFormatting sqref="A60">
    <cfRule type="expression" dxfId="2650" priority="831">
      <formula>SUM(--ISBLANK($B60:$J60))=COLUMNS($B60:$J60)</formula>
    </cfRule>
  </conditionalFormatting>
  <conditionalFormatting sqref="A60">
    <cfRule type="containsText" dxfId="2649" priority="833" operator="containsText" text="NP">
      <formula>NOT(ISERROR(SEARCH("NP",A60)))</formula>
    </cfRule>
  </conditionalFormatting>
  <conditionalFormatting sqref="A60">
    <cfRule type="expression" dxfId="2648" priority="830">
      <formula>ISBLANK(A60)</formula>
    </cfRule>
  </conditionalFormatting>
  <conditionalFormatting sqref="B60">
    <cfRule type="containsText" dxfId="2647" priority="828" operator="containsText" text="NP">
      <formula>NOT(ISERROR(SEARCH("NP",B60)))</formula>
    </cfRule>
    <cfRule type="cellIs" dxfId="2646" priority="829" operator="lessThan">
      <formula>5</formula>
    </cfRule>
  </conditionalFormatting>
  <conditionalFormatting sqref="B60">
    <cfRule type="expression" dxfId="2645" priority="826">
      <formula>AND(OR(ROW()=CELL("row"),COLUMN()=CELL("col")),NOT(ISBLANK($C60)),NOT(ISBLANK($B60)),ROW()&gt;2,COLUMN()&gt;1)</formula>
    </cfRule>
  </conditionalFormatting>
  <conditionalFormatting sqref="B60">
    <cfRule type="expression" dxfId="2644" priority="825">
      <formula>SUM(--ISBLANK($B60:$J60))=COLUMNS($B60:$J60)</formula>
    </cfRule>
  </conditionalFormatting>
  <conditionalFormatting sqref="B60">
    <cfRule type="containsText" dxfId="2643" priority="827" operator="containsText" text="NP">
      <formula>NOT(ISERROR(SEARCH("NP",B60)))</formula>
    </cfRule>
  </conditionalFormatting>
  <conditionalFormatting sqref="B60">
    <cfRule type="expression" dxfId="2642" priority="824">
      <formula>ISBLANK(B60)</formula>
    </cfRule>
  </conditionalFormatting>
  <conditionalFormatting sqref="B60">
    <cfRule type="expression" dxfId="2641" priority="822">
      <formula>AND(ISNUMBER(B60), OR(B60&gt;10, B60&lt;0))</formula>
    </cfRule>
  </conditionalFormatting>
  <conditionalFormatting sqref="B60">
    <cfRule type="expression" dxfId="2640" priority="821">
      <formula>AND(NOT(ISNUMBER(B60)), B60&lt;&gt;"NP", B60&lt;&gt;"Reconocimiento Créditos", B60&lt;&gt;"Aprobado en otro curso")</formula>
    </cfRule>
  </conditionalFormatting>
  <conditionalFormatting sqref="B60">
    <cfRule type="containsText" dxfId="2639" priority="820" operator="containsText" text="Reconocimiento Créditos">
      <formula>NOT(ISERROR(SEARCH("Reconocimiento Créditos",B60)))</formula>
    </cfRule>
  </conditionalFormatting>
  <conditionalFormatting sqref="B60">
    <cfRule type="containsText" dxfId="2638" priority="823" operator="containsText" text="Aprobado en otro curso">
      <formula>NOT(ISERROR(SEARCH("Aprobado en otro curso",B60)))</formula>
    </cfRule>
  </conditionalFormatting>
  <conditionalFormatting sqref="A61">
    <cfRule type="expression" dxfId="2637" priority="818">
      <formula>AND(OR(ROW()=CELL("row"),COLUMN()=CELL("col")),NOT(ISBLANK($C61)),NOT(ISBLANK($B61)),ROW()&gt;2,COLUMN()&gt;1)</formula>
    </cfRule>
  </conditionalFormatting>
  <conditionalFormatting sqref="A61">
    <cfRule type="expression" dxfId="2636" priority="817">
      <formula>SUM(--ISBLANK($B61:$J61))=COLUMNS($B61:$J61)</formula>
    </cfRule>
  </conditionalFormatting>
  <conditionalFormatting sqref="A61">
    <cfRule type="containsText" dxfId="2635" priority="819" operator="containsText" text="NP">
      <formula>NOT(ISERROR(SEARCH("NP",A61)))</formula>
    </cfRule>
  </conditionalFormatting>
  <conditionalFormatting sqref="A61">
    <cfRule type="expression" dxfId="2634" priority="816">
      <formula>ISBLANK(A61)</formula>
    </cfRule>
  </conditionalFormatting>
  <conditionalFormatting sqref="B61">
    <cfRule type="containsText" dxfId="2633" priority="814" operator="containsText" text="NP">
      <formula>NOT(ISERROR(SEARCH("NP",B61)))</formula>
    </cfRule>
    <cfRule type="cellIs" dxfId="2632" priority="815" operator="lessThan">
      <formula>5</formula>
    </cfRule>
  </conditionalFormatting>
  <conditionalFormatting sqref="B61">
    <cfRule type="expression" dxfId="2631" priority="812">
      <formula>AND(OR(ROW()=CELL("row"),COLUMN()=CELL("col")),NOT(ISBLANK($C61)),NOT(ISBLANK($B61)),ROW()&gt;2,COLUMN()&gt;1)</formula>
    </cfRule>
  </conditionalFormatting>
  <conditionalFormatting sqref="B61">
    <cfRule type="expression" dxfId="2630" priority="811">
      <formula>SUM(--ISBLANK($B61:$J61))=COLUMNS($B61:$J61)</formula>
    </cfRule>
  </conditionalFormatting>
  <conditionalFormatting sqref="B61">
    <cfRule type="containsText" dxfId="2629" priority="813" operator="containsText" text="NP">
      <formula>NOT(ISERROR(SEARCH("NP",B61)))</formula>
    </cfRule>
  </conditionalFormatting>
  <conditionalFormatting sqref="B61">
    <cfRule type="expression" dxfId="2628" priority="810">
      <formula>ISBLANK(B61)</formula>
    </cfRule>
  </conditionalFormatting>
  <conditionalFormatting sqref="B61">
    <cfRule type="expression" dxfId="2627" priority="808">
      <formula>AND(ISNUMBER(B61), OR(B61&gt;10, B61&lt;0))</formula>
    </cfRule>
  </conditionalFormatting>
  <conditionalFormatting sqref="B61">
    <cfRule type="expression" dxfId="2626" priority="807">
      <formula>AND(NOT(ISNUMBER(B61)), B61&lt;&gt;"NP", B61&lt;&gt;"Reconocimiento Créditos", B61&lt;&gt;"Aprobado en otro curso")</formula>
    </cfRule>
  </conditionalFormatting>
  <conditionalFormatting sqref="B61">
    <cfRule type="containsText" dxfId="2625" priority="806" operator="containsText" text="Reconocimiento Créditos">
      <formula>NOT(ISERROR(SEARCH("Reconocimiento Créditos",B61)))</formula>
    </cfRule>
  </conditionalFormatting>
  <conditionalFormatting sqref="B61">
    <cfRule type="containsText" dxfId="2624" priority="809" operator="containsText" text="Aprobado en otro curso">
      <formula>NOT(ISERROR(SEARCH("Aprobado en otro curso",B61)))</formula>
    </cfRule>
  </conditionalFormatting>
  <conditionalFormatting sqref="A62">
    <cfRule type="expression" dxfId="2623" priority="804">
      <formula>AND(OR(ROW()=CELL("row"),COLUMN()=CELL("col")),NOT(ISBLANK($C62)),NOT(ISBLANK($B62)),ROW()&gt;2,COLUMN()&gt;1)</formula>
    </cfRule>
  </conditionalFormatting>
  <conditionalFormatting sqref="A62">
    <cfRule type="expression" dxfId="2622" priority="803">
      <formula>SUM(--ISBLANK($B62:$J62))=COLUMNS($B62:$J62)</formula>
    </cfRule>
  </conditionalFormatting>
  <conditionalFormatting sqref="A62">
    <cfRule type="containsText" dxfId="2621" priority="805" operator="containsText" text="NP">
      <formula>NOT(ISERROR(SEARCH("NP",A62)))</formula>
    </cfRule>
  </conditionalFormatting>
  <conditionalFormatting sqref="A62">
    <cfRule type="expression" dxfId="2620" priority="802">
      <formula>ISBLANK(A62)</formula>
    </cfRule>
  </conditionalFormatting>
  <conditionalFormatting sqref="B62">
    <cfRule type="containsText" dxfId="2619" priority="800" operator="containsText" text="NP">
      <formula>NOT(ISERROR(SEARCH("NP",B62)))</formula>
    </cfRule>
    <cfRule type="cellIs" dxfId="2618" priority="801" operator="lessThan">
      <formula>5</formula>
    </cfRule>
  </conditionalFormatting>
  <conditionalFormatting sqref="B62">
    <cfRule type="expression" dxfId="2617" priority="798">
      <formula>AND(OR(ROW()=CELL("row"),COLUMN()=CELL("col")),NOT(ISBLANK($C62)),NOT(ISBLANK($B62)),ROW()&gt;2,COLUMN()&gt;1)</formula>
    </cfRule>
  </conditionalFormatting>
  <conditionalFormatting sqref="B62">
    <cfRule type="expression" dxfId="2616" priority="797">
      <formula>SUM(--ISBLANK($B62:$J62))=COLUMNS($B62:$J62)</formula>
    </cfRule>
  </conditionalFormatting>
  <conditionalFormatting sqref="B62">
    <cfRule type="containsText" dxfId="2615" priority="799" operator="containsText" text="NP">
      <formula>NOT(ISERROR(SEARCH("NP",B62)))</formula>
    </cfRule>
  </conditionalFormatting>
  <conditionalFormatting sqref="B62">
    <cfRule type="expression" dxfId="2614" priority="796">
      <formula>ISBLANK(B62)</formula>
    </cfRule>
  </conditionalFormatting>
  <conditionalFormatting sqref="B62">
    <cfRule type="expression" dxfId="2613" priority="794">
      <formula>AND(ISNUMBER(B62), OR(B62&gt;10, B62&lt;0))</formula>
    </cfRule>
  </conditionalFormatting>
  <conditionalFormatting sqref="B62">
    <cfRule type="expression" dxfId="2612" priority="793">
      <formula>AND(NOT(ISNUMBER(B62)), B62&lt;&gt;"NP", B62&lt;&gt;"Reconocimiento Créditos", B62&lt;&gt;"Aprobado en otro curso")</formula>
    </cfRule>
  </conditionalFormatting>
  <conditionalFormatting sqref="B62">
    <cfRule type="containsText" dxfId="2611" priority="792" operator="containsText" text="Reconocimiento Créditos">
      <formula>NOT(ISERROR(SEARCH("Reconocimiento Créditos",B62)))</formula>
    </cfRule>
  </conditionalFormatting>
  <conditionalFormatting sqref="B62">
    <cfRule type="containsText" dxfId="2610" priority="795" operator="containsText" text="Aprobado en otro curso">
      <formula>NOT(ISERROR(SEARCH("Aprobado en otro curso",B62)))</formula>
    </cfRule>
  </conditionalFormatting>
  <conditionalFormatting sqref="A63">
    <cfRule type="expression" dxfId="2609" priority="790">
      <formula>AND(OR(ROW()=CELL("row"),COLUMN()=CELL("col")),NOT(ISBLANK($C63)),NOT(ISBLANK($B63)),ROW()&gt;2,COLUMN()&gt;1)</formula>
    </cfRule>
  </conditionalFormatting>
  <conditionalFormatting sqref="A63">
    <cfRule type="expression" dxfId="2608" priority="789">
      <formula>SUM(--ISBLANK($B63:$J63))=COLUMNS($B63:$J63)</formula>
    </cfRule>
  </conditionalFormatting>
  <conditionalFormatting sqref="A63">
    <cfRule type="containsText" dxfId="2607" priority="791" operator="containsText" text="NP">
      <formula>NOT(ISERROR(SEARCH("NP",A63)))</formula>
    </cfRule>
  </conditionalFormatting>
  <conditionalFormatting sqref="A63">
    <cfRule type="expression" dxfId="2606" priority="788">
      <formula>ISBLANK(A63)</formula>
    </cfRule>
  </conditionalFormatting>
  <conditionalFormatting sqref="B63">
    <cfRule type="containsText" dxfId="2605" priority="786" operator="containsText" text="NP">
      <formula>NOT(ISERROR(SEARCH("NP",B63)))</formula>
    </cfRule>
    <cfRule type="cellIs" dxfId="2604" priority="787" operator="lessThan">
      <formula>5</formula>
    </cfRule>
  </conditionalFormatting>
  <conditionalFormatting sqref="B63">
    <cfRule type="expression" dxfId="2603" priority="784">
      <formula>AND(OR(ROW()=CELL("row"),COLUMN()=CELL("col")),NOT(ISBLANK($C63)),NOT(ISBLANK($B63)),ROW()&gt;2,COLUMN()&gt;1)</formula>
    </cfRule>
  </conditionalFormatting>
  <conditionalFormatting sqref="B63">
    <cfRule type="expression" dxfId="2602" priority="783">
      <formula>SUM(--ISBLANK($B63:$J63))=COLUMNS($B63:$J63)</formula>
    </cfRule>
  </conditionalFormatting>
  <conditionalFormatting sqref="B63">
    <cfRule type="containsText" dxfId="2601" priority="785" operator="containsText" text="NP">
      <formula>NOT(ISERROR(SEARCH("NP",B63)))</formula>
    </cfRule>
  </conditionalFormatting>
  <conditionalFormatting sqref="B63">
    <cfRule type="expression" dxfId="2600" priority="782">
      <formula>ISBLANK(B63)</formula>
    </cfRule>
  </conditionalFormatting>
  <conditionalFormatting sqref="B63">
    <cfRule type="expression" dxfId="2599" priority="780">
      <formula>AND(ISNUMBER(B63), OR(B63&gt;10, B63&lt;0))</formula>
    </cfRule>
  </conditionalFormatting>
  <conditionalFormatting sqref="B63">
    <cfRule type="expression" dxfId="2598" priority="779">
      <formula>AND(NOT(ISNUMBER(B63)), B63&lt;&gt;"NP", B63&lt;&gt;"Reconocimiento Créditos", B63&lt;&gt;"Aprobado en otro curso")</formula>
    </cfRule>
  </conditionalFormatting>
  <conditionalFormatting sqref="B63">
    <cfRule type="containsText" dxfId="2597" priority="778" operator="containsText" text="Reconocimiento Créditos">
      <formula>NOT(ISERROR(SEARCH("Reconocimiento Créditos",B63)))</formula>
    </cfRule>
  </conditionalFormatting>
  <conditionalFormatting sqref="B63">
    <cfRule type="containsText" dxfId="2596" priority="781" operator="containsText" text="Aprobado en otro curso">
      <formula>NOT(ISERROR(SEARCH("Aprobado en otro curso",B63)))</formula>
    </cfRule>
  </conditionalFormatting>
  <conditionalFormatting sqref="A64">
    <cfRule type="expression" dxfId="2595" priority="776">
      <formula>AND(OR(ROW()=CELL("row"),COLUMN()=CELL("col")),NOT(ISBLANK($C64)),NOT(ISBLANK($B64)),ROW()&gt;2,COLUMN()&gt;1)</formula>
    </cfRule>
  </conditionalFormatting>
  <conditionalFormatting sqref="A64">
    <cfRule type="expression" dxfId="2594" priority="775">
      <formula>SUM(--ISBLANK($B64:$J64))=COLUMNS($B64:$J64)</formula>
    </cfRule>
  </conditionalFormatting>
  <conditionalFormatting sqref="A64">
    <cfRule type="containsText" dxfId="2593" priority="777" operator="containsText" text="NP">
      <formula>NOT(ISERROR(SEARCH("NP",A64)))</formula>
    </cfRule>
  </conditionalFormatting>
  <conditionalFormatting sqref="A64">
    <cfRule type="expression" dxfId="2592" priority="774">
      <formula>ISBLANK(A64)</formula>
    </cfRule>
  </conditionalFormatting>
  <conditionalFormatting sqref="B64">
    <cfRule type="containsText" dxfId="2591" priority="772" operator="containsText" text="NP">
      <formula>NOT(ISERROR(SEARCH("NP",B64)))</formula>
    </cfRule>
    <cfRule type="cellIs" dxfId="2590" priority="773" operator="lessThan">
      <formula>5</formula>
    </cfRule>
  </conditionalFormatting>
  <conditionalFormatting sqref="B64">
    <cfRule type="expression" dxfId="2589" priority="770">
      <formula>AND(OR(ROW()=CELL("row"),COLUMN()=CELL("col")),NOT(ISBLANK($C64)),NOT(ISBLANK($B64)),ROW()&gt;2,COLUMN()&gt;1)</formula>
    </cfRule>
  </conditionalFormatting>
  <conditionalFormatting sqref="B64">
    <cfRule type="expression" dxfId="2588" priority="769">
      <formula>SUM(--ISBLANK($B64:$J64))=COLUMNS($B64:$J64)</formula>
    </cfRule>
  </conditionalFormatting>
  <conditionalFormatting sqref="B64">
    <cfRule type="containsText" dxfId="2587" priority="771" operator="containsText" text="NP">
      <formula>NOT(ISERROR(SEARCH("NP",B64)))</formula>
    </cfRule>
  </conditionalFormatting>
  <conditionalFormatting sqref="B64">
    <cfRule type="expression" dxfId="2586" priority="768">
      <formula>ISBLANK(B64)</formula>
    </cfRule>
  </conditionalFormatting>
  <conditionalFormatting sqref="B64">
    <cfRule type="expression" dxfId="2585" priority="766">
      <formula>AND(ISNUMBER(B64), OR(B64&gt;10, B64&lt;0))</formula>
    </cfRule>
  </conditionalFormatting>
  <conditionalFormatting sqref="B64">
    <cfRule type="expression" dxfId="2584" priority="765">
      <formula>AND(NOT(ISNUMBER(B64)), B64&lt;&gt;"NP", B64&lt;&gt;"Reconocimiento Créditos", B64&lt;&gt;"Aprobado en otro curso")</formula>
    </cfRule>
  </conditionalFormatting>
  <conditionalFormatting sqref="B64">
    <cfRule type="containsText" dxfId="2583" priority="764" operator="containsText" text="Reconocimiento Créditos">
      <formula>NOT(ISERROR(SEARCH("Reconocimiento Créditos",B64)))</formula>
    </cfRule>
  </conditionalFormatting>
  <conditionalFormatting sqref="B64">
    <cfRule type="containsText" dxfId="2582" priority="767" operator="containsText" text="Aprobado en otro curso">
      <formula>NOT(ISERROR(SEARCH("Aprobado en otro curso",B64)))</formula>
    </cfRule>
  </conditionalFormatting>
  <conditionalFormatting sqref="A65">
    <cfRule type="expression" dxfId="2581" priority="762">
      <formula>AND(OR(ROW()=CELL("row"),COLUMN()=CELL("col")),NOT(ISBLANK($C65)),NOT(ISBLANK($B65)),ROW()&gt;2,COLUMN()&gt;1)</formula>
    </cfRule>
  </conditionalFormatting>
  <conditionalFormatting sqref="A65">
    <cfRule type="expression" dxfId="2580" priority="761">
      <formula>SUM(--ISBLANK($B65:$J65))=COLUMNS($B65:$J65)</formula>
    </cfRule>
  </conditionalFormatting>
  <conditionalFormatting sqref="A65">
    <cfRule type="containsText" dxfId="2579" priority="763" operator="containsText" text="NP">
      <formula>NOT(ISERROR(SEARCH("NP",A65)))</formula>
    </cfRule>
  </conditionalFormatting>
  <conditionalFormatting sqref="A65">
    <cfRule type="expression" dxfId="2578" priority="760">
      <formula>ISBLANK(A65)</formula>
    </cfRule>
  </conditionalFormatting>
  <conditionalFormatting sqref="B65">
    <cfRule type="containsText" dxfId="2577" priority="758" operator="containsText" text="NP">
      <formula>NOT(ISERROR(SEARCH("NP",B65)))</formula>
    </cfRule>
    <cfRule type="cellIs" dxfId="2576" priority="759" operator="lessThan">
      <formula>5</formula>
    </cfRule>
  </conditionalFormatting>
  <conditionalFormatting sqref="B65">
    <cfRule type="expression" dxfId="2575" priority="756">
      <formula>AND(OR(ROW()=CELL("row"),COLUMN()=CELL("col")),NOT(ISBLANK($C65)),NOT(ISBLANK($B65)),ROW()&gt;2,COLUMN()&gt;1)</formula>
    </cfRule>
  </conditionalFormatting>
  <conditionalFormatting sqref="B65">
    <cfRule type="expression" dxfId="2574" priority="755">
      <formula>SUM(--ISBLANK($B65:$J65))=COLUMNS($B65:$J65)</formula>
    </cfRule>
  </conditionalFormatting>
  <conditionalFormatting sqref="B65">
    <cfRule type="containsText" dxfId="2573" priority="757" operator="containsText" text="NP">
      <formula>NOT(ISERROR(SEARCH("NP",B65)))</formula>
    </cfRule>
  </conditionalFormatting>
  <conditionalFormatting sqref="B65">
    <cfRule type="expression" dxfId="2572" priority="754">
      <formula>ISBLANK(B65)</formula>
    </cfRule>
  </conditionalFormatting>
  <conditionalFormatting sqref="B65">
    <cfRule type="expression" dxfId="2571" priority="752">
      <formula>AND(ISNUMBER(B65), OR(B65&gt;10, B65&lt;0))</formula>
    </cfRule>
  </conditionalFormatting>
  <conditionalFormatting sqref="B65">
    <cfRule type="expression" dxfId="2570" priority="751">
      <formula>AND(NOT(ISNUMBER(B65)), B65&lt;&gt;"NP", B65&lt;&gt;"Reconocimiento Créditos", B65&lt;&gt;"Aprobado en otro curso")</formula>
    </cfRule>
  </conditionalFormatting>
  <conditionalFormatting sqref="B65">
    <cfRule type="containsText" dxfId="2569" priority="750" operator="containsText" text="Reconocimiento Créditos">
      <formula>NOT(ISERROR(SEARCH("Reconocimiento Créditos",B65)))</formula>
    </cfRule>
  </conditionalFormatting>
  <conditionalFormatting sqref="B65">
    <cfRule type="containsText" dxfId="2568" priority="753" operator="containsText" text="Aprobado en otro curso">
      <formula>NOT(ISERROR(SEARCH("Aprobado en otro curso",B65)))</formula>
    </cfRule>
  </conditionalFormatting>
  <conditionalFormatting sqref="A66">
    <cfRule type="expression" dxfId="2567" priority="748">
      <formula>AND(OR(ROW()=CELL("row"),COLUMN()=CELL("col")),NOT(ISBLANK($C66)),NOT(ISBLANK($B66)),ROW()&gt;2,COLUMN()&gt;1)</formula>
    </cfRule>
  </conditionalFormatting>
  <conditionalFormatting sqref="A66">
    <cfRule type="expression" dxfId="2566" priority="747">
      <formula>SUM(--ISBLANK($B66:$J66))=COLUMNS($B66:$J66)</formula>
    </cfRule>
  </conditionalFormatting>
  <conditionalFormatting sqref="A66">
    <cfRule type="containsText" dxfId="2565" priority="749" operator="containsText" text="NP">
      <formula>NOT(ISERROR(SEARCH("NP",A66)))</formula>
    </cfRule>
  </conditionalFormatting>
  <conditionalFormatting sqref="A66">
    <cfRule type="expression" dxfId="2564" priority="746">
      <formula>ISBLANK(A66)</formula>
    </cfRule>
  </conditionalFormatting>
  <conditionalFormatting sqref="B66">
    <cfRule type="containsText" dxfId="2563" priority="744" operator="containsText" text="NP">
      <formula>NOT(ISERROR(SEARCH("NP",B66)))</formula>
    </cfRule>
    <cfRule type="cellIs" dxfId="2562" priority="745" operator="lessThan">
      <formula>5</formula>
    </cfRule>
  </conditionalFormatting>
  <conditionalFormatting sqref="B66">
    <cfRule type="expression" dxfId="2561" priority="742">
      <formula>AND(OR(ROW()=CELL("row"),COLUMN()=CELL("col")),NOT(ISBLANK($C66)),NOT(ISBLANK($B66)),ROW()&gt;2,COLUMN()&gt;1)</formula>
    </cfRule>
  </conditionalFormatting>
  <conditionalFormatting sqref="B66">
    <cfRule type="expression" dxfId="2560" priority="741">
      <formula>SUM(--ISBLANK($B66:$J66))=COLUMNS($B66:$J66)</formula>
    </cfRule>
  </conditionalFormatting>
  <conditionalFormatting sqref="B66">
    <cfRule type="containsText" dxfId="2559" priority="743" operator="containsText" text="NP">
      <formula>NOT(ISERROR(SEARCH("NP",B66)))</formula>
    </cfRule>
  </conditionalFormatting>
  <conditionalFormatting sqref="B66">
    <cfRule type="expression" dxfId="2558" priority="740">
      <formula>ISBLANK(B66)</formula>
    </cfRule>
  </conditionalFormatting>
  <conditionalFormatting sqref="B66">
    <cfRule type="expression" dxfId="2557" priority="738">
      <formula>AND(ISNUMBER(B66), OR(B66&gt;10, B66&lt;0))</formula>
    </cfRule>
  </conditionalFormatting>
  <conditionalFormatting sqref="B66">
    <cfRule type="expression" dxfId="2556" priority="737">
      <formula>AND(NOT(ISNUMBER(B66)), B66&lt;&gt;"NP", B66&lt;&gt;"Reconocimiento Créditos", B66&lt;&gt;"Aprobado en otro curso")</formula>
    </cfRule>
  </conditionalFormatting>
  <conditionalFormatting sqref="B66">
    <cfRule type="containsText" dxfId="2555" priority="736" operator="containsText" text="Reconocimiento Créditos">
      <formula>NOT(ISERROR(SEARCH("Reconocimiento Créditos",B66)))</formula>
    </cfRule>
  </conditionalFormatting>
  <conditionalFormatting sqref="B66">
    <cfRule type="containsText" dxfId="2554" priority="739" operator="containsText" text="Aprobado en otro curso">
      <formula>NOT(ISERROR(SEARCH("Aprobado en otro curso",B66)))</formula>
    </cfRule>
  </conditionalFormatting>
  <conditionalFormatting sqref="A67">
    <cfRule type="expression" dxfId="2553" priority="734">
      <formula>AND(OR(ROW()=CELL("row"),COLUMN()=CELL("col")),NOT(ISBLANK($C67)),NOT(ISBLANK($B67)),ROW()&gt;2,COLUMN()&gt;1)</formula>
    </cfRule>
  </conditionalFormatting>
  <conditionalFormatting sqref="A67">
    <cfRule type="expression" dxfId="2552" priority="733">
      <formula>SUM(--ISBLANK($B67:$J67))=COLUMNS($B67:$J67)</formula>
    </cfRule>
  </conditionalFormatting>
  <conditionalFormatting sqref="A67">
    <cfRule type="containsText" dxfId="2551" priority="735" operator="containsText" text="NP">
      <formula>NOT(ISERROR(SEARCH("NP",A67)))</formula>
    </cfRule>
  </conditionalFormatting>
  <conditionalFormatting sqref="A67">
    <cfRule type="expression" dxfId="2550" priority="732">
      <formula>ISBLANK(A67)</formula>
    </cfRule>
  </conditionalFormatting>
  <conditionalFormatting sqref="B67">
    <cfRule type="containsText" dxfId="2549" priority="730" operator="containsText" text="NP">
      <formula>NOT(ISERROR(SEARCH("NP",B67)))</formula>
    </cfRule>
    <cfRule type="cellIs" dxfId="2548" priority="731" operator="lessThan">
      <formula>5</formula>
    </cfRule>
  </conditionalFormatting>
  <conditionalFormatting sqref="B67">
    <cfRule type="expression" dxfId="2547" priority="728">
      <formula>AND(OR(ROW()=CELL("row"),COLUMN()=CELL("col")),NOT(ISBLANK($C67)),NOT(ISBLANK($B67)),ROW()&gt;2,COLUMN()&gt;1)</formula>
    </cfRule>
  </conditionalFormatting>
  <conditionalFormatting sqref="B67">
    <cfRule type="expression" dxfId="2546" priority="727">
      <formula>SUM(--ISBLANK($B67:$J67))=COLUMNS($B67:$J67)</formula>
    </cfRule>
  </conditionalFormatting>
  <conditionalFormatting sqref="B67">
    <cfRule type="containsText" dxfId="2545" priority="729" operator="containsText" text="NP">
      <formula>NOT(ISERROR(SEARCH("NP",B67)))</formula>
    </cfRule>
  </conditionalFormatting>
  <conditionalFormatting sqref="B67">
    <cfRule type="expression" dxfId="2544" priority="726">
      <formula>ISBLANK(B67)</formula>
    </cfRule>
  </conditionalFormatting>
  <conditionalFormatting sqref="B67">
    <cfRule type="expression" dxfId="2543" priority="724">
      <formula>AND(ISNUMBER(B67), OR(B67&gt;10, B67&lt;0))</formula>
    </cfRule>
  </conditionalFormatting>
  <conditionalFormatting sqref="B67">
    <cfRule type="expression" dxfId="2542" priority="723">
      <formula>AND(NOT(ISNUMBER(B67)), B67&lt;&gt;"NP", B67&lt;&gt;"Reconocimiento Créditos", B67&lt;&gt;"Aprobado en otro curso")</formula>
    </cfRule>
  </conditionalFormatting>
  <conditionalFormatting sqref="B67">
    <cfRule type="containsText" dxfId="2541" priority="722" operator="containsText" text="Reconocimiento Créditos">
      <formula>NOT(ISERROR(SEARCH("Reconocimiento Créditos",B67)))</formula>
    </cfRule>
  </conditionalFormatting>
  <conditionalFormatting sqref="B67">
    <cfRule type="containsText" dxfId="2540" priority="725" operator="containsText" text="Aprobado en otro curso">
      <formula>NOT(ISERROR(SEARCH("Aprobado en otro curso",B67)))</formula>
    </cfRule>
  </conditionalFormatting>
  <conditionalFormatting sqref="A68">
    <cfRule type="expression" dxfId="2539" priority="720">
      <formula>AND(OR(ROW()=CELL("row"),COLUMN()=CELL("col")),NOT(ISBLANK($C68)),NOT(ISBLANK($B68)),ROW()&gt;2,COLUMN()&gt;1)</formula>
    </cfRule>
  </conditionalFormatting>
  <conditionalFormatting sqref="A68">
    <cfRule type="expression" dxfId="2538" priority="719">
      <formula>SUM(--ISBLANK($B68:$J68))=COLUMNS($B68:$J68)</formula>
    </cfRule>
  </conditionalFormatting>
  <conditionalFormatting sqref="A68">
    <cfRule type="containsText" dxfId="2537" priority="721" operator="containsText" text="NP">
      <formula>NOT(ISERROR(SEARCH("NP",A68)))</formula>
    </cfRule>
  </conditionalFormatting>
  <conditionalFormatting sqref="A68">
    <cfRule type="expression" dxfId="2536" priority="718">
      <formula>ISBLANK(A68)</formula>
    </cfRule>
  </conditionalFormatting>
  <conditionalFormatting sqref="B68">
    <cfRule type="containsText" dxfId="2535" priority="716" operator="containsText" text="NP">
      <formula>NOT(ISERROR(SEARCH("NP",B68)))</formula>
    </cfRule>
    <cfRule type="cellIs" dxfId="2534" priority="717" operator="lessThan">
      <formula>5</formula>
    </cfRule>
  </conditionalFormatting>
  <conditionalFormatting sqref="B68">
    <cfRule type="expression" dxfId="2533" priority="714">
      <formula>AND(OR(ROW()=CELL("row"),COLUMN()=CELL("col")),NOT(ISBLANK($C68)),NOT(ISBLANK($B68)),ROW()&gt;2,COLUMN()&gt;1)</formula>
    </cfRule>
  </conditionalFormatting>
  <conditionalFormatting sqref="B68">
    <cfRule type="expression" dxfId="2532" priority="713">
      <formula>SUM(--ISBLANK($B68:$J68))=COLUMNS($B68:$J68)</formula>
    </cfRule>
  </conditionalFormatting>
  <conditionalFormatting sqref="B68">
    <cfRule type="containsText" dxfId="2531" priority="715" operator="containsText" text="NP">
      <formula>NOT(ISERROR(SEARCH("NP",B68)))</formula>
    </cfRule>
  </conditionalFormatting>
  <conditionalFormatting sqref="B68">
    <cfRule type="expression" dxfId="2530" priority="712">
      <formula>ISBLANK(B68)</formula>
    </cfRule>
  </conditionalFormatting>
  <conditionalFormatting sqref="B68">
    <cfRule type="expression" dxfId="2529" priority="710">
      <formula>AND(ISNUMBER(B68), OR(B68&gt;10, B68&lt;0))</formula>
    </cfRule>
  </conditionalFormatting>
  <conditionalFormatting sqref="B68">
    <cfRule type="expression" dxfId="2528" priority="709">
      <formula>AND(NOT(ISNUMBER(B68)), B68&lt;&gt;"NP", B68&lt;&gt;"Reconocimiento Créditos", B68&lt;&gt;"Aprobado en otro curso")</formula>
    </cfRule>
  </conditionalFormatting>
  <conditionalFormatting sqref="B68">
    <cfRule type="containsText" dxfId="2527" priority="708" operator="containsText" text="Reconocimiento Créditos">
      <formula>NOT(ISERROR(SEARCH("Reconocimiento Créditos",B68)))</formula>
    </cfRule>
  </conditionalFormatting>
  <conditionalFormatting sqref="B68">
    <cfRule type="containsText" dxfId="2526" priority="711" operator="containsText" text="Aprobado en otro curso">
      <formula>NOT(ISERROR(SEARCH("Aprobado en otro curso",B68)))</formula>
    </cfRule>
  </conditionalFormatting>
  <conditionalFormatting sqref="A69">
    <cfRule type="expression" dxfId="2525" priority="706">
      <formula>AND(OR(ROW()=CELL("row"),COLUMN()=CELL("col")),NOT(ISBLANK($C69)),NOT(ISBLANK($B69)),ROW()&gt;2,COLUMN()&gt;1)</formula>
    </cfRule>
  </conditionalFormatting>
  <conditionalFormatting sqref="A69">
    <cfRule type="expression" dxfId="2524" priority="705">
      <formula>SUM(--ISBLANK($B69:$J69))=COLUMNS($B69:$J69)</formula>
    </cfRule>
  </conditionalFormatting>
  <conditionalFormatting sqref="A69">
    <cfRule type="containsText" dxfId="2523" priority="707" operator="containsText" text="NP">
      <formula>NOT(ISERROR(SEARCH("NP",A69)))</formula>
    </cfRule>
  </conditionalFormatting>
  <conditionalFormatting sqref="A69">
    <cfRule type="expression" dxfId="2522" priority="704">
      <formula>ISBLANK(A69)</formula>
    </cfRule>
  </conditionalFormatting>
  <conditionalFormatting sqref="B69">
    <cfRule type="containsText" dxfId="2521" priority="702" operator="containsText" text="NP">
      <formula>NOT(ISERROR(SEARCH("NP",B69)))</formula>
    </cfRule>
    <cfRule type="cellIs" dxfId="2520" priority="703" operator="lessThan">
      <formula>5</formula>
    </cfRule>
  </conditionalFormatting>
  <conditionalFormatting sqref="B69">
    <cfRule type="expression" dxfId="2519" priority="700">
      <formula>AND(OR(ROW()=CELL("row"),COLUMN()=CELL("col")),NOT(ISBLANK($C69)),NOT(ISBLANK($B69)),ROW()&gt;2,COLUMN()&gt;1)</formula>
    </cfRule>
  </conditionalFormatting>
  <conditionalFormatting sqref="B69">
    <cfRule type="expression" dxfId="2518" priority="699">
      <formula>SUM(--ISBLANK($B69:$J69))=COLUMNS($B69:$J69)</formula>
    </cfRule>
  </conditionalFormatting>
  <conditionalFormatting sqref="B69">
    <cfRule type="containsText" dxfId="2517" priority="701" operator="containsText" text="NP">
      <formula>NOT(ISERROR(SEARCH("NP",B69)))</formula>
    </cfRule>
  </conditionalFormatting>
  <conditionalFormatting sqref="B69">
    <cfRule type="expression" dxfId="2516" priority="698">
      <formula>ISBLANK(B69)</formula>
    </cfRule>
  </conditionalFormatting>
  <conditionalFormatting sqref="B69">
    <cfRule type="expression" dxfId="2515" priority="696">
      <formula>AND(ISNUMBER(B69), OR(B69&gt;10, B69&lt;0))</formula>
    </cfRule>
  </conditionalFormatting>
  <conditionalFormatting sqref="B69">
    <cfRule type="expression" dxfId="2514" priority="695">
      <formula>AND(NOT(ISNUMBER(B69)), B69&lt;&gt;"NP", B69&lt;&gt;"Reconocimiento Créditos", B69&lt;&gt;"Aprobado en otro curso")</formula>
    </cfRule>
  </conditionalFormatting>
  <conditionalFormatting sqref="B69">
    <cfRule type="containsText" dxfId="2513" priority="694" operator="containsText" text="Reconocimiento Créditos">
      <formula>NOT(ISERROR(SEARCH("Reconocimiento Créditos",B69)))</formula>
    </cfRule>
  </conditionalFormatting>
  <conditionalFormatting sqref="B69">
    <cfRule type="containsText" dxfId="2512" priority="697" operator="containsText" text="Aprobado en otro curso">
      <formula>NOT(ISERROR(SEARCH("Aprobado en otro curso",B69)))</formula>
    </cfRule>
  </conditionalFormatting>
  <conditionalFormatting sqref="A70">
    <cfRule type="expression" dxfId="2511" priority="692">
      <formula>AND(OR(ROW()=CELL("row"),COLUMN()=CELL("col")),NOT(ISBLANK($C70)),NOT(ISBLANK($B70)),ROW()&gt;2,COLUMN()&gt;1)</formula>
    </cfRule>
  </conditionalFormatting>
  <conditionalFormatting sqref="A70">
    <cfRule type="expression" dxfId="2510" priority="691">
      <formula>SUM(--ISBLANK($B70:$J70))=COLUMNS($B70:$J70)</formula>
    </cfRule>
  </conditionalFormatting>
  <conditionalFormatting sqref="A70">
    <cfRule type="containsText" dxfId="2509" priority="693" operator="containsText" text="NP">
      <formula>NOT(ISERROR(SEARCH("NP",A70)))</formula>
    </cfRule>
  </conditionalFormatting>
  <conditionalFormatting sqref="A70">
    <cfRule type="expression" dxfId="2508" priority="690">
      <formula>ISBLANK(A70)</formula>
    </cfRule>
  </conditionalFormatting>
  <conditionalFormatting sqref="B70">
    <cfRule type="containsText" dxfId="2507" priority="688" operator="containsText" text="NP">
      <formula>NOT(ISERROR(SEARCH("NP",B70)))</formula>
    </cfRule>
    <cfRule type="cellIs" dxfId="2506" priority="689" operator="lessThan">
      <formula>5</formula>
    </cfRule>
  </conditionalFormatting>
  <conditionalFormatting sqref="B70">
    <cfRule type="expression" dxfId="2505" priority="686">
      <formula>AND(OR(ROW()=CELL("row"),COLUMN()=CELL("col")),NOT(ISBLANK($C70)),NOT(ISBLANK($B70)),ROW()&gt;2,COLUMN()&gt;1)</formula>
    </cfRule>
  </conditionalFormatting>
  <conditionalFormatting sqref="B70">
    <cfRule type="expression" dxfId="2504" priority="685">
      <formula>SUM(--ISBLANK($B70:$J70))=COLUMNS($B70:$J70)</formula>
    </cfRule>
  </conditionalFormatting>
  <conditionalFormatting sqref="B70">
    <cfRule type="containsText" dxfId="2503" priority="687" operator="containsText" text="NP">
      <formula>NOT(ISERROR(SEARCH("NP",B70)))</formula>
    </cfRule>
  </conditionalFormatting>
  <conditionalFormatting sqref="B70">
    <cfRule type="expression" dxfId="2502" priority="684">
      <formula>ISBLANK(B70)</formula>
    </cfRule>
  </conditionalFormatting>
  <conditionalFormatting sqref="B70">
    <cfRule type="expression" dxfId="2501" priority="682">
      <formula>AND(ISNUMBER(B70), OR(B70&gt;10, B70&lt;0))</formula>
    </cfRule>
  </conditionalFormatting>
  <conditionalFormatting sqref="B70">
    <cfRule type="expression" dxfId="2500" priority="681">
      <formula>AND(NOT(ISNUMBER(B70)), B70&lt;&gt;"NP", B70&lt;&gt;"Reconocimiento Créditos", B70&lt;&gt;"Aprobado en otro curso")</formula>
    </cfRule>
  </conditionalFormatting>
  <conditionalFormatting sqref="B70">
    <cfRule type="containsText" dxfId="2499" priority="680" operator="containsText" text="Reconocimiento Créditos">
      <formula>NOT(ISERROR(SEARCH("Reconocimiento Créditos",B70)))</formula>
    </cfRule>
  </conditionalFormatting>
  <conditionalFormatting sqref="B70">
    <cfRule type="containsText" dxfId="2498" priority="683" operator="containsText" text="Aprobado en otro curso">
      <formula>NOT(ISERROR(SEARCH("Aprobado en otro curso",B70)))</formula>
    </cfRule>
  </conditionalFormatting>
  <conditionalFormatting sqref="A71">
    <cfRule type="expression" dxfId="2497" priority="678">
      <formula>AND(OR(ROW()=CELL("row"),COLUMN()=CELL("col")),NOT(ISBLANK($C71)),NOT(ISBLANK($B71)),ROW()&gt;2,COLUMN()&gt;1)</formula>
    </cfRule>
  </conditionalFormatting>
  <conditionalFormatting sqref="A71">
    <cfRule type="expression" dxfId="2496" priority="677">
      <formula>SUM(--ISBLANK($B71:$J71))=COLUMNS($B71:$J71)</formula>
    </cfRule>
  </conditionalFormatting>
  <conditionalFormatting sqref="A71">
    <cfRule type="containsText" dxfId="2495" priority="679" operator="containsText" text="NP">
      <formula>NOT(ISERROR(SEARCH("NP",A71)))</formula>
    </cfRule>
  </conditionalFormatting>
  <conditionalFormatting sqref="A71">
    <cfRule type="expression" dxfId="2494" priority="676">
      <formula>ISBLANK(A71)</formula>
    </cfRule>
  </conditionalFormatting>
  <conditionalFormatting sqref="B71">
    <cfRule type="containsText" dxfId="2493" priority="674" operator="containsText" text="NP">
      <formula>NOT(ISERROR(SEARCH("NP",B71)))</formula>
    </cfRule>
    <cfRule type="cellIs" dxfId="2492" priority="675" operator="lessThan">
      <formula>5</formula>
    </cfRule>
  </conditionalFormatting>
  <conditionalFormatting sqref="B71">
    <cfRule type="expression" dxfId="2491" priority="672">
      <formula>AND(OR(ROW()=CELL("row"),COLUMN()=CELL("col")),NOT(ISBLANK($C71)),NOT(ISBLANK($B71)),ROW()&gt;2,COLUMN()&gt;1)</formula>
    </cfRule>
  </conditionalFormatting>
  <conditionalFormatting sqref="B71">
    <cfRule type="expression" dxfId="2490" priority="671">
      <formula>SUM(--ISBLANK($B71:$J71))=COLUMNS($B71:$J71)</formula>
    </cfRule>
  </conditionalFormatting>
  <conditionalFormatting sqref="B71">
    <cfRule type="containsText" dxfId="2489" priority="673" operator="containsText" text="NP">
      <formula>NOT(ISERROR(SEARCH("NP",B71)))</formula>
    </cfRule>
  </conditionalFormatting>
  <conditionalFormatting sqref="B71">
    <cfRule type="expression" dxfId="2488" priority="670">
      <formula>ISBLANK(B71)</formula>
    </cfRule>
  </conditionalFormatting>
  <conditionalFormatting sqref="B71">
    <cfRule type="expression" dxfId="2487" priority="668">
      <formula>AND(ISNUMBER(B71), OR(B71&gt;10, B71&lt;0))</formula>
    </cfRule>
  </conditionalFormatting>
  <conditionalFormatting sqref="B71">
    <cfRule type="expression" dxfId="2486" priority="667">
      <formula>AND(NOT(ISNUMBER(B71)), B71&lt;&gt;"NP", B71&lt;&gt;"Reconocimiento Créditos", B71&lt;&gt;"Aprobado en otro curso")</formula>
    </cfRule>
  </conditionalFormatting>
  <conditionalFormatting sqref="B71">
    <cfRule type="containsText" dxfId="2485" priority="666" operator="containsText" text="Reconocimiento Créditos">
      <formula>NOT(ISERROR(SEARCH("Reconocimiento Créditos",B71)))</formula>
    </cfRule>
  </conditionalFormatting>
  <conditionalFormatting sqref="B71">
    <cfRule type="containsText" dxfId="2484" priority="669" operator="containsText" text="Aprobado en otro curso">
      <formula>NOT(ISERROR(SEARCH("Aprobado en otro curso",B71)))</formula>
    </cfRule>
  </conditionalFormatting>
  <conditionalFormatting sqref="A72">
    <cfRule type="expression" dxfId="2483" priority="664">
      <formula>AND(OR(ROW()=CELL("row"),COLUMN()=CELL("col")),NOT(ISBLANK($C72)),NOT(ISBLANK($B72)),ROW()&gt;2,COLUMN()&gt;1)</formula>
    </cfRule>
  </conditionalFormatting>
  <conditionalFormatting sqref="A72">
    <cfRule type="expression" dxfId="2482" priority="663">
      <formula>SUM(--ISBLANK($B72:$J72))=COLUMNS($B72:$J72)</formula>
    </cfRule>
  </conditionalFormatting>
  <conditionalFormatting sqref="A72">
    <cfRule type="containsText" dxfId="2481" priority="665" operator="containsText" text="NP">
      <formula>NOT(ISERROR(SEARCH("NP",A72)))</formula>
    </cfRule>
  </conditionalFormatting>
  <conditionalFormatting sqref="A72">
    <cfRule type="expression" dxfId="2480" priority="662">
      <formula>ISBLANK(A72)</formula>
    </cfRule>
  </conditionalFormatting>
  <conditionalFormatting sqref="B72">
    <cfRule type="containsText" dxfId="2479" priority="660" operator="containsText" text="NP">
      <formula>NOT(ISERROR(SEARCH("NP",B72)))</formula>
    </cfRule>
    <cfRule type="cellIs" dxfId="2478" priority="661" operator="lessThan">
      <formula>5</formula>
    </cfRule>
  </conditionalFormatting>
  <conditionalFormatting sqref="B72">
    <cfRule type="expression" dxfId="2477" priority="658">
      <formula>AND(OR(ROW()=CELL("row"),COLUMN()=CELL("col")),NOT(ISBLANK($C72)),NOT(ISBLANK($B72)),ROW()&gt;2,COLUMN()&gt;1)</formula>
    </cfRule>
  </conditionalFormatting>
  <conditionalFormatting sqref="B72">
    <cfRule type="expression" dxfId="2476" priority="657">
      <formula>SUM(--ISBLANK($B72:$J72))=COLUMNS($B72:$J72)</formula>
    </cfRule>
  </conditionalFormatting>
  <conditionalFormatting sqref="B72">
    <cfRule type="containsText" dxfId="2475" priority="659" operator="containsText" text="NP">
      <formula>NOT(ISERROR(SEARCH("NP",B72)))</formula>
    </cfRule>
  </conditionalFormatting>
  <conditionalFormatting sqref="B72">
    <cfRule type="expression" dxfId="2474" priority="656">
      <formula>ISBLANK(B72)</formula>
    </cfRule>
  </conditionalFormatting>
  <conditionalFormatting sqref="B72">
    <cfRule type="expression" dxfId="2473" priority="654">
      <formula>AND(ISNUMBER(B72), OR(B72&gt;10, B72&lt;0))</formula>
    </cfRule>
  </conditionalFormatting>
  <conditionalFormatting sqref="B72">
    <cfRule type="containsText" dxfId="2472" priority="653" operator="containsText" text="Reconocimiento Créditos">
      <formula>NOT(ISERROR(SEARCH("Reconocimiento Créditos",B72)))</formula>
    </cfRule>
  </conditionalFormatting>
  <conditionalFormatting sqref="B72">
    <cfRule type="containsText" dxfId="2471" priority="655" operator="containsText" text="Aprobado en otro curso">
      <formula>NOT(ISERROR(SEARCH("Aprobado en otro curso",B72)))</formula>
    </cfRule>
  </conditionalFormatting>
  <conditionalFormatting sqref="A73">
    <cfRule type="expression" dxfId="2470" priority="651">
      <formula>AND(OR(ROW()=CELL("row"),COLUMN()=CELL("col")),NOT(ISBLANK($C73)),NOT(ISBLANK($B73)),ROW()&gt;2,COLUMN()&gt;1)</formula>
    </cfRule>
  </conditionalFormatting>
  <conditionalFormatting sqref="A73">
    <cfRule type="expression" dxfId="2469" priority="650">
      <formula>SUM(--ISBLANK($B73:$J73))=COLUMNS($B73:$J73)</formula>
    </cfRule>
  </conditionalFormatting>
  <conditionalFormatting sqref="A73">
    <cfRule type="containsText" dxfId="2468" priority="652" operator="containsText" text="NP">
      <formula>NOT(ISERROR(SEARCH("NP",A73)))</formula>
    </cfRule>
  </conditionalFormatting>
  <conditionalFormatting sqref="A73">
    <cfRule type="expression" dxfId="2467" priority="649">
      <formula>ISBLANK(A73)</formula>
    </cfRule>
  </conditionalFormatting>
  <conditionalFormatting sqref="B73">
    <cfRule type="containsText" dxfId="2466" priority="647" operator="containsText" text="NP">
      <formula>NOT(ISERROR(SEARCH("NP",B73)))</formula>
    </cfRule>
    <cfRule type="cellIs" dxfId="2465" priority="648" operator="lessThan">
      <formula>5</formula>
    </cfRule>
  </conditionalFormatting>
  <conditionalFormatting sqref="B73">
    <cfRule type="expression" dxfId="2464" priority="645">
      <formula>AND(OR(ROW()=CELL("row"),COLUMN()=CELL("col")),NOT(ISBLANK($C73)),NOT(ISBLANK($B73)),ROW()&gt;2,COLUMN()&gt;1)</formula>
    </cfRule>
  </conditionalFormatting>
  <conditionalFormatting sqref="B73">
    <cfRule type="expression" dxfId="2463" priority="644">
      <formula>SUM(--ISBLANK($B73:$J73))=COLUMNS($B73:$J73)</formula>
    </cfRule>
  </conditionalFormatting>
  <conditionalFormatting sqref="B73">
    <cfRule type="containsText" dxfId="2462" priority="646" operator="containsText" text="NP">
      <formula>NOT(ISERROR(SEARCH("NP",B73)))</formula>
    </cfRule>
  </conditionalFormatting>
  <conditionalFormatting sqref="B73">
    <cfRule type="expression" dxfId="2461" priority="643">
      <formula>ISBLANK(B73)</formula>
    </cfRule>
  </conditionalFormatting>
  <conditionalFormatting sqref="B73">
    <cfRule type="expression" dxfId="2460" priority="641">
      <formula>AND(ISNUMBER(B73), OR(B73&gt;10, B73&lt;0))</formula>
    </cfRule>
  </conditionalFormatting>
  <conditionalFormatting sqref="B73">
    <cfRule type="expression" dxfId="2459" priority="640">
      <formula>AND(NOT(ISNUMBER(B73)), B73&lt;&gt;"NP", B73&lt;&gt;"Reconocimiento Créditos", B73&lt;&gt;"Aprobado en otro curso")</formula>
    </cfRule>
  </conditionalFormatting>
  <conditionalFormatting sqref="B73">
    <cfRule type="containsText" dxfId="2458" priority="639" operator="containsText" text="Reconocimiento Créditos">
      <formula>NOT(ISERROR(SEARCH("Reconocimiento Créditos",B73)))</formula>
    </cfRule>
  </conditionalFormatting>
  <conditionalFormatting sqref="B73">
    <cfRule type="containsText" dxfId="2457" priority="642" operator="containsText" text="Aprobado en otro curso">
      <formula>NOT(ISERROR(SEARCH("Aprobado en otro curso",B73)))</formula>
    </cfRule>
  </conditionalFormatting>
  <conditionalFormatting sqref="A74">
    <cfRule type="expression" dxfId="2456" priority="637">
      <formula>AND(OR(ROW()=CELL("row"),COLUMN()=CELL("col")),NOT(ISBLANK($C74)),NOT(ISBLANK($B74)),ROW()&gt;2,COLUMN()&gt;1)</formula>
    </cfRule>
  </conditionalFormatting>
  <conditionalFormatting sqref="A74">
    <cfRule type="expression" dxfId="2455" priority="636">
      <formula>SUM(--ISBLANK($B74:$J74))=COLUMNS($B74:$J74)</formula>
    </cfRule>
  </conditionalFormatting>
  <conditionalFormatting sqref="A74">
    <cfRule type="containsText" dxfId="2454" priority="638" operator="containsText" text="NP">
      <formula>NOT(ISERROR(SEARCH("NP",A74)))</formula>
    </cfRule>
  </conditionalFormatting>
  <conditionalFormatting sqref="A74">
    <cfRule type="expression" dxfId="2453" priority="635">
      <formula>ISBLANK(A74)</formula>
    </cfRule>
  </conditionalFormatting>
  <conditionalFormatting sqref="B74">
    <cfRule type="containsText" dxfId="2452" priority="633" operator="containsText" text="NP">
      <formula>NOT(ISERROR(SEARCH("NP",B74)))</formula>
    </cfRule>
    <cfRule type="cellIs" dxfId="2451" priority="634" operator="lessThan">
      <formula>5</formula>
    </cfRule>
  </conditionalFormatting>
  <conditionalFormatting sqref="B74">
    <cfRule type="expression" dxfId="2450" priority="631">
      <formula>AND(OR(ROW()=CELL("row"),COLUMN()=CELL("col")),NOT(ISBLANK($C74)),NOT(ISBLANK($B74)),ROW()&gt;2,COLUMN()&gt;1)</formula>
    </cfRule>
  </conditionalFormatting>
  <conditionalFormatting sqref="B74">
    <cfRule type="expression" dxfId="2449" priority="630">
      <formula>SUM(--ISBLANK($B74:$J74))=COLUMNS($B74:$J74)</formula>
    </cfRule>
  </conditionalFormatting>
  <conditionalFormatting sqref="B74">
    <cfRule type="containsText" dxfId="2448" priority="632" operator="containsText" text="NP">
      <formula>NOT(ISERROR(SEARCH("NP",B74)))</formula>
    </cfRule>
  </conditionalFormatting>
  <conditionalFormatting sqref="B74">
    <cfRule type="expression" dxfId="2447" priority="629">
      <formula>ISBLANK(B74)</formula>
    </cfRule>
  </conditionalFormatting>
  <conditionalFormatting sqref="B74">
    <cfRule type="expression" dxfId="2446" priority="627">
      <formula>AND(ISNUMBER(B74), OR(B74&gt;10, B74&lt;0))</formula>
    </cfRule>
  </conditionalFormatting>
  <conditionalFormatting sqref="B74">
    <cfRule type="expression" dxfId="2445" priority="626">
      <formula>AND(NOT(ISNUMBER(B74)), B74&lt;&gt;"NP", B74&lt;&gt;"Reconocimiento Créditos", B74&lt;&gt;"Aprobado en otro curso")</formula>
    </cfRule>
  </conditionalFormatting>
  <conditionalFormatting sqref="B74">
    <cfRule type="containsText" dxfId="2444" priority="625" operator="containsText" text="Reconocimiento Créditos">
      <formula>NOT(ISERROR(SEARCH("Reconocimiento Créditos",B74)))</formula>
    </cfRule>
  </conditionalFormatting>
  <conditionalFormatting sqref="B74">
    <cfRule type="containsText" dxfId="2443" priority="628" operator="containsText" text="Aprobado en otro curso">
      <formula>NOT(ISERROR(SEARCH("Aprobado en otro curso",B74)))</formula>
    </cfRule>
  </conditionalFormatting>
  <conditionalFormatting sqref="A75">
    <cfRule type="expression" dxfId="2442" priority="623">
      <formula>AND(OR(ROW()=CELL("row"),COLUMN()=CELL("col")),NOT(ISBLANK($C75)),NOT(ISBLANK($B75)),ROW()&gt;2,COLUMN()&gt;1)</formula>
    </cfRule>
  </conditionalFormatting>
  <conditionalFormatting sqref="A75">
    <cfRule type="expression" dxfId="2441" priority="622">
      <formula>SUM(--ISBLANK($B75:$J75))=COLUMNS($B75:$J75)</formula>
    </cfRule>
  </conditionalFormatting>
  <conditionalFormatting sqref="A75">
    <cfRule type="containsText" dxfId="2440" priority="624" operator="containsText" text="NP">
      <formula>NOT(ISERROR(SEARCH("NP",A75)))</formula>
    </cfRule>
  </conditionalFormatting>
  <conditionalFormatting sqref="A75">
    <cfRule type="expression" dxfId="2439" priority="621">
      <formula>ISBLANK(A75)</formula>
    </cfRule>
  </conditionalFormatting>
  <conditionalFormatting sqref="B75">
    <cfRule type="containsText" dxfId="2438" priority="619" operator="containsText" text="NP">
      <formula>NOT(ISERROR(SEARCH("NP",B75)))</formula>
    </cfRule>
    <cfRule type="cellIs" dxfId="2437" priority="620" operator="lessThan">
      <formula>5</formula>
    </cfRule>
  </conditionalFormatting>
  <conditionalFormatting sqref="B75">
    <cfRule type="expression" dxfId="2436" priority="617">
      <formula>AND(OR(ROW()=CELL("row"),COLUMN()=CELL("col")),NOT(ISBLANK($C75)),NOT(ISBLANK($B75)),ROW()&gt;2,COLUMN()&gt;1)</formula>
    </cfRule>
  </conditionalFormatting>
  <conditionalFormatting sqref="B75">
    <cfRule type="expression" dxfId="2435" priority="616">
      <formula>SUM(--ISBLANK($B75:$J75))=COLUMNS($B75:$J75)</formula>
    </cfRule>
  </conditionalFormatting>
  <conditionalFormatting sqref="B75">
    <cfRule type="containsText" dxfId="2434" priority="618" operator="containsText" text="NP">
      <formula>NOT(ISERROR(SEARCH("NP",B75)))</formula>
    </cfRule>
  </conditionalFormatting>
  <conditionalFormatting sqref="B75">
    <cfRule type="expression" dxfId="2433" priority="615">
      <formula>ISBLANK(B75)</formula>
    </cfRule>
  </conditionalFormatting>
  <conditionalFormatting sqref="B75">
    <cfRule type="expression" dxfId="2432" priority="613">
      <formula>AND(ISNUMBER(B75), OR(B75&gt;10, B75&lt;0))</formula>
    </cfRule>
  </conditionalFormatting>
  <conditionalFormatting sqref="B75">
    <cfRule type="expression" dxfId="2431" priority="612">
      <formula>AND(NOT(ISNUMBER(B75)), B75&lt;&gt;"NP", B75&lt;&gt;"Reconocimiento Créditos", B75&lt;&gt;"Aprobado en otro curso")</formula>
    </cfRule>
  </conditionalFormatting>
  <conditionalFormatting sqref="B75">
    <cfRule type="containsText" dxfId="2430" priority="611" operator="containsText" text="Reconocimiento Créditos">
      <formula>NOT(ISERROR(SEARCH("Reconocimiento Créditos",B75)))</formula>
    </cfRule>
  </conditionalFormatting>
  <conditionalFormatting sqref="B75">
    <cfRule type="containsText" dxfId="2429" priority="614" operator="containsText" text="Aprobado en otro curso">
      <formula>NOT(ISERROR(SEARCH("Aprobado en otro curso",B75)))</formula>
    </cfRule>
  </conditionalFormatting>
  <conditionalFormatting sqref="A76">
    <cfRule type="expression" dxfId="2428" priority="609">
      <formula>AND(OR(ROW()=CELL("row"),COLUMN()=CELL("col")),NOT(ISBLANK($C76)),NOT(ISBLANK($B76)),ROW()&gt;2,COLUMN()&gt;1)</formula>
    </cfRule>
  </conditionalFormatting>
  <conditionalFormatting sqref="A76">
    <cfRule type="expression" dxfId="2427" priority="608">
      <formula>SUM(--ISBLANK($B76:$J76))=COLUMNS($B76:$J76)</formula>
    </cfRule>
  </conditionalFormatting>
  <conditionalFormatting sqref="A76">
    <cfRule type="containsText" dxfId="2426" priority="610" operator="containsText" text="NP">
      <formula>NOT(ISERROR(SEARCH("NP",A76)))</formula>
    </cfRule>
  </conditionalFormatting>
  <conditionalFormatting sqref="A76">
    <cfRule type="expression" dxfId="2425" priority="607">
      <formula>ISBLANK(A76)</formula>
    </cfRule>
  </conditionalFormatting>
  <conditionalFormatting sqref="B76">
    <cfRule type="containsText" dxfId="2424" priority="605" operator="containsText" text="NP">
      <formula>NOT(ISERROR(SEARCH("NP",B76)))</formula>
    </cfRule>
    <cfRule type="cellIs" dxfId="2423" priority="606" operator="lessThan">
      <formula>5</formula>
    </cfRule>
  </conditionalFormatting>
  <conditionalFormatting sqref="B76">
    <cfRule type="expression" dxfId="2422" priority="603">
      <formula>AND(OR(ROW()=CELL("row"),COLUMN()=CELL("col")),NOT(ISBLANK($C76)),NOT(ISBLANK($B76)),ROW()&gt;2,COLUMN()&gt;1)</formula>
    </cfRule>
  </conditionalFormatting>
  <conditionalFormatting sqref="B76">
    <cfRule type="expression" dxfId="2421" priority="602">
      <formula>SUM(--ISBLANK($B76:$J76))=COLUMNS($B76:$J76)</formula>
    </cfRule>
  </conditionalFormatting>
  <conditionalFormatting sqref="B76">
    <cfRule type="containsText" dxfId="2420" priority="604" operator="containsText" text="NP">
      <formula>NOT(ISERROR(SEARCH("NP",B76)))</formula>
    </cfRule>
  </conditionalFormatting>
  <conditionalFormatting sqref="B76">
    <cfRule type="expression" dxfId="2419" priority="601">
      <formula>ISBLANK(B76)</formula>
    </cfRule>
  </conditionalFormatting>
  <conditionalFormatting sqref="B76">
    <cfRule type="expression" dxfId="2418" priority="599">
      <formula>AND(ISNUMBER(B76), OR(B76&gt;10, B76&lt;0))</formula>
    </cfRule>
  </conditionalFormatting>
  <conditionalFormatting sqref="B76">
    <cfRule type="expression" dxfId="2417" priority="598">
      <formula>AND(NOT(ISNUMBER(B76)), B76&lt;&gt;"NP", B76&lt;&gt;"Reconocimiento Créditos", B76&lt;&gt;"Aprobado en otro curso")</formula>
    </cfRule>
  </conditionalFormatting>
  <conditionalFormatting sqref="B76">
    <cfRule type="containsText" dxfId="2416" priority="597" operator="containsText" text="Reconocimiento Créditos">
      <formula>NOT(ISERROR(SEARCH("Reconocimiento Créditos",B76)))</formula>
    </cfRule>
  </conditionalFormatting>
  <conditionalFormatting sqref="B76">
    <cfRule type="containsText" dxfId="2415" priority="600" operator="containsText" text="Aprobado en otro curso">
      <formula>NOT(ISERROR(SEARCH("Aprobado en otro curso",B76)))</formula>
    </cfRule>
  </conditionalFormatting>
  <conditionalFormatting sqref="A77">
    <cfRule type="expression" dxfId="2414" priority="595">
      <formula>AND(OR(ROW()=CELL("row"),COLUMN()=CELL("col")),NOT(ISBLANK($C77)),NOT(ISBLANK($B77)),ROW()&gt;2,COLUMN()&gt;1)</formula>
    </cfRule>
  </conditionalFormatting>
  <conditionalFormatting sqref="A77">
    <cfRule type="expression" dxfId="2413" priority="594">
      <formula>SUM(--ISBLANK($B77:$J77))=COLUMNS($B77:$J77)</formula>
    </cfRule>
  </conditionalFormatting>
  <conditionalFormatting sqref="A77">
    <cfRule type="containsText" dxfId="2412" priority="596" operator="containsText" text="NP">
      <formula>NOT(ISERROR(SEARCH("NP",A77)))</formula>
    </cfRule>
  </conditionalFormatting>
  <conditionalFormatting sqref="A77">
    <cfRule type="expression" dxfId="2411" priority="593">
      <formula>ISBLANK(A77)</formula>
    </cfRule>
  </conditionalFormatting>
  <conditionalFormatting sqref="B77">
    <cfRule type="containsText" dxfId="2410" priority="591" operator="containsText" text="NP">
      <formula>NOT(ISERROR(SEARCH("NP",B77)))</formula>
    </cfRule>
    <cfRule type="cellIs" dxfId="2409" priority="592" operator="lessThan">
      <formula>5</formula>
    </cfRule>
  </conditionalFormatting>
  <conditionalFormatting sqref="B77">
    <cfRule type="expression" dxfId="2408" priority="589">
      <formula>AND(OR(ROW()=CELL("row"),COLUMN()=CELL("col")),NOT(ISBLANK($C77)),NOT(ISBLANK($B77)),ROW()&gt;2,COLUMN()&gt;1)</formula>
    </cfRule>
  </conditionalFormatting>
  <conditionalFormatting sqref="B77">
    <cfRule type="expression" dxfId="2407" priority="588">
      <formula>SUM(--ISBLANK($B77:$J77))=COLUMNS($B77:$J77)</formula>
    </cfRule>
  </conditionalFormatting>
  <conditionalFormatting sqref="B77">
    <cfRule type="containsText" dxfId="2406" priority="590" operator="containsText" text="NP">
      <formula>NOT(ISERROR(SEARCH("NP",B77)))</formula>
    </cfRule>
  </conditionalFormatting>
  <conditionalFormatting sqref="B77">
    <cfRule type="expression" dxfId="2405" priority="587">
      <formula>ISBLANK(B77)</formula>
    </cfRule>
  </conditionalFormatting>
  <conditionalFormatting sqref="B77">
    <cfRule type="expression" dxfId="2404" priority="585">
      <formula>AND(ISNUMBER(B77), OR(B77&gt;10, B77&lt;0))</formula>
    </cfRule>
  </conditionalFormatting>
  <conditionalFormatting sqref="B77">
    <cfRule type="expression" dxfId="2403" priority="584">
      <formula>AND(NOT(ISNUMBER(B77)), B77&lt;&gt;"NP", B77&lt;&gt;"Reconocimiento Créditos", B77&lt;&gt;"Aprobado en otro curso")</formula>
    </cfRule>
  </conditionalFormatting>
  <conditionalFormatting sqref="B77">
    <cfRule type="containsText" dxfId="2402" priority="583" operator="containsText" text="Reconocimiento Créditos">
      <formula>NOT(ISERROR(SEARCH("Reconocimiento Créditos",B77)))</formula>
    </cfRule>
  </conditionalFormatting>
  <conditionalFormatting sqref="B77">
    <cfRule type="containsText" dxfId="2401" priority="586" operator="containsText" text="Aprobado en otro curso">
      <formula>NOT(ISERROR(SEARCH("Aprobado en otro curso",B77)))</formula>
    </cfRule>
  </conditionalFormatting>
  <conditionalFormatting sqref="A78">
    <cfRule type="expression" dxfId="2400" priority="581">
      <formula>AND(OR(ROW()=CELL("row"),COLUMN()=CELL("col")),NOT(ISBLANK($C78)),NOT(ISBLANK($B78)),ROW()&gt;2,COLUMN()&gt;1)</formula>
    </cfRule>
  </conditionalFormatting>
  <conditionalFormatting sqref="A78">
    <cfRule type="expression" dxfId="2399" priority="580">
      <formula>SUM(--ISBLANK($B78:$J78))=COLUMNS($B78:$J78)</formula>
    </cfRule>
  </conditionalFormatting>
  <conditionalFormatting sqref="A78">
    <cfRule type="containsText" dxfId="2398" priority="582" operator="containsText" text="NP">
      <formula>NOT(ISERROR(SEARCH("NP",A78)))</formula>
    </cfRule>
  </conditionalFormatting>
  <conditionalFormatting sqref="A78">
    <cfRule type="expression" dxfId="2397" priority="579">
      <formula>ISBLANK(A78)</formula>
    </cfRule>
  </conditionalFormatting>
  <conditionalFormatting sqref="B78">
    <cfRule type="containsText" dxfId="2396" priority="577" operator="containsText" text="NP">
      <formula>NOT(ISERROR(SEARCH("NP",B78)))</formula>
    </cfRule>
    <cfRule type="cellIs" dxfId="2395" priority="578" operator="lessThan">
      <formula>5</formula>
    </cfRule>
  </conditionalFormatting>
  <conditionalFormatting sqref="B78">
    <cfRule type="expression" dxfId="2394" priority="575">
      <formula>AND(OR(ROW()=CELL("row"),COLUMN()=CELL("col")),NOT(ISBLANK($C78)),NOT(ISBLANK($B78)),ROW()&gt;2,COLUMN()&gt;1)</formula>
    </cfRule>
  </conditionalFormatting>
  <conditionalFormatting sqref="B78">
    <cfRule type="expression" dxfId="2393" priority="574">
      <formula>SUM(--ISBLANK($B78:$J78))=COLUMNS($B78:$J78)</formula>
    </cfRule>
  </conditionalFormatting>
  <conditionalFormatting sqref="B78">
    <cfRule type="containsText" dxfId="2392" priority="576" operator="containsText" text="NP">
      <formula>NOT(ISERROR(SEARCH("NP",B78)))</formula>
    </cfRule>
  </conditionalFormatting>
  <conditionalFormatting sqref="B78">
    <cfRule type="expression" dxfId="2391" priority="573">
      <formula>ISBLANK(B78)</formula>
    </cfRule>
  </conditionalFormatting>
  <conditionalFormatting sqref="B78">
    <cfRule type="expression" dxfId="2390" priority="571">
      <formula>AND(ISNUMBER(B78), OR(B78&gt;10, B78&lt;0))</formula>
    </cfRule>
  </conditionalFormatting>
  <conditionalFormatting sqref="B78">
    <cfRule type="expression" dxfId="2389" priority="570">
      <formula>AND(NOT(ISNUMBER(B78)), B78&lt;&gt;"NP", B78&lt;&gt;"Reconocimiento Créditos", B78&lt;&gt;"Aprobado en otro curso")</formula>
    </cfRule>
  </conditionalFormatting>
  <conditionalFormatting sqref="B78">
    <cfRule type="containsText" dxfId="2388" priority="569" operator="containsText" text="Reconocimiento Créditos">
      <formula>NOT(ISERROR(SEARCH("Reconocimiento Créditos",B78)))</formula>
    </cfRule>
  </conditionalFormatting>
  <conditionalFormatting sqref="B78">
    <cfRule type="containsText" dxfId="2387" priority="572" operator="containsText" text="Aprobado en otro curso">
      <formula>NOT(ISERROR(SEARCH("Aprobado en otro curso",B78)))</formula>
    </cfRule>
  </conditionalFormatting>
  <conditionalFormatting sqref="A79">
    <cfRule type="expression" dxfId="2386" priority="567">
      <formula>AND(OR(ROW()=CELL("row"),COLUMN()=CELL("col")),NOT(ISBLANK($C79)),NOT(ISBLANK($B79)),ROW()&gt;2,COLUMN()&gt;1)</formula>
    </cfRule>
  </conditionalFormatting>
  <conditionalFormatting sqref="A79">
    <cfRule type="expression" dxfId="2385" priority="566">
      <formula>SUM(--ISBLANK($B79:$J79))=COLUMNS($B79:$J79)</formula>
    </cfRule>
  </conditionalFormatting>
  <conditionalFormatting sqref="A79">
    <cfRule type="containsText" dxfId="2384" priority="568" operator="containsText" text="NP">
      <formula>NOT(ISERROR(SEARCH("NP",A79)))</formula>
    </cfRule>
  </conditionalFormatting>
  <conditionalFormatting sqref="A79">
    <cfRule type="expression" dxfId="2383" priority="565">
      <formula>ISBLANK(A79)</formula>
    </cfRule>
  </conditionalFormatting>
  <conditionalFormatting sqref="B79">
    <cfRule type="containsText" dxfId="2382" priority="563" operator="containsText" text="NP">
      <formula>NOT(ISERROR(SEARCH("NP",B79)))</formula>
    </cfRule>
    <cfRule type="cellIs" dxfId="2381" priority="564" operator="lessThan">
      <formula>5</formula>
    </cfRule>
  </conditionalFormatting>
  <conditionalFormatting sqref="B79">
    <cfRule type="expression" dxfId="2380" priority="561">
      <formula>AND(OR(ROW()=CELL("row"),COLUMN()=CELL("col")),NOT(ISBLANK($C79)),NOT(ISBLANK($B79)),ROW()&gt;2,COLUMN()&gt;1)</formula>
    </cfRule>
  </conditionalFormatting>
  <conditionalFormatting sqref="B79">
    <cfRule type="expression" dxfId="2379" priority="560">
      <formula>SUM(--ISBLANK($B79:$J79))=COLUMNS($B79:$J79)</formula>
    </cfRule>
  </conditionalFormatting>
  <conditionalFormatting sqref="B79">
    <cfRule type="containsText" dxfId="2378" priority="562" operator="containsText" text="NP">
      <formula>NOT(ISERROR(SEARCH("NP",B79)))</formula>
    </cfRule>
  </conditionalFormatting>
  <conditionalFormatting sqref="B79">
    <cfRule type="expression" dxfId="2377" priority="559">
      <formula>ISBLANK(B79)</formula>
    </cfRule>
  </conditionalFormatting>
  <conditionalFormatting sqref="B79">
    <cfRule type="expression" dxfId="2376" priority="557">
      <formula>AND(ISNUMBER(B79), OR(B79&gt;10, B79&lt;0))</formula>
    </cfRule>
  </conditionalFormatting>
  <conditionalFormatting sqref="B79">
    <cfRule type="expression" dxfId="2375" priority="556">
      <formula>AND(NOT(ISNUMBER(B79)), B79&lt;&gt;"NP", B79&lt;&gt;"Reconocimiento Créditos", B79&lt;&gt;"Aprobado en otro curso")</formula>
    </cfRule>
  </conditionalFormatting>
  <conditionalFormatting sqref="B79">
    <cfRule type="containsText" dxfId="2374" priority="555" operator="containsText" text="Reconocimiento Créditos">
      <formula>NOT(ISERROR(SEARCH("Reconocimiento Créditos",B79)))</formula>
    </cfRule>
  </conditionalFormatting>
  <conditionalFormatting sqref="B79">
    <cfRule type="containsText" dxfId="2373" priority="558" operator="containsText" text="Aprobado en otro curso">
      <formula>NOT(ISERROR(SEARCH("Aprobado en otro curso",B79)))</formula>
    </cfRule>
  </conditionalFormatting>
  <conditionalFormatting sqref="A80">
    <cfRule type="expression" dxfId="2372" priority="553">
      <formula>AND(OR(ROW()=CELL("row"),COLUMN()=CELL("col")),NOT(ISBLANK($C80)),NOT(ISBLANK($B80)),ROW()&gt;2,COLUMN()&gt;1)</formula>
    </cfRule>
  </conditionalFormatting>
  <conditionalFormatting sqref="A80">
    <cfRule type="expression" dxfId="2371" priority="552">
      <formula>SUM(--ISBLANK($B80:$J80))=COLUMNS($B80:$J80)</formula>
    </cfRule>
  </conditionalFormatting>
  <conditionalFormatting sqref="A80">
    <cfRule type="containsText" dxfId="2370" priority="554" operator="containsText" text="NP">
      <formula>NOT(ISERROR(SEARCH("NP",A80)))</formula>
    </cfRule>
  </conditionalFormatting>
  <conditionalFormatting sqref="A80">
    <cfRule type="expression" dxfId="2369" priority="551">
      <formula>ISBLANK(A80)</formula>
    </cfRule>
  </conditionalFormatting>
  <conditionalFormatting sqref="B80">
    <cfRule type="containsText" dxfId="2368" priority="549" operator="containsText" text="NP">
      <formula>NOT(ISERROR(SEARCH("NP",B80)))</formula>
    </cfRule>
    <cfRule type="cellIs" dxfId="2367" priority="550" operator="lessThan">
      <formula>5</formula>
    </cfRule>
  </conditionalFormatting>
  <conditionalFormatting sqref="B80">
    <cfRule type="expression" dxfId="2366" priority="547">
      <formula>AND(OR(ROW()=CELL("row"),COLUMN()=CELL("col")),NOT(ISBLANK($C80)),NOT(ISBLANK($B80)),ROW()&gt;2,COLUMN()&gt;1)</formula>
    </cfRule>
  </conditionalFormatting>
  <conditionalFormatting sqref="B80">
    <cfRule type="expression" dxfId="2365" priority="546">
      <formula>SUM(--ISBLANK($B80:$J80))=COLUMNS($B80:$J80)</formula>
    </cfRule>
  </conditionalFormatting>
  <conditionalFormatting sqref="B80">
    <cfRule type="containsText" dxfId="2364" priority="548" operator="containsText" text="NP">
      <formula>NOT(ISERROR(SEARCH("NP",B80)))</formula>
    </cfRule>
  </conditionalFormatting>
  <conditionalFormatting sqref="B80">
    <cfRule type="expression" dxfId="2363" priority="545">
      <formula>ISBLANK(B80)</formula>
    </cfRule>
  </conditionalFormatting>
  <conditionalFormatting sqref="B80">
    <cfRule type="expression" dxfId="2362" priority="543">
      <formula>AND(ISNUMBER(B80), OR(B80&gt;10, B80&lt;0))</formula>
    </cfRule>
  </conditionalFormatting>
  <conditionalFormatting sqref="B80">
    <cfRule type="expression" dxfId="2361" priority="542">
      <formula>AND(NOT(ISNUMBER(B80)), B80&lt;&gt;"NP", B80&lt;&gt;"Reconocimiento Créditos", B80&lt;&gt;"Aprobado en otro curso")</formula>
    </cfRule>
  </conditionalFormatting>
  <conditionalFormatting sqref="B80">
    <cfRule type="containsText" dxfId="2360" priority="541" operator="containsText" text="Reconocimiento Créditos">
      <formula>NOT(ISERROR(SEARCH("Reconocimiento Créditos",B80)))</formula>
    </cfRule>
  </conditionalFormatting>
  <conditionalFormatting sqref="B80">
    <cfRule type="containsText" dxfId="2359" priority="544" operator="containsText" text="Aprobado en otro curso">
      <formula>NOT(ISERROR(SEARCH("Aprobado en otro curso",B80)))</formula>
    </cfRule>
  </conditionalFormatting>
  <conditionalFormatting sqref="A81">
    <cfRule type="expression" dxfId="2358" priority="539">
      <formula>AND(OR(ROW()=CELL("row"),COLUMN()=CELL("col")),NOT(ISBLANK($C81)),NOT(ISBLANK($B81)),ROW()&gt;2,COLUMN()&gt;1)</formula>
    </cfRule>
  </conditionalFormatting>
  <conditionalFormatting sqref="A81">
    <cfRule type="expression" dxfId="2357" priority="538">
      <formula>SUM(--ISBLANK($B81:$J81))=COLUMNS($B81:$J81)</formula>
    </cfRule>
  </conditionalFormatting>
  <conditionalFormatting sqref="A81">
    <cfRule type="containsText" dxfId="2356" priority="540" operator="containsText" text="NP">
      <formula>NOT(ISERROR(SEARCH("NP",A81)))</formula>
    </cfRule>
  </conditionalFormatting>
  <conditionalFormatting sqref="A81">
    <cfRule type="expression" dxfId="2355" priority="537">
      <formula>ISBLANK(A81)</formula>
    </cfRule>
  </conditionalFormatting>
  <conditionalFormatting sqref="B81">
    <cfRule type="containsText" dxfId="2354" priority="535" operator="containsText" text="NP">
      <formula>NOT(ISERROR(SEARCH("NP",B81)))</formula>
    </cfRule>
    <cfRule type="cellIs" dxfId="2353" priority="536" operator="lessThan">
      <formula>5</formula>
    </cfRule>
  </conditionalFormatting>
  <conditionalFormatting sqref="B81">
    <cfRule type="expression" dxfId="2352" priority="533">
      <formula>AND(OR(ROW()=CELL("row"),COLUMN()=CELL("col")),NOT(ISBLANK($C81)),NOT(ISBLANK($B81)),ROW()&gt;2,COLUMN()&gt;1)</formula>
    </cfRule>
  </conditionalFormatting>
  <conditionalFormatting sqref="B81">
    <cfRule type="expression" dxfId="2351" priority="532">
      <formula>SUM(--ISBLANK($B81:$J81))=COLUMNS($B81:$J81)</formula>
    </cfRule>
  </conditionalFormatting>
  <conditionalFormatting sqref="B81">
    <cfRule type="containsText" dxfId="2350" priority="534" operator="containsText" text="NP">
      <formula>NOT(ISERROR(SEARCH("NP",B81)))</formula>
    </cfRule>
  </conditionalFormatting>
  <conditionalFormatting sqref="B81">
    <cfRule type="expression" dxfId="2349" priority="531">
      <formula>ISBLANK(B81)</formula>
    </cfRule>
  </conditionalFormatting>
  <conditionalFormatting sqref="B81">
    <cfRule type="expression" dxfId="2348" priority="529">
      <formula>AND(ISNUMBER(B81), OR(B81&gt;10, B81&lt;0))</formula>
    </cfRule>
  </conditionalFormatting>
  <conditionalFormatting sqref="B81">
    <cfRule type="expression" dxfId="2347" priority="528">
      <formula>AND(NOT(ISNUMBER(B81)), B81&lt;&gt;"NP", B81&lt;&gt;"Reconocimiento Créditos", B81&lt;&gt;"Aprobado en otro curso")</formula>
    </cfRule>
  </conditionalFormatting>
  <conditionalFormatting sqref="B81">
    <cfRule type="containsText" dxfId="2346" priority="527" operator="containsText" text="Reconocimiento Créditos">
      <formula>NOT(ISERROR(SEARCH("Reconocimiento Créditos",B81)))</formula>
    </cfRule>
  </conditionalFormatting>
  <conditionalFormatting sqref="B81">
    <cfRule type="containsText" dxfId="2345" priority="530" operator="containsText" text="Aprobado en otro curso">
      <formula>NOT(ISERROR(SEARCH("Aprobado en otro curso",B81)))</formula>
    </cfRule>
  </conditionalFormatting>
  <conditionalFormatting sqref="A82">
    <cfRule type="expression" dxfId="2344" priority="525">
      <formula>AND(OR(ROW()=CELL("row"),COLUMN()=CELL("col")),NOT(ISBLANK($C82)),NOT(ISBLANK($B82)),ROW()&gt;2,COLUMN()&gt;1)</formula>
    </cfRule>
  </conditionalFormatting>
  <conditionalFormatting sqref="A82">
    <cfRule type="expression" dxfId="2343" priority="524">
      <formula>SUM(--ISBLANK($B82:$J82))=COLUMNS($B82:$J82)</formula>
    </cfRule>
  </conditionalFormatting>
  <conditionalFormatting sqref="A82">
    <cfRule type="containsText" dxfId="2342" priority="526" operator="containsText" text="NP">
      <formula>NOT(ISERROR(SEARCH("NP",A82)))</formula>
    </cfRule>
  </conditionalFormatting>
  <conditionalFormatting sqref="A82">
    <cfRule type="expression" dxfId="2341" priority="523">
      <formula>ISBLANK(A82)</formula>
    </cfRule>
  </conditionalFormatting>
  <conditionalFormatting sqref="B82">
    <cfRule type="containsText" dxfId="2340" priority="521" operator="containsText" text="NP">
      <formula>NOT(ISERROR(SEARCH("NP",B82)))</formula>
    </cfRule>
    <cfRule type="cellIs" dxfId="2339" priority="522" operator="lessThan">
      <formula>5</formula>
    </cfRule>
  </conditionalFormatting>
  <conditionalFormatting sqref="B82">
    <cfRule type="expression" dxfId="2338" priority="519">
      <formula>AND(OR(ROW()=CELL("row"),COLUMN()=CELL("col")),NOT(ISBLANK($C82)),NOT(ISBLANK($B82)),ROW()&gt;2,COLUMN()&gt;1)</formula>
    </cfRule>
  </conditionalFormatting>
  <conditionalFormatting sqref="B82">
    <cfRule type="expression" dxfId="2337" priority="518">
      <formula>SUM(--ISBLANK($B82:$J82))=COLUMNS($B82:$J82)</formula>
    </cfRule>
  </conditionalFormatting>
  <conditionalFormatting sqref="B82">
    <cfRule type="containsText" dxfId="2336" priority="520" operator="containsText" text="NP">
      <formula>NOT(ISERROR(SEARCH("NP",B82)))</formula>
    </cfRule>
  </conditionalFormatting>
  <conditionalFormatting sqref="B82">
    <cfRule type="expression" dxfId="2335" priority="517">
      <formula>ISBLANK(B82)</formula>
    </cfRule>
  </conditionalFormatting>
  <conditionalFormatting sqref="B82">
    <cfRule type="expression" dxfId="2334" priority="515">
      <formula>AND(ISNUMBER(B82), OR(B82&gt;10, B82&lt;0))</formula>
    </cfRule>
  </conditionalFormatting>
  <conditionalFormatting sqref="B82">
    <cfRule type="expression" dxfId="2333" priority="514">
      <formula>AND(NOT(ISNUMBER(B82)), B82&lt;&gt;"NP", B82&lt;&gt;"Reconocimiento Créditos", B82&lt;&gt;"Aprobado en otro curso")</formula>
    </cfRule>
  </conditionalFormatting>
  <conditionalFormatting sqref="B82">
    <cfRule type="containsText" dxfId="2332" priority="513" operator="containsText" text="Reconocimiento Créditos">
      <formula>NOT(ISERROR(SEARCH("Reconocimiento Créditos",B82)))</formula>
    </cfRule>
  </conditionalFormatting>
  <conditionalFormatting sqref="B82">
    <cfRule type="containsText" dxfId="2331" priority="516" operator="containsText" text="Aprobado en otro curso">
      <formula>NOT(ISERROR(SEARCH("Aprobado en otro curso",B82)))</formula>
    </cfRule>
  </conditionalFormatting>
  <conditionalFormatting sqref="A83">
    <cfRule type="expression" dxfId="2330" priority="511">
      <formula>AND(OR(ROW()=CELL("row"),COLUMN()=CELL("col")),NOT(ISBLANK($C83)),NOT(ISBLANK($B83)),ROW()&gt;2,COLUMN()&gt;1)</formula>
    </cfRule>
  </conditionalFormatting>
  <conditionalFormatting sqref="A83">
    <cfRule type="expression" dxfId="2329" priority="510">
      <formula>SUM(--ISBLANK($B83:$J83))=COLUMNS($B83:$J83)</formula>
    </cfRule>
  </conditionalFormatting>
  <conditionalFormatting sqref="A83">
    <cfRule type="containsText" dxfId="2328" priority="512" operator="containsText" text="NP">
      <formula>NOT(ISERROR(SEARCH("NP",A83)))</formula>
    </cfRule>
  </conditionalFormatting>
  <conditionalFormatting sqref="A83">
    <cfRule type="expression" dxfId="2327" priority="509">
      <formula>ISBLANK(A83)</formula>
    </cfRule>
  </conditionalFormatting>
  <conditionalFormatting sqref="B83">
    <cfRule type="containsText" dxfId="2326" priority="507" operator="containsText" text="NP">
      <formula>NOT(ISERROR(SEARCH("NP",B83)))</formula>
    </cfRule>
    <cfRule type="cellIs" dxfId="2325" priority="508" operator="lessThan">
      <formula>5</formula>
    </cfRule>
  </conditionalFormatting>
  <conditionalFormatting sqref="B83">
    <cfRule type="expression" dxfId="2324" priority="505">
      <formula>AND(OR(ROW()=CELL("row"),COLUMN()=CELL("col")),NOT(ISBLANK($C83)),NOT(ISBLANK($B83)),ROW()&gt;2,COLUMN()&gt;1)</formula>
    </cfRule>
  </conditionalFormatting>
  <conditionalFormatting sqref="B83">
    <cfRule type="expression" dxfId="2323" priority="504">
      <formula>SUM(--ISBLANK($B83:$J83))=COLUMNS($B83:$J83)</formula>
    </cfRule>
  </conditionalFormatting>
  <conditionalFormatting sqref="B83">
    <cfRule type="containsText" dxfId="2322" priority="506" operator="containsText" text="NP">
      <formula>NOT(ISERROR(SEARCH("NP",B83)))</formula>
    </cfRule>
  </conditionalFormatting>
  <conditionalFormatting sqref="B83">
    <cfRule type="expression" dxfId="2321" priority="503">
      <formula>ISBLANK(B83)</formula>
    </cfRule>
  </conditionalFormatting>
  <conditionalFormatting sqref="B83">
    <cfRule type="expression" dxfId="2320" priority="501">
      <formula>AND(ISNUMBER(B83), OR(B83&gt;10, B83&lt;0))</formula>
    </cfRule>
  </conditionalFormatting>
  <conditionalFormatting sqref="B83">
    <cfRule type="expression" dxfId="2319" priority="500">
      <formula>AND(NOT(ISNUMBER(B83)), B83&lt;&gt;"NP", B83&lt;&gt;"Reconocimiento Créditos", B83&lt;&gt;"Aprobado en otro curso")</formula>
    </cfRule>
  </conditionalFormatting>
  <conditionalFormatting sqref="B83">
    <cfRule type="containsText" dxfId="2318" priority="499" operator="containsText" text="Reconocimiento Créditos">
      <formula>NOT(ISERROR(SEARCH("Reconocimiento Créditos",B83)))</formula>
    </cfRule>
  </conditionalFormatting>
  <conditionalFormatting sqref="B83">
    <cfRule type="containsText" dxfId="2317" priority="502" operator="containsText" text="Aprobado en otro curso">
      <formula>NOT(ISERROR(SEARCH("Aprobado en otro curso",B83)))</formula>
    </cfRule>
  </conditionalFormatting>
  <conditionalFormatting sqref="A84">
    <cfRule type="expression" dxfId="2316" priority="497">
      <formula>AND(OR(ROW()=CELL("row"),COLUMN()=CELL("col")),NOT(ISBLANK($C84)),NOT(ISBLANK($B84)),ROW()&gt;2,COLUMN()&gt;1)</formula>
    </cfRule>
  </conditionalFormatting>
  <conditionalFormatting sqref="A84">
    <cfRule type="expression" dxfId="2315" priority="496">
      <formula>SUM(--ISBLANK($B84:$J84))=COLUMNS($B84:$J84)</formula>
    </cfRule>
  </conditionalFormatting>
  <conditionalFormatting sqref="A84">
    <cfRule type="containsText" dxfId="2314" priority="498" operator="containsText" text="NP">
      <formula>NOT(ISERROR(SEARCH("NP",A84)))</formula>
    </cfRule>
  </conditionalFormatting>
  <conditionalFormatting sqref="A84">
    <cfRule type="expression" dxfId="2313" priority="495">
      <formula>ISBLANK(A84)</formula>
    </cfRule>
  </conditionalFormatting>
  <conditionalFormatting sqref="B84">
    <cfRule type="containsText" dxfId="2312" priority="493" operator="containsText" text="NP">
      <formula>NOT(ISERROR(SEARCH("NP",B84)))</formula>
    </cfRule>
    <cfRule type="cellIs" dxfId="2311" priority="494" operator="lessThan">
      <formula>5</formula>
    </cfRule>
  </conditionalFormatting>
  <conditionalFormatting sqref="B84">
    <cfRule type="expression" dxfId="2310" priority="491">
      <formula>AND(OR(ROW()=CELL("row"),COLUMN()=CELL("col")),NOT(ISBLANK($C84)),NOT(ISBLANK($B84)),ROW()&gt;2,COLUMN()&gt;1)</formula>
    </cfRule>
  </conditionalFormatting>
  <conditionalFormatting sqref="B84">
    <cfRule type="expression" dxfId="2309" priority="490">
      <formula>SUM(--ISBLANK($B84:$J84))=COLUMNS($B84:$J84)</formula>
    </cfRule>
  </conditionalFormatting>
  <conditionalFormatting sqref="B84">
    <cfRule type="containsText" dxfId="2308" priority="492" operator="containsText" text="NP">
      <formula>NOT(ISERROR(SEARCH("NP",B84)))</formula>
    </cfRule>
  </conditionalFormatting>
  <conditionalFormatting sqref="B84">
    <cfRule type="expression" dxfId="2307" priority="489">
      <formula>ISBLANK(B84)</formula>
    </cfRule>
  </conditionalFormatting>
  <conditionalFormatting sqref="B84">
    <cfRule type="expression" dxfId="2306" priority="487">
      <formula>AND(ISNUMBER(B84), OR(B84&gt;10, B84&lt;0))</formula>
    </cfRule>
  </conditionalFormatting>
  <conditionalFormatting sqref="B84">
    <cfRule type="expression" dxfId="2305" priority="486">
      <formula>AND(NOT(ISNUMBER(B84)), B84&lt;&gt;"NP", B84&lt;&gt;"Reconocimiento Créditos", B84&lt;&gt;"Aprobado en otro curso")</formula>
    </cfRule>
  </conditionalFormatting>
  <conditionalFormatting sqref="B84">
    <cfRule type="containsText" dxfId="2304" priority="485" operator="containsText" text="Reconocimiento Créditos">
      <formula>NOT(ISERROR(SEARCH("Reconocimiento Créditos",B84)))</formula>
    </cfRule>
  </conditionalFormatting>
  <conditionalFormatting sqref="B84">
    <cfRule type="containsText" dxfId="2303" priority="488" operator="containsText" text="Aprobado en otro curso">
      <formula>NOT(ISERROR(SEARCH("Aprobado en otro curso",B84)))</formula>
    </cfRule>
  </conditionalFormatting>
  <conditionalFormatting sqref="A85">
    <cfRule type="containsText" dxfId="2302" priority="481" operator="containsText" text="NP">
      <formula>NOT(ISERROR(SEARCH("NP",A85)))</formula>
    </cfRule>
    <cfRule type="cellIs" dxfId="2301" priority="482" operator="lessThan">
      <formula>5</formula>
    </cfRule>
  </conditionalFormatting>
  <conditionalFormatting sqref="A85">
    <cfRule type="expression" dxfId="2300" priority="479">
      <formula>SUM(--ISBLANK($B85:$J85))=COLUMNS($B85:$J85)</formula>
    </cfRule>
  </conditionalFormatting>
  <conditionalFormatting sqref="A85">
    <cfRule type="containsText" dxfId="2299" priority="480" operator="containsText" text="NP">
      <formula>NOT(ISERROR(SEARCH("NP",A85)))</formula>
    </cfRule>
  </conditionalFormatting>
  <conditionalFormatting sqref="A85">
    <cfRule type="expression" dxfId="2298" priority="483">
      <formula>AND(OR(ROW()=CELL("row"),COLUMN()=CELL("col")),NOT(ISBLANK(#REF!)),NOT(ISBLANK(#REF!)),ROW()&gt;2,COLUMN()&gt;1)</formula>
    </cfRule>
  </conditionalFormatting>
  <conditionalFormatting sqref="A85">
    <cfRule type="expression" dxfId="2297" priority="484">
      <formula>SUM(--ISBLANK($B85:$F85))=COLUMNS($B85:$F85)</formula>
    </cfRule>
  </conditionalFormatting>
  <conditionalFormatting sqref="A85">
    <cfRule type="expression" dxfId="2296" priority="478">
      <formula>AND(OR(ROW()=CELL("row"),COLUMN()=CELL("col")),NOT(ISBLANK($C85)),NOT(ISBLANK($B85)),ROW()&gt;2,COLUMN()&gt;1)</formula>
    </cfRule>
  </conditionalFormatting>
  <conditionalFormatting sqref="A85">
    <cfRule type="expression" dxfId="2295" priority="477">
      <formula>ISBLANK(A85)</formula>
    </cfRule>
  </conditionalFormatting>
  <conditionalFormatting sqref="B85">
    <cfRule type="expression" dxfId="2294" priority="476">
      <formula>ISBLANK(B85)</formula>
    </cfRule>
  </conditionalFormatting>
  <conditionalFormatting sqref="B85">
    <cfRule type="expression" dxfId="2293" priority="474">
      <formula>AND(ISNUMBER(B85), OR(B85&gt;10, B85&lt;0))</formula>
    </cfRule>
  </conditionalFormatting>
  <conditionalFormatting sqref="B85">
    <cfRule type="containsText" dxfId="2292" priority="473" operator="containsText" text="Reconocimiento Créditos">
      <formula>NOT(ISERROR(SEARCH("Reconocimiento Créditos",B85)))</formula>
    </cfRule>
  </conditionalFormatting>
  <conditionalFormatting sqref="B85">
    <cfRule type="containsText" dxfId="2291" priority="475" operator="containsText" text="Aprobado en otro curso">
      <formula>NOT(ISERROR(SEARCH("Aprobado en otro curso",B85)))</formula>
    </cfRule>
  </conditionalFormatting>
  <conditionalFormatting sqref="A86">
    <cfRule type="expression" dxfId="2290" priority="471">
      <formula>AND(OR(ROW()=CELL("row"),COLUMN()=CELL("col")),NOT(ISBLANK($C86)),NOT(ISBLANK($B86)),ROW()&gt;2,COLUMN()&gt;1)</formula>
    </cfRule>
  </conditionalFormatting>
  <conditionalFormatting sqref="A86">
    <cfRule type="expression" dxfId="2289" priority="470">
      <formula>SUM(--ISBLANK($B86:$J86))=COLUMNS($B86:$J86)</formula>
    </cfRule>
  </conditionalFormatting>
  <conditionalFormatting sqref="A86">
    <cfRule type="containsText" dxfId="2288" priority="472" operator="containsText" text="NP">
      <formula>NOT(ISERROR(SEARCH("NP",A86)))</formula>
    </cfRule>
  </conditionalFormatting>
  <conditionalFormatting sqref="A86">
    <cfRule type="expression" dxfId="2287" priority="469">
      <formula>ISBLANK(A86)</formula>
    </cfRule>
  </conditionalFormatting>
  <conditionalFormatting sqref="B86">
    <cfRule type="containsText" dxfId="2286" priority="467" operator="containsText" text="NP">
      <formula>NOT(ISERROR(SEARCH("NP",B86)))</formula>
    </cfRule>
    <cfRule type="cellIs" dxfId="2285" priority="468" operator="lessThan">
      <formula>5</formula>
    </cfRule>
  </conditionalFormatting>
  <conditionalFormatting sqref="B86">
    <cfRule type="expression" dxfId="2284" priority="465">
      <formula>AND(OR(ROW()=CELL("row"),COLUMN()=CELL("col")),NOT(ISBLANK($C86)),NOT(ISBLANK($B86)),ROW()&gt;2,COLUMN()&gt;1)</formula>
    </cfRule>
  </conditionalFormatting>
  <conditionalFormatting sqref="B86">
    <cfRule type="expression" dxfId="2283" priority="464">
      <formula>SUM(--ISBLANK($B86:$J86))=COLUMNS($B86:$J86)</formula>
    </cfRule>
  </conditionalFormatting>
  <conditionalFormatting sqref="B86">
    <cfRule type="containsText" dxfId="2282" priority="466" operator="containsText" text="NP">
      <formula>NOT(ISERROR(SEARCH("NP",B86)))</formula>
    </cfRule>
  </conditionalFormatting>
  <conditionalFormatting sqref="B86">
    <cfRule type="expression" dxfId="2281" priority="463">
      <formula>AND(OR(ROW()=CELL("row"),COLUMN()=CELL("col")),NOT(ISBLANK($C86)),NOT(ISBLANK($B86)),ROW()&gt;2,COLUMN()&gt;1)</formula>
    </cfRule>
  </conditionalFormatting>
  <conditionalFormatting sqref="B86">
    <cfRule type="expression" dxfId="2280" priority="462">
      <formula>ISBLANK(B86)</formula>
    </cfRule>
  </conditionalFormatting>
  <conditionalFormatting sqref="B86">
    <cfRule type="expression" dxfId="2279" priority="460">
      <formula>AND(ISNUMBER(B86), OR(B86&gt;10, B86&lt;0))</formula>
    </cfRule>
  </conditionalFormatting>
  <conditionalFormatting sqref="B86">
    <cfRule type="containsText" dxfId="2278" priority="459" operator="containsText" text="Reconocimiento Créditos">
      <formula>NOT(ISERROR(SEARCH("Reconocimiento Créditos",B86)))</formula>
    </cfRule>
  </conditionalFormatting>
  <conditionalFormatting sqref="B86">
    <cfRule type="containsText" dxfId="2277" priority="461" operator="containsText" text="Aprobado en otro curso">
      <formula>NOT(ISERROR(SEARCH("Aprobado en otro curso",B86)))</formula>
    </cfRule>
  </conditionalFormatting>
  <conditionalFormatting sqref="A87">
    <cfRule type="expression" dxfId="2276" priority="457">
      <formula>AND(OR(ROW()=CELL("row"),COLUMN()=CELL("col")),NOT(ISBLANK($C87)),NOT(ISBLANK($B87)),ROW()&gt;2,COLUMN()&gt;1)</formula>
    </cfRule>
  </conditionalFormatting>
  <conditionalFormatting sqref="A87">
    <cfRule type="expression" dxfId="2275" priority="456">
      <formula>SUM(--ISBLANK($B87:$J87))=COLUMNS($B87:$J87)</formula>
    </cfRule>
  </conditionalFormatting>
  <conditionalFormatting sqref="A87">
    <cfRule type="containsText" dxfId="2274" priority="458" operator="containsText" text="NP">
      <formula>NOT(ISERROR(SEARCH("NP",A87)))</formula>
    </cfRule>
  </conditionalFormatting>
  <conditionalFormatting sqref="A87">
    <cfRule type="expression" dxfId="2273" priority="455">
      <formula>ISBLANK(A87)</formula>
    </cfRule>
  </conditionalFormatting>
  <conditionalFormatting sqref="B87">
    <cfRule type="containsText" dxfId="2272" priority="453" operator="containsText" text="NP">
      <formula>NOT(ISERROR(SEARCH("NP",B87)))</formula>
    </cfRule>
    <cfRule type="cellIs" dxfId="2271" priority="454" operator="lessThan">
      <formula>5</formula>
    </cfRule>
  </conditionalFormatting>
  <conditionalFormatting sqref="B87">
    <cfRule type="expression" dxfId="2270" priority="451">
      <formula>AND(OR(ROW()=CELL("row"),COLUMN()=CELL("col")),NOT(ISBLANK($C87)),NOT(ISBLANK($B87)),ROW()&gt;2,COLUMN()&gt;1)</formula>
    </cfRule>
  </conditionalFormatting>
  <conditionalFormatting sqref="B87">
    <cfRule type="expression" dxfId="2269" priority="450">
      <formula>SUM(--ISBLANK($B87:$J87))=COLUMNS($B87:$J87)</formula>
    </cfRule>
  </conditionalFormatting>
  <conditionalFormatting sqref="B87">
    <cfRule type="containsText" dxfId="2268" priority="452" operator="containsText" text="NP">
      <formula>NOT(ISERROR(SEARCH("NP",B87)))</formula>
    </cfRule>
  </conditionalFormatting>
  <conditionalFormatting sqref="B87">
    <cfRule type="expression" dxfId="2267" priority="449">
      <formula>ISBLANK(B87)</formula>
    </cfRule>
  </conditionalFormatting>
  <conditionalFormatting sqref="B87">
    <cfRule type="expression" dxfId="2266" priority="447">
      <formula>AND(ISNUMBER(B87), OR(B87&gt;10, B87&lt;0))</formula>
    </cfRule>
  </conditionalFormatting>
  <conditionalFormatting sqref="B87">
    <cfRule type="containsText" dxfId="2265" priority="446" operator="containsText" text="Reconocimiento Créditos">
      <formula>NOT(ISERROR(SEARCH("Reconocimiento Créditos",B87)))</formula>
    </cfRule>
  </conditionalFormatting>
  <conditionalFormatting sqref="B87">
    <cfRule type="containsText" dxfId="2264" priority="448" operator="containsText" text="Aprobado en otro curso">
      <formula>NOT(ISERROR(SEARCH("Aprobado en otro curso",B87)))</formula>
    </cfRule>
  </conditionalFormatting>
  <conditionalFormatting sqref="A88">
    <cfRule type="expression" dxfId="2263" priority="444">
      <formula>AND(OR(ROW()=CELL("row"),COLUMN()=CELL("col")),NOT(ISBLANK($C88)),NOT(ISBLANK($B88)),ROW()&gt;2,COLUMN()&gt;1)</formula>
    </cfRule>
  </conditionalFormatting>
  <conditionalFormatting sqref="A88">
    <cfRule type="expression" dxfId="2262" priority="443">
      <formula>SUM(--ISBLANK($B88:$J88))=COLUMNS($B88:$J88)</formula>
    </cfRule>
  </conditionalFormatting>
  <conditionalFormatting sqref="A88">
    <cfRule type="containsText" dxfId="2261" priority="445" operator="containsText" text="NP">
      <formula>NOT(ISERROR(SEARCH("NP",A88)))</formula>
    </cfRule>
  </conditionalFormatting>
  <conditionalFormatting sqref="A88">
    <cfRule type="expression" dxfId="2260" priority="442">
      <formula>ISBLANK(A88)</formula>
    </cfRule>
  </conditionalFormatting>
  <conditionalFormatting sqref="B88">
    <cfRule type="containsText" dxfId="2259" priority="440" operator="containsText" text="NP">
      <formula>NOT(ISERROR(SEARCH("NP",B88)))</formula>
    </cfRule>
    <cfRule type="cellIs" dxfId="2258" priority="441" operator="lessThan">
      <formula>5</formula>
    </cfRule>
  </conditionalFormatting>
  <conditionalFormatting sqref="B88">
    <cfRule type="expression" dxfId="2257" priority="438">
      <formula>AND(OR(ROW()=CELL("row"),COLUMN()=CELL("col")),NOT(ISBLANK($C88)),NOT(ISBLANK($B88)),ROW()&gt;2,COLUMN()&gt;1)</formula>
    </cfRule>
  </conditionalFormatting>
  <conditionalFormatting sqref="B88">
    <cfRule type="expression" dxfId="2256" priority="437">
      <formula>SUM(--ISBLANK($B88:$J88))=COLUMNS($B88:$J88)</formula>
    </cfRule>
  </conditionalFormatting>
  <conditionalFormatting sqref="B88">
    <cfRule type="containsText" dxfId="2255" priority="439" operator="containsText" text="NP">
      <formula>NOT(ISERROR(SEARCH("NP",B88)))</formula>
    </cfRule>
  </conditionalFormatting>
  <conditionalFormatting sqref="B88">
    <cfRule type="expression" dxfId="2254" priority="436">
      <formula>ISBLANK(B88)</formula>
    </cfRule>
  </conditionalFormatting>
  <conditionalFormatting sqref="B88">
    <cfRule type="expression" dxfId="2253" priority="434">
      <formula>AND(ISNUMBER(B88), OR(B88&gt;10, B88&lt;0))</formula>
    </cfRule>
  </conditionalFormatting>
  <conditionalFormatting sqref="B88">
    <cfRule type="expression" dxfId="2252" priority="433">
      <formula>AND(NOT(ISNUMBER(B88)), B88&lt;&gt;"NP", B88&lt;&gt;"Reconocimiento Créditos", B88&lt;&gt;"Aprobado en otro curso")</formula>
    </cfRule>
  </conditionalFormatting>
  <conditionalFormatting sqref="B88">
    <cfRule type="containsText" dxfId="2251" priority="432" operator="containsText" text="Reconocimiento Créditos">
      <formula>NOT(ISERROR(SEARCH("Reconocimiento Créditos",B88)))</formula>
    </cfRule>
  </conditionalFormatting>
  <conditionalFormatting sqref="B88">
    <cfRule type="containsText" dxfId="2250" priority="435" operator="containsText" text="Aprobado en otro curso">
      <formula>NOT(ISERROR(SEARCH("Aprobado en otro curso",B88)))</formula>
    </cfRule>
  </conditionalFormatting>
  <conditionalFormatting sqref="A89">
    <cfRule type="expression" dxfId="2249" priority="430">
      <formula>AND(OR(ROW()=CELL("row"),COLUMN()=CELL("col")),NOT(ISBLANK($C89)),NOT(ISBLANK($B89)),ROW()&gt;2,COLUMN()&gt;1)</formula>
    </cfRule>
  </conditionalFormatting>
  <conditionalFormatting sqref="A89">
    <cfRule type="expression" dxfId="2248" priority="429">
      <formula>SUM(--ISBLANK($B89:$J89))=COLUMNS($B89:$J89)</formula>
    </cfRule>
  </conditionalFormatting>
  <conditionalFormatting sqref="A89">
    <cfRule type="containsText" dxfId="2247" priority="431" operator="containsText" text="NP">
      <formula>NOT(ISERROR(SEARCH("NP",A89)))</formula>
    </cfRule>
  </conditionalFormatting>
  <conditionalFormatting sqref="A89">
    <cfRule type="expression" dxfId="2246" priority="428">
      <formula>ISBLANK(A89)</formula>
    </cfRule>
  </conditionalFormatting>
  <conditionalFormatting sqref="B89">
    <cfRule type="containsText" dxfId="2245" priority="426" operator="containsText" text="NP">
      <formula>NOT(ISERROR(SEARCH("NP",B89)))</formula>
    </cfRule>
    <cfRule type="cellIs" dxfId="2244" priority="427" operator="lessThan">
      <formula>5</formula>
    </cfRule>
  </conditionalFormatting>
  <conditionalFormatting sqref="B89">
    <cfRule type="expression" dxfId="2243" priority="424">
      <formula>AND(OR(ROW()=CELL("row"),COLUMN()=CELL("col")),NOT(ISBLANK($C89)),NOT(ISBLANK($B89)),ROW()&gt;2,COLUMN()&gt;1)</formula>
    </cfRule>
  </conditionalFormatting>
  <conditionalFormatting sqref="B89">
    <cfRule type="expression" dxfId="2242" priority="423">
      <formula>SUM(--ISBLANK($B89:$J89))=COLUMNS($B89:$J89)</formula>
    </cfRule>
  </conditionalFormatting>
  <conditionalFormatting sqref="B89">
    <cfRule type="containsText" dxfId="2241" priority="425" operator="containsText" text="NP">
      <formula>NOT(ISERROR(SEARCH("NP",B89)))</formula>
    </cfRule>
  </conditionalFormatting>
  <conditionalFormatting sqref="B89">
    <cfRule type="expression" dxfId="2240" priority="422">
      <formula>ISBLANK(B89)</formula>
    </cfRule>
  </conditionalFormatting>
  <conditionalFormatting sqref="B89">
    <cfRule type="expression" dxfId="2239" priority="420">
      <formula>AND(ISNUMBER(B89), OR(B89&gt;10, B89&lt;0))</formula>
    </cfRule>
  </conditionalFormatting>
  <conditionalFormatting sqref="B89">
    <cfRule type="expression" dxfId="2238" priority="419">
      <formula>AND(NOT(ISNUMBER(B89)), B89&lt;&gt;"NP", B89&lt;&gt;"Reconocimiento Créditos", B89&lt;&gt;"Aprobado en otro curso")</formula>
    </cfRule>
  </conditionalFormatting>
  <conditionalFormatting sqref="B89">
    <cfRule type="containsText" dxfId="2237" priority="418" operator="containsText" text="Reconocimiento Créditos">
      <formula>NOT(ISERROR(SEARCH("Reconocimiento Créditos",B89)))</formula>
    </cfRule>
  </conditionalFormatting>
  <conditionalFormatting sqref="B89">
    <cfRule type="containsText" dxfId="2236" priority="421" operator="containsText" text="Aprobado en otro curso">
      <formula>NOT(ISERROR(SEARCH("Aprobado en otro curso",B89)))</formula>
    </cfRule>
  </conditionalFormatting>
  <conditionalFormatting sqref="A90">
    <cfRule type="expression" dxfId="2235" priority="416">
      <formula>AND(OR(ROW()=CELL("row"),COLUMN()=CELL("col")),NOT(ISBLANK($C90)),NOT(ISBLANK($B90)),ROW()&gt;2,COLUMN()&gt;1)</formula>
    </cfRule>
  </conditionalFormatting>
  <conditionalFormatting sqref="A90">
    <cfRule type="expression" dxfId="2234" priority="415">
      <formula>SUM(--ISBLANK($B90:$J90))=COLUMNS($B90:$J90)</formula>
    </cfRule>
  </conditionalFormatting>
  <conditionalFormatting sqref="A90">
    <cfRule type="containsText" dxfId="2233" priority="417" operator="containsText" text="NP">
      <formula>NOT(ISERROR(SEARCH("NP",A90)))</formula>
    </cfRule>
  </conditionalFormatting>
  <conditionalFormatting sqref="A90">
    <cfRule type="expression" dxfId="2232" priority="414">
      <formula>ISBLANK(A90)</formula>
    </cfRule>
  </conditionalFormatting>
  <conditionalFormatting sqref="B90">
    <cfRule type="containsText" dxfId="2231" priority="412" operator="containsText" text="NP">
      <formula>NOT(ISERROR(SEARCH("NP",B90)))</formula>
    </cfRule>
    <cfRule type="cellIs" dxfId="2230" priority="413" operator="lessThan">
      <formula>5</formula>
    </cfRule>
  </conditionalFormatting>
  <conditionalFormatting sqref="B90">
    <cfRule type="expression" dxfId="2229" priority="410">
      <formula>AND(OR(ROW()=CELL("row"),COLUMN()=CELL("col")),NOT(ISBLANK($C90)),NOT(ISBLANK($B90)),ROW()&gt;2,COLUMN()&gt;1)</formula>
    </cfRule>
  </conditionalFormatting>
  <conditionalFormatting sqref="B90">
    <cfRule type="expression" dxfId="2228" priority="409">
      <formula>SUM(--ISBLANK($B90:$J90))=COLUMNS($B90:$J90)</formula>
    </cfRule>
  </conditionalFormatting>
  <conditionalFormatting sqref="B90">
    <cfRule type="containsText" dxfId="2227" priority="411" operator="containsText" text="NP">
      <formula>NOT(ISERROR(SEARCH("NP",B90)))</formula>
    </cfRule>
  </conditionalFormatting>
  <conditionalFormatting sqref="B90">
    <cfRule type="expression" dxfId="2226" priority="408">
      <formula>ISBLANK(B90)</formula>
    </cfRule>
  </conditionalFormatting>
  <conditionalFormatting sqref="B90">
    <cfRule type="expression" dxfId="2225" priority="406">
      <formula>AND(ISNUMBER(B90), OR(B90&gt;10, B90&lt;0))</formula>
    </cfRule>
  </conditionalFormatting>
  <conditionalFormatting sqref="B90">
    <cfRule type="expression" dxfId="2224" priority="405">
      <formula>AND(NOT(ISNUMBER(B90)), B90&lt;&gt;"NP", B90&lt;&gt;"Reconocimiento Créditos", B90&lt;&gt;"Aprobado en otro curso")</formula>
    </cfRule>
  </conditionalFormatting>
  <conditionalFormatting sqref="B90">
    <cfRule type="containsText" dxfId="2223" priority="404" operator="containsText" text="Reconocimiento Créditos">
      <formula>NOT(ISERROR(SEARCH("Reconocimiento Créditos",B90)))</formula>
    </cfRule>
  </conditionalFormatting>
  <conditionalFormatting sqref="B90">
    <cfRule type="containsText" dxfId="2222" priority="407" operator="containsText" text="Aprobado en otro curso">
      <formula>NOT(ISERROR(SEARCH("Aprobado en otro curso",B90)))</formula>
    </cfRule>
  </conditionalFormatting>
  <conditionalFormatting sqref="A91">
    <cfRule type="expression" dxfId="2221" priority="402">
      <formula>AND(OR(ROW()=CELL("row"),COLUMN()=CELL("col")),NOT(ISBLANK($C91)),NOT(ISBLANK($B91)),ROW()&gt;2,COLUMN()&gt;1)</formula>
    </cfRule>
  </conditionalFormatting>
  <conditionalFormatting sqref="A91">
    <cfRule type="expression" dxfId="2220" priority="401">
      <formula>SUM(--ISBLANK($B91:$J91))=COLUMNS($B91:$J91)</formula>
    </cfRule>
  </conditionalFormatting>
  <conditionalFormatting sqref="A91">
    <cfRule type="containsText" dxfId="2219" priority="403" operator="containsText" text="NP">
      <formula>NOT(ISERROR(SEARCH("NP",A91)))</formula>
    </cfRule>
  </conditionalFormatting>
  <conditionalFormatting sqref="A91">
    <cfRule type="expression" dxfId="2218" priority="400">
      <formula>ISBLANK(A91)</formula>
    </cfRule>
  </conditionalFormatting>
  <conditionalFormatting sqref="B91">
    <cfRule type="containsText" dxfId="2217" priority="398" operator="containsText" text="NP">
      <formula>NOT(ISERROR(SEARCH("NP",B91)))</formula>
    </cfRule>
    <cfRule type="cellIs" dxfId="2216" priority="399" operator="lessThan">
      <formula>5</formula>
    </cfRule>
  </conditionalFormatting>
  <conditionalFormatting sqref="B91">
    <cfRule type="expression" dxfId="2215" priority="396">
      <formula>AND(OR(ROW()=CELL("row"),COLUMN()=CELL("col")),NOT(ISBLANK($C91)),NOT(ISBLANK($B91)),ROW()&gt;2,COLUMN()&gt;1)</formula>
    </cfRule>
  </conditionalFormatting>
  <conditionalFormatting sqref="B91">
    <cfRule type="expression" dxfId="2214" priority="395">
      <formula>SUM(--ISBLANK($B91:$J91))=COLUMNS($B91:$J91)</formula>
    </cfRule>
  </conditionalFormatting>
  <conditionalFormatting sqref="B91">
    <cfRule type="containsText" dxfId="2213" priority="397" operator="containsText" text="NP">
      <formula>NOT(ISERROR(SEARCH("NP",B91)))</formula>
    </cfRule>
  </conditionalFormatting>
  <conditionalFormatting sqref="B91">
    <cfRule type="expression" dxfId="2212" priority="394">
      <formula>ISBLANK(B91)</formula>
    </cfRule>
  </conditionalFormatting>
  <conditionalFormatting sqref="B91">
    <cfRule type="expression" dxfId="2211" priority="392">
      <formula>AND(ISNUMBER(B91), OR(B91&gt;10, B91&lt;0))</formula>
    </cfRule>
  </conditionalFormatting>
  <conditionalFormatting sqref="B91">
    <cfRule type="expression" dxfId="2210" priority="391">
      <formula>AND(NOT(ISNUMBER(B91)), B91&lt;&gt;"NP", B91&lt;&gt;"Reconocimiento Créditos", B91&lt;&gt;"Aprobado en otro curso")</formula>
    </cfRule>
  </conditionalFormatting>
  <conditionalFormatting sqref="B91">
    <cfRule type="containsText" dxfId="2209" priority="390" operator="containsText" text="Reconocimiento Créditos">
      <formula>NOT(ISERROR(SEARCH("Reconocimiento Créditos",B91)))</formula>
    </cfRule>
  </conditionalFormatting>
  <conditionalFormatting sqref="B91">
    <cfRule type="containsText" dxfId="2208" priority="393" operator="containsText" text="Aprobado en otro curso">
      <formula>NOT(ISERROR(SEARCH("Aprobado en otro curso",B91)))</formula>
    </cfRule>
  </conditionalFormatting>
  <conditionalFormatting sqref="A92">
    <cfRule type="expression" dxfId="2207" priority="388">
      <formula>AND(OR(ROW()=CELL("row"),COLUMN()=CELL("col")),NOT(ISBLANK($C92)),NOT(ISBLANK($B92)),ROW()&gt;2,COLUMN()&gt;1)</formula>
    </cfRule>
  </conditionalFormatting>
  <conditionalFormatting sqref="A92">
    <cfRule type="expression" dxfId="2206" priority="387">
      <formula>SUM(--ISBLANK($B92:$J92))=COLUMNS($B92:$J92)</formula>
    </cfRule>
  </conditionalFormatting>
  <conditionalFormatting sqref="A92">
    <cfRule type="containsText" dxfId="2205" priority="389" operator="containsText" text="NP">
      <formula>NOT(ISERROR(SEARCH("NP",A92)))</formula>
    </cfRule>
  </conditionalFormatting>
  <conditionalFormatting sqref="A92">
    <cfRule type="expression" dxfId="2204" priority="386">
      <formula>ISBLANK(A92)</formula>
    </cfRule>
  </conditionalFormatting>
  <conditionalFormatting sqref="B92">
    <cfRule type="containsText" dxfId="2203" priority="384" operator="containsText" text="NP">
      <formula>NOT(ISERROR(SEARCH("NP",B92)))</formula>
    </cfRule>
    <cfRule type="cellIs" dxfId="2202" priority="385" operator="lessThan">
      <formula>5</formula>
    </cfRule>
  </conditionalFormatting>
  <conditionalFormatting sqref="B92">
    <cfRule type="expression" dxfId="2201" priority="382">
      <formula>AND(OR(ROW()=CELL("row"),COLUMN()=CELL("col")),NOT(ISBLANK($C92)),NOT(ISBLANK($B92)),ROW()&gt;2,COLUMN()&gt;1)</formula>
    </cfRule>
  </conditionalFormatting>
  <conditionalFormatting sqref="B92">
    <cfRule type="expression" dxfId="2200" priority="381">
      <formula>SUM(--ISBLANK($B92:$J92))=COLUMNS($B92:$J92)</formula>
    </cfRule>
  </conditionalFormatting>
  <conditionalFormatting sqref="B92">
    <cfRule type="containsText" dxfId="2199" priority="383" operator="containsText" text="NP">
      <formula>NOT(ISERROR(SEARCH("NP",B92)))</formula>
    </cfRule>
  </conditionalFormatting>
  <conditionalFormatting sqref="B92">
    <cfRule type="expression" dxfId="2198" priority="380">
      <formula>ISBLANK(B92)</formula>
    </cfRule>
  </conditionalFormatting>
  <conditionalFormatting sqref="B92">
    <cfRule type="expression" dxfId="2197" priority="378">
      <formula>AND(ISNUMBER(B92), OR(B92&gt;10, B92&lt;0))</formula>
    </cfRule>
  </conditionalFormatting>
  <conditionalFormatting sqref="B92">
    <cfRule type="expression" dxfId="2196" priority="377">
      <formula>AND(NOT(ISNUMBER(B92)), B92&lt;&gt;"NP", B92&lt;&gt;"Reconocimiento Créditos", B92&lt;&gt;"Aprobado en otro curso")</formula>
    </cfRule>
  </conditionalFormatting>
  <conditionalFormatting sqref="B92">
    <cfRule type="containsText" dxfId="2195" priority="376" operator="containsText" text="Reconocimiento Créditos">
      <formula>NOT(ISERROR(SEARCH("Reconocimiento Créditos",B92)))</formula>
    </cfRule>
  </conditionalFormatting>
  <conditionalFormatting sqref="B92">
    <cfRule type="containsText" dxfId="2194" priority="379" operator="containsText" text="Aprobado en otro curso">
      <formula>NOT(ISERROR(SEARCH("Aprobado en otro curso",B92)))</formula>
    </cfRule>
  </conditionalFormatting>
  <conditionalFormatting sqref="A93">
    <cfRule type="expression" dxfId="2193" priority="374">
      <formula>AND(OR(ROW()=CELL("row"),COLUMN()=CELL("col")),NOT(ISBLANK($C93)),NOT(ISBLANK($B93)),ROW()&gt;2,COLUMN()&gt;1)</formula>
    </cfRule>
  </conditionalFormatting>
  <conditionalFormatting sqref="A93">
    <cfRule type="expression" dxfId="2192" priority="373">
      <formula>SUM(--ISBLANK($B93:$J93))=COLUMNS($B93:$J93)</formula>
    </cfRule>
  </conditionalFormatting>
  <conditionalFormatting sqref="A93">
    <cfRule type="containsText" dxfId="2191" priority="375" operator="containsText" text="NP">
      <formula>NOT(ISERROR(SEARCH("NP",A93)))</formula>
    </cfRule>
  </conditionalFormatting>
  <conditionalFormatting sqref="A93">
    <cfRule type="expression" dxfId="2190" priority="372">
      <formula>ISBLANK(A93)</formula>
    </cfRule>
  </conditionalFormatting>
  <conditionalFormatting sqref="B93">
    <cfRule type="containsText" dxfId="2189" priority="370" operator="containsText" text="NP">
      <formula>NOT(ISERROR(SEARCH("NP",B93)))</formula>
    </cfRule>
    <cfRule type="cellIs" dxfId="2188" priority="371" operator="lessThan">
      <formula>5</formula>
    </cfRule>
  </conditionalFormatting>
  <conditionalFormatting sqref="B93">
    <cfRule type="expression" dxfId="2187" priority="368">
      <formula>AND(OR(ROW()=CELL("row"),COLUMN()=CELL("col")),NOT(ISBLANK($C93)),NOT(ISBLANK($B93)),ROW()&gt;2,COLUMN()&gt;1)</formula>
    </cfRule>
  </conditionalFormatting>
  <conditionalFormatting sqref="B93">
    <cfRule type="expression" dxfId="2186" priority="367">
      <formula>SUM(--ISBLANK($B93:$J93))=COLUMNS($B93:$J93)</formula>
    </cfRule>
  </conditionalFormatting>
  <conditionalFormatting sqref="B93">
    <cfRule type="containsText" dxfId="2185" priority="369" operator="containsText" text="NP">
      <formula>NOT(ISERROR(SEARCH("NP",B93)))</formula>
    </cfRule>
  </conditionalFormatting>
  <conditionalFormatting sqref="B93">
    <cfRule type="expression" dxfId="2184" priority="366">
      <formula>ISBLANK(B93)</formula>
    </cfRule>
  </conditionalFormatting>
  <conditionalFormatting sqref="B93">
    <cfRule type="expression" dxfId="2183" priority="364">
      <formula>AND(ISNUMBER(B93), OR(B93&gt;10, B93&lt;0))</formula>
    </cfRule>
  </conditionalFormatting>
  <conditionalFormatting sqref="B93">
    <cfRule type="expression" dxfId="2182" priority="363">
      <formula>AND(NOT(ISNUMBER(B93)), B93&lt;&gt;"NP", B93&lt;&gt;"Reconocimiento Créditos", B93&lt;&gt;"Aprobado en otro curso")</formula>
    </cfRule>
  </conditionalFormatting>
  <conditionalFormatting sqref="B93">
    <cfRule type="containsText" dxfId="2181" priority="362" operator="containsText" text="Reconocimiento Créditos">
      <formula>NOT(ISERROR(SEARCH("Reconocimiento Créditos",B93)))</formula>
    </cfRule>
  </conditionalFormatting>
  <conditionalFormatting sqref="B93">
    <cfRule type="containsText" dxfId="2180" priority="365" operator="containsText" text="Aprobado en otro curso">
      <formula>NOT(ISERROR(SEARCH("Aprobado en otro curso",B93)))</formula>
    </cfRule>
  </conditionalFormatting>
  <conditionalFormatting sqref="A94">
    <cfRule type="expression" dxfId="2179" priority="360">
      <formula>AND(OR(ROW()=CELL("row"),COLUMN()=CELL("col")),NOT(ISBLANK($C94)),NOT(ISBLANK($B94)),ROW()&gt;2,COLUMN()&gt;1)</formula>
    </cfRule>
  </conditionalFormatting>
  <conditionalFormatting sqref="A94">
    <cfRule type="expression" dxfId="2178" priority="359">
      <formula>SUM(--ISBLANK($B94:$J94))=COLUMNS($B94:$J94)</formula>
    </cfRule>
  </conditionalFormatting>
  <conditionalFormatting sqref="A94">
    <cfRule type="containsText" dxfId="2177" priority="361" operator="containsText" text="NP">
      <formula>NOT(ISERROR(SEARCH("NP",A94)))</formula>
    </cfRule>
  </conditionalFormatting>
  <conditionalFormatting sqref="A94">
    <cfRule type="expression" dxfId="2176" priority="358">
      <formula>ISBLANK(A94)</formula>
    </cfRule>
  </conditionalFormatting>
  <conditionalFormatting sqref="B94">
    <cfRule type="containsText" dxfId="2175" priority="356" operator="containsText" text="NP">
      <formula>NOT(ISERROR(SEARCH("NP",B94)))</formula>
    </cfRule>
    <cfRule type="cellIs" dxfId="2174" priority="357" operator="lessThan">
      <formula>5</formula>
    </cfRule>
  </conditionalFormatting>
  <conditionalFormatting sqref="B94">
    <cfRule type="expression" dxfId="2173" priority="354">
      <formula>AND(OR(ROW()=CELL("row"),COLUMN()=CELL("col")),NOT(ISBLANK($C94)),NOT(ISBLANK($B94)),ROW()&gt;2,COLUMN()&gt;1)</formula>
    </cfRule>
  </conditionalFormatting>
  <conditionalFormatting sqref="B94">
    <cfRule type="expression" dxfId="2172" priority="353">
      <formula>SUM(--ISBLANK($B94:$J94))=COLUMNS($B94:$J94)</formula>
    </cfRule>
  </conditionalFormatting>
  <conditionalFormatting sqref="B94">
    <cfRule type="containsText" dxfId="2171" priority="355" operator="containsText" text="NP">
      <formula>NOT(ISERROR(SEARCH("NP",B94)))</formula>
    </cfRule>
  </conditionalFormatting>
  <conditionalFormatting sqref="B94">
    <cfRule type="expression" dxfId="2170" priority="352">
      <formula>ISBLANK(B94)</formula>
    </cfRule>
  </conditionalFormatting>
  <conditionalFormatting sqref="B94">
    <cfRule type="expression" dxfId="2169" priority="350">
      <formula>AND(ISNUMBER(B94), OR(B94&gt;10, B94&lt;0))</formula>
    </cfRule>
  </conditionalFormatting>
  <conditionalFormatting sqref="B94">
    <cfRule type="expression" dxfId="2168" priority="349">
      <formula>AND(NOT(ISNUMBER(B94)), B94&lt;&gt;"NP", B94&lt;&gt;"Reconocimiento Créditos", B94&lt;&gt;"Aprobado en otro curso")</formula>
    </cfRule>
  </conditionalFormatting>
  <conditionalFormatting sqref="B94">
    <cfRule type="containsText" dxfId="2167" priority="348" operator="containsText" text="Reconocimiento Créditos">
      <formula>NOT(ISERROR(SEARCH("Reconocimiento Créditos",B94)))</formula>
    </cfRule>
  </conditionalFormatting>
  <conditionalFormatting sqref="B94">
    <cfRule type="containsText" dxfId="2166" priority="351" operator="containsText" text="Aprobado en otro curso">
      <formula>NOT(ISERROR(SEARCH("Aprobado en otro curso",B94)))</formula>
    </cfRule>
  </conditionalFormatting>
  <conditionalFormatting sqref="A95">
    <cfRule type="expression" dxfId="2165" priority="346">
      <formula>AND(OR(ROW()=CELL("row"),COLUMN()=CELL("col")),NOT(ISBLANK($C95)),NOT(ISBLANK($B95)),ROW()&gt;2,COLUMN()&gt;1)</formula>
    </cfRule>
  </conditionalFormatting>
  <conditionalFormatting sqref="A95">
    <cfRule type="expression" dxfId="2164" priority="345">
      <formula>SUM(--ISBLANK($B95:$J95))=COLUMNS($B95:$J95)</formula>
    </cfRule>
  </conditionalFormatting>
  <conditionalFormatting sqref="A95">
    <cfRule type="containsText" dxfId="2163" priority="347" operator="containsText" text="NP">
      <formula>NOT(ISERROR(SEARCH("NP",A95)))</formula>
    </cfRule>
  </conditionalFormatting>
  <conditionalFormatting sqref="A95">
    <cfRule type="expression" dxfId="2162" priority="344">
      <formula>ISBLANK(A95)</formula>
    </cfRule>
  </conditionalFormatting>
  <conditionalFormatting sqref="B95">
    <cfRule type="containsText" dxfId="2161" priority="342" operator="containsText" text="NP">
      <formula>NOT(ISERROR(SEARCH("NP",B95)))</formula>
    </cfRule>
    <cfRule type="cellIs" dxfId="2160" priority="343" operator="lessThan">
      <formula>5</formula>
    </cfRule>
  </conditionalFormatting>
  <conditionalFormatting sqref="B95">
    <cfRule type="expression" dxfId="2159" priority="340">
      <formula>AND(OR(ROW()=CELL("row"),COLUMN()=CELL("col")),NOT(ISBLANK($C95)),NOT(ISBLANK($B95)),ROW()&gt;2,COLUMN()&gt;1)</formula>
    </cfRule>
  </conditionalFormatting>
  <conditionalFormatting sqref="B95">
    <cfRule type="expression" dxfId="2158" priority="339">
      <formula>SUM(--ISBLANK($B95:$J95))=COLUMNS($B95:$J95)</formula>
    </cfRule>
  </conditionalFormatting>
  <conditionalFormatting sqref="B95">
    <cfRule type="containsText" dxfId="2157" priority="341" operator="containsText" text="NP">
      <formula>NOT(ISERROR(SEARCH("NP",B95)))</formula>
    </cfRule>
  </conditionalFormatting>
  <conditionalFormatting sqref="B95">
    <cfRule type="expression" dxfId="2156" priority="338">
      <formula>ISBLANK(B95)</formula>
    </cfRule>
  </conditionalFormatting>
  <conditionalFormatting sqref="B95">
    <cfRule type="expression" dxfId="2155" priority="336">
      <formula>AND(ISNUMBER(B95), OR(B95&gt;10, B95&lt;0))</formula>
    </cfRule>
  </conditionalFormatting>
  <conditionalFormatting sqref="B95">
    <cfRule type="expression" dxfId="2154" priority="335">
      <formula>AND(NOT(ISNUMBER(B95)), B95&lt;&gt;"NP", B95&lt;&gt;"Reconocimiento Créditos", B95&lt;&gt;"Aprobado en otro curso")</formula>
    </cfRule>
  </conditionalFormatting>
  <conditionalFormatting sqref="B95">
    <cfRule type="containsText" dxfId="2153" priority="334" operator="containsText" text="Reconocimiento Créditos">
      <formula>NOT(ISERROR(SEARCH("Reconocimiento Créditos",B95)))</formula>
    </cfRule>
  </conditionalFormatting>
  <conditionalFormatting sqref="B95">
    <cfRule type="containsText" dxfId="2152" priority="337" operator="containsText" text="Aprobado en otro curso">
      <formula>NOT(ISERROR(SEARCH("Aprobado en otro curso",B95)))</formula>
    </cfRule>
  </conditionalFormatting>
  <conditionalFormatting sqref="A96">
    <cfRule type="expression" dxfId="2151" priority="332">
      <formula>AND(OR(ROW()=CELL("row"),COLUMN()=CELL("col")),NOT(ISBLANK($C96)),NOT(ISBLANK($B96)),ROW()&gt;2,COLUMN()&gt;1)</formula>
    </cfRule>
  </conditionalFormatting>
  <conditionalFormatting sqref="A96">
    <cfRule type="expression" dxfId="2150" priority="331">
      <formula>SUM(--ISBLANK($B96:$J96))=COLUMNS($B96:$J96)</formula>
    </cfRule>
  </conditionalFormatting>
  <conditionalFormatting sqref="A96">
    <cfRule type="containsText" dxfId="2149" priority="333" operator="containsText" text="NP">
      <formula>NOT(ISERROR(SEARCH("NP",A96)))</formula>
    </cfRule>
  </conditionalFormatting>
  <conditionalFormatting sqref="A96">
    <cfRule type="expression" dxfId="2148" priority="330">
      <formula>ISBLANK(A96)</formula>
    </cfRule>
  </conditionalFormatting>
  <conditionalFormatting sqref="B96">
    <cfRule type="containsText" dxfId="2147" priority="328" operator="containsText" text="NP">
      <formula>NOT(ISERROR(SEARCH("NP",B96)))</formula>
    </cfRule>
    <cfRule type="cellIs" dxfId="2146" priority="329" operator="lessThan">
      <formula>5</formula>
    </cfRule>
  </conditionalFormatting>
  <conditionalFormatting sqref="B96">
    <cfRule type="expression" dxfId="2145" priority="326">
      <formula>AND(OR(ROW()=CELL("row"),COLUMN()=CELL("col")),NOT(ISBLANK($C96)),NOT(ISBLANK($B96)),ROW()&gt;2,COLUMN()&gt;1)</formula>
    </cfRule>
  </conditionalFormatting>
  <conditionalFormatting sqref="B96">
    <cfRule type="expression" dxfId="2144" priority="325">
      <formula>SUM(--ISBLANK($B96:$J96))=COLUMNS($B96:$J96)</formula>
    </cfRule>
  </conditionalFormatting>
  <conditionalFormatting sqref="B96">
    <cfRule type="containsText" dxfId="2143" priority="327" operator="containsText" text="NP">
      <formula>NOT(ISERROR(SEARCH("NP",B96)))</formula>
    </cfRule>
  </conditionalFormatting>
  <conditionalFormatting sqref="B96">
    <cfRule type="expression" dxfId="2142" priority="324">
      <formula>ISBLANK(B96)</formula>
    </cfRule>
  </conditionalFormatting>
  <conditionalFormatting sqref="B96">
    <cfRule type="expression" dxfId="2141" priority="322">
      <formula>AND(ISNUMBER(B96), OR(B96&gt;10, B96&lt;0))</formula>
    </cfRule>
  </conditionalFormatting>
  <conditionalFormatting sqref="B96">
    <cfRule type="expression" dxfId="2140" priority="321">
      <formula>AND(NOT(ISNUMBER(B96)), B96&lt;&gt;"NP", B96&lt;&gt;"Reconocimiento Créditos", B96&lt;&gt;"Aprobado en otro curso")</formula>
    </cfRule>
  </conditionalFormatting>
  <conditionalFormatting sqref="B96">
    <cfRule type="containsText" dxfId="2139" priority="320" operator="containsText" text="Reconocimiento Créditos">
      <formula>NOT(ISERROR(SEARCH("Reconocimiento Créditos",B96)))</formula>
    </cfRule>
  </conditionalFormatting>
  <conditionalFormatting sqref="B96">
    <cfRule type="containsText" dxfId="2138" priority="323" operator="containsText" text="Aprobado en otro curso">
      <formula>NOT(ISERROR(SEARCH("Aprobado en otro curso",B96)))</formula>
    </cfRule>
  </conditionalFormatting>
  <conditionalFormatting sqref="A97">
    <cfRule type="expression" dxfId="2137" priority="318">
      <formula>AND(OR(ROW()=CELL("row"),COLUMN()=CELL("col")),NOT(ISBLANK($C97)),NOT(ISBLANK($B97)),ROW()&gt;2,COLUMN()&gt;1)</formula>
    </cfRule>
  </conditionalFormatting>
  <conditionalFormatting sqref="A97">
    <cfRule type="expression" dxfId="2136" priority="317">
      <formula>SUM(--ISBLANK($B97:$J97))=COLUMNS($B97:$J97)</formula>
    </cfRule>
  </conditionalFormatting>
  <conditionalFormatting sqref="A97">
    <cfRule type="containsText" dxfId="2135" priority="319" operator="containsText" text="NP">
      <formula>NOT(ISERROR(SEARCH("NP",A97)))</formula>
    </cfRule>
  </conditionalFormatting>
  <conditionalFormatting sqref="A97">
    <cfRule type="expression" dxfId="2134" priority="316">
      <formula>ISBLANK(A97)</formula>
    </cfRule>
  </conditionalFormatting>
  <conditionalFormatting sqref="B97">
    <cfRule type="containsText" dxfId="2133" priority="314" operator="containsText" text="NP">
      <formula>NOT(ISERROR(SEARCH("NP",B97)))</formula>
    </cfRule>
    <cfRule type="cellIs" dxfId="2132" priority="315" operator="lessThan">
      <formula>5</formula>
    </cfRule>
  </conditionalFormatting>
  <conditionalFormatting sqref="B97">
    <cfRule type="expression" dxfId="2131" priority="312">
      <formula>AND(OR(ROW()=CELL("row"),COLUMN()=CELL("col")),NOT(ISBLANK($C97)),NOT(ISBLANK($B97)),ROW()&gt;2,COLUMN()&gt;1)</formula>
    </cfRule>
  </conditionalFormatting>
  <conditionalFormatting sqref="B97">
    <cfRule type="expression" dxfId="2130" priority="311">
      <formula>SUM(--ISBLANK($B97:$J97))=COLUMNS($B97:$J97)</formula>
    </cfRule>
  </conditionalFormatting>
  <conditionalFormatting sqref="B97">
    <cfRule type="containsText" dxfId="2129" priority="313" operator="containsText" text="NP">
      <formula>NOT(ISERROR(SEARCH("NP",B97)))</formula>
    </cfRule>
  </conditionalFormatting>
  <conditionalFormatting sqref="B97">
    <cfRule type="expression" dxfId="2128" priority="310">
      <formula>ISBLANK(B97)</formula>
    </cfRule>
  </conditionalFormatting>
  <conditionalFormatting sqref="B97">
    <cfRule type="expression" dxfId="2127" priority="308">
      <formula>AND(ISNUMBER(B97), OR(B97&gt;10, B97&lt;0))</formula>
    </cfRule>
  </conditionalFormatting>
  <conditionalFormatting sqref="B97">
    <cfRule type="expression" dxfId="2126" priority="307">
      <formula>AND(NOT(ISNUMBER(B97)), B97&lt;&gt;"NP", B97&lt;&gt;"Reconocimiento Créditos", B97&lt;&gt;"Aprobado en otro curso")</formula>
    </cfRule>
  </conditionalFormatting>
  <conditionalFormatting sqref="B97">
    <cfRule type="containsText" dxfId="2125" priority="306" operator="containsText" text="Reconocimiento Créditos">
      <formula>NOT(ISERROR(SEARCH("Reconocimiento Créditos",B97)))</formula>
    </cfRule>
  </conditionalFormatting>
  <conditionalFormatting sqref="B97">
    <cfRule type="containsText" dxfId="2124" priority="309" operator="containsText" text="Aprobado en otro curso">
      <formula>NOT(ISERROR(SEARCH("Aprobado en otro curso",B97)))</formula>
    </cfRule>
  </conditionalFormatting>
  <conditionalFormatting sqref="A98">
    <cfRule type="expression" dxfId="2123" priority="304">
      <formula>AND(OR(ROW()=CELL("row"),COLUMN()=CELL("col")),NOT(ISBLANK($C98)),NOT(ISBLANK($B98)),ROW()&gt;2,COLUMN()&gt;1)</formula>
    </cfRule>
  </conditionalFormatting>
  <conditionalFormatting sqref="A98">
    <cfRule type="expression" dxfId="2122" priority="303">
      <formula>SUM(--ISBLANK($B98:$J98))=COLUMNS($B98:$J98)</formula>
    </cfRule>
  </conditionalFormatting>
  <conditionalFormatting sqref="A98">
    <cfRule type="containsText" dxfId="2121" priority="305" operator="containsText" text="NP">
      <formula>NOT(ISERROR(SEARCH("NP",A98)))</formula>
    </cfRule>
  </conditionalFormatting>
  <conditionalFormatting sqref="A98">
    <cfRule type="expression" dxfId="2120" priority="302">
      <formula>ISBLANK(A98)</formula>
    </cfRule>
  </conditionalFormatting>
  <conditionalFormatting sqref="B98">
    <cfRule type="containsText" dxfId="2119" priority="300" operator="containsText" text="NP">
      <formula>NOT(ISERROR(SEARCH("NP",B98)))</formula>
    </cfRule>
    <cfRule type="cellIs" dxfId="2118" priority="301" operator="lessThan">
      <formula>5</formula>
    </cfRule>
  </conditionalFormatting>
  <conditionalFormatting sqref="B98">
    <cfRule type="expression" dxfId="2117" priority="298">
      <formula>AND(OR(ROW()=CELL("row"),COLUMN()=CELL("col")),NOT(ISBLANK($C98)),NOT(ISBLANK($B98)),ROW()&gt;2,COLUMN()&gt;1)</formula>
    </cfRule>
  </conditionalFormatting>
  <conditionalFormatting sqref="B98">
    <cfRule type="expression" dxfId="2116" priority="297">
      <formula>SUM(--ISBLANK($B98:$J98))=COLUMNS($B98:$J98)</formula>
    </cfRule>
  </conditionalFormatting>
  <conditionalFormatting sqref="B98">
    <cfRule type="containsText" dxfId="2115" priority="299" operator="containsText" text="NP">
      <formula>NOT(ISERROR(SEARCH("NP",B98)))</formula>
    </cfRule>
  </conditionalFormatting>
  <conditionalFormatting sqref="B98">
    <cfRule type="expression" dxfId="2114" priority="296">
      <formula>ISBLANK(B98)</formula>
    </cfRule>
  </conditionalFormatting>
  <conditionalFormatting sqref="B98">
    <cfRule type="expression" dxfId="2113" priority="294">
      <formula>AND(ISNUMBER(B98), OR(B98&gt;10, B98&lt;0))</formula>
    </cfRule>
  </conditionalFormatting>
  <conditionalFormatting sqref="B98">
    <cfRule type="expression" dxfId="2112" priority="293">
      <formula>AND(NOT(ISNUMBER(B98)), B98&lt;&gt;"NP", B98&lt;&gt;"Reconocimiento Créditos", B98&lt;&gt;"Aprobado en otro curso")</formula>
    </cfRule>
  </conditionalFormatting>
  <conditionalFormatting sqref="B98">
    <cfRule type="containsText" dxfId="2111" priority="292" operator="containsText" text="Reconocimiento Créditos">
      <formula>NOT(ISERROR(SEARCH("Reconocimiento Créditos",B98)))</formula>
    </cfRule>
  </conditionalFormatting>
  <conditionalFormatting sqref="B98">
    <cfRule type="containsText" dxfId="2110" priority="295" operator="containsText" text="Aprobado en otro curso">
      <formula>NOT(ISERROR(SEARCH("Aprobado en otro curso",B98)))</formula>
    </cfRule>
  </conditionalFormatting>
  <conditionalFormatting sqref="A99">
    <cfRule type="expression" dxfId="2109" priority="290">
      <formula>AND(OR(ROW()=CELL("row"),COLUMN()=CELL("col")),NOT(ISBLANK($C99)),NOT(ISBLANK($B99)),ROW()&gt;2,COLUMN()&gt;1)</formula>
    </cfRule>
  </conditionalFormatting>
  <conditionalFormatting sqref="A99">
    <cfRule type="expression" dxfId="2108" priority="289">
      <formula>SUM(--ISBLANK($B99:$J99))=COLUMNS($B99:$J99)</formula>
    </cfRule>
  </conditionalFormatting>
  <conditionalFormatting sqref="A99">
    <cfRule type="containsText" dxfId="2107" priority="291" operator="containsText" text="NP">
      <formula>NOT(ISERROR(SEARCH("NP",A99)))</formula>
    </cfRule>
  </conditionalFormatting>
  <conditionalFormatting sqref="A99">
    <cfRule type="expression" dxfId="2106" priority="288">
      <formula>ISBLANK(A99)</formula>
    </cfRule>
  </conditionalFormatting>
  <conditionalFormatting sqref="B99">
    <cfRule type="containsText" dxfId="2105" priority="286" operator="containsText" text="NP">
      <formula>NOT(ISERROR(SEARCH("NP",B99)))</formula>
    </cfRule>
    <cfRule type="cellIs" dxfId="2104" priority="287" operator="lessThan">
      <formula>5</formula>
    </cfRule>
  </conditionalFormatting>
  <conditionalFormatting sqref="B99">
    <cfRule type="expression" dxfId="2103" priority="284">
      <formula>AND(OR(ROW()=CELL("row"),COLUMN()=CELL("col")),NOT(ISBLANK($C99)),NOT(ISBLANK($B99)),ROW()&gt;2,COLUMN()&gt;1)</formula>
    </cfRule>
  </conditionalFormatting>
  <conditionalFormatting sqref="B99">
    <cfRule type="expression" dxfId="2102" priority="283">
      <formula>SUM(--ISBLANK($B99:$J99))=COLUMNS($B99:$J99)</formula>
    </cfRule>
  </conditionalFormatting>
  <conditionalFormatting sqref="B99">
    <cfRule type="containsText" dxfId="2101" priority="285" operator="containsText" text="NP">
      <formula>NOT(ISERROR(SEARCH("NP",B99)))</formula>
    </cfRule>
  </conditionalFormatting>
  <conditionalFormatting sqref="B99">
    <cfRule type="expression" dxfId="2100" priority="282">
      <formula>ISBLANK(B99)</formula>
    </cfRule>
  </conditionalFormatting>
  <conditionalFormatting sqref="B99">
    <cfRule type="expression" dxfId="2099" priority="280">
      <formula>AND(ISNUMBER(B99), OR(B99&gt;10, B99&lt;0))</formula>
    </cfRule>
  </conditionalFormatting>
  <conditionalFormatting sqref="B99">
    <cfRule type="containsText" dxfId="2098" priority="279" operator="containsText" text="Reconocimiento Créditos">
      <formula>NOT(ISERROR(SEARCH("Reconocimiento Créditos",B99)))</formula>
    </cfRule>
  </conditionalFormatting>
  <conditionalFormatting sqref="B99">
    <cfRule type="containsText" dxfId="2097" priority="281" operator="containsText" text="Aprobado en otro curso">
      <formula>NOT(ISERROR(SEARCH("Aprobado en otro curso",B99)))</formula>
    </cfRule>
  </conditionalFormatting>
  <conditionalFormatting sqref="A100">
    <cfRule type="expression" dxfId="2096" priority="277">
      <formula>AND(OR(ROW()=CELL("row"),COLUMN()=CELL("col")),NOT(ISBLANK($C100)),NOT(ISBLANK($B100)),ROW()&gt;2,COLUMN()&gt;1)</formula>
    </cfRule>
  </conditionalFormatting>
  <conditionalFormatting sqref="A100">
    <cfRule type="expression" dxfId="2095" priority="276">
      <formula>SUM(--ISBLANK($B100:$J100))=COLUMNS($B100:$J100)</formula>
    </cfRule>
  </conditionalFormatting>
  <conditionalFormatting sqref="A100">
    <cfRule type="containsText" dxfId="2094" priority="278" operator="containsText" text="NP">
      <formula>NOT(ISERROR(SEARCH("NP",A100)))</formula>
    </cfRule>
  </conditionalFormatting>
  <conditionalFormatting sqref="A100">
    <cfRule type="expression" dxfId="2093" priority="275">
      <formula>ISBLANK(A100)</formula>
    </cfRule>
  </conditionalFormatting>
  <conditionalFormatting sqref="B100">
    <cfRule type="containsText" dxfId="2092" priority="273" operator="containsText" text="NP">
      <formula>NOT(ISERROR(SEARCH("NP",B100)))</formula>
    </cfRule>
    <cfRule type="cellIs" dxfId="2091" priority="274" operator="lessThan">
      <formula>5</formula>
    </cfRule>
  </conditionalFormatting>
  <conditionalFormatting sqref="B100">
    <cfRule type="expression" dxfId="2090" priority="271">
      <formula>AND(OR(ROW()=CELL("row"),COLUMN()=CELL("col")),NOT(ISBLANK($C100)),NOT(ISBLANK($B100)),ROW()&gt;2,COLUMN()&gt;1)</formula>
    </cfRule>
  </conditionalFormatting>
  <conditionalFormatting sqref="B100">
    <cfRule type="expression" dxfId="2089" priority="270">
      <formula>SUM(--ISBLANK($B100:$J100))=COLUMNS($B100:$J100)</formula>
    </cfRule>
  </conditionalFormatting>
  <conditionalFormatting sqref="B100">
    <cfRule type="containsText" dxfId="2088" priority="272" operator="containsText" text="NP">
      <formula>NOT(ISERROR(SEARCH("NP",B100)))</formula>
    </cfRule>
  </conditionalFormatting>
  <conditionalFormatting sqref="B100">
    <cfRule type="expression" dxfId="2087" priority="269">
      <formula>ISBLANK(B100)</formula>
    </cfRule>
  </conditionalFormatting>
  <conditionalFormatting sqref="B100">
    <cfRule type="expression" dxfId="2086" priority="267">
      <formula>AND(ISNUMBER(B100), OR(B100&gt;10, B100&lt;0))</formula>
    </cfRule>
  </conditionalFormatting>
  <conditionalFormatting sqref="B100">
    <cfRule type="expression" dxfId="2085" priority="266">
      <formula>AND(NOT(ISNUMBER(B100)), B100&lt;&gt;"NP", B100&lt;&gt;"Reconocimiento Créditos", B100&lt;&gt;"Aprobado en otro curso")</formula>
    </cfRule>
  </conditionalFormatting>
  <conditionalFormatting sqref="B100">
    <cfRule type="containsText" dxfId="2084" priority="265" operator="containsText" text="Reconocimiento Créditos">
      <formula>NOT(ISERROR(SEARCH("Reconocimiento Créditos",B100)))</formula>
    </cfRule>
  </conditionalFormatting>
  <conditionalFormatting sqref="B100">
    <cfRule type="containsText" dxfId="2083" priority="268" operator="containsText" text="Aprobado en otro curso">
      <formula>NOT(ISERROR(SEARCH("Aprobado en otro curso",B100)))</formula>
    </cfRule>
  </conditionalFormatting>
  <conditionalFormatting sqref="A101">
    <cfRule type="expression" dxfId="2082" priority="263">
      <formula>AND(OR(ROW()=CELL("row"),COLUMN()=CELL("col")),NOT(ISBLANK($C101)),NOT(ISBLANK($B101)),ROW()&gt;2,COLUMN()&gt;1)</formula>
    </cfRule>
  </conditionalFormatting>
  <conditionalFormatting sqref="A101">
    <cfRule type="expression" dxfId="2081" priority="262">
      <formula>SUM(--ISBLANK($B101:$J101))=COLUMNS($B101:$J101)</formula>
    </cfRule>
  </conditionalFormatting>
  <conditionalFormatting sqref="A101">
    <cfRule type="containsText" dxfId="2080" priority="264" operator="containsText" text="NP">
      <formula>NOT(ISERROR(SEARCH("NP",A101)))</formula>
    </cfRule>
  </conditionalFormatting>
  <conditionalFormatting sqref="A101">
    <cfRule type="expression" dxfId="2079" priority="261">
      <formula>ISBLANK(A101)</formula>
    </cfRule>
  </conditionalFormatting>
  <conditionalFormatting sqref="B101">
    <cfRule type="containsText" dxfId="2078" priority="259" operator="containsText" text="NP">
      <formula>NOT(ISERROR(SEARCH("NP",B101)))</formula>
    </cfRule>
    <cfRule type="cellIs" dxfId="2077" priority="260" operator="lessThan">
      <formula>5</formula>
    </cfRule>
  </conditionalFormatting>
  <conditionalFormatting sqref="B101">
    <cfRule type="expression" dxfId="2076" priority="257">
      <formula>AND(OR(ROW()=CELL("row"),COLUMN()=CELL("col")),NOT(ISBLANK($C101)),NOT(ISBLANK($B101)),ROW()&gt;2,COLUMN()&gt;1)</formula>
    </cfRule>
  </conditionalFormatting>
  <conditionalFormatting sqref="B101">
    <cfRule type="expression" dxfId="2075" priority="256">
      <formula>SUM(--ISBLANK($B101:$J101))=COLUMNS($B101:$J101)</formula>
    </cfRule>
  </conditionalFormatting>
  <conditionalFormatting sqref="B101">
    <cfRule type="containsText" dxfId="2074" priority="258" operator="containsText" text="NP">
      <formula>NOT(ISERROR(SEARCH("NP",B101)))</formula>
    </cfRule>
  </conditionalFormatting>
  <conditionalFormatting sqref="B101">
    <cfRule type="expression" dxfId="2073" priority="255">
      <formula>ISBLANK(B101)</formula>
    </cfRule>
  </conditionalFormatting>
  <conditionalFormatting sqref="B101">
    <cfRule type="expression" dxfId="2072" priority="253">
      <formula>AND(ISNUMBER(B101), OR(B101&gt;10, B101&lt;0))</formula>
    </cfRule>
  </conditionalFormatting>
  <conditionalFormatting sqref="B101">
    <cfRule type="expression" dxfId="2071" priority="252">
      <formula>AND(NOT(ISNUMBER(B101)), B101&lt;&gt;"NP", B101&lt;&gt;"Reconocimiento Créditos", B101&lt;&gt;"Aprobado en otro curso")</formula>
    </cfRule>
  </conditionalFormatting>
  <conditionalFormatting sqref="B101">
    <cfRule type="containsText" dxfId="2070" priority="251" operator="containsText" text="Reconocimiento Créditos">
      <formula>NOT(ISERROR(SEARCH("Reconocimiento Créditos",B101)))</formula>
    </cfRule>
  </conditionalFormatting>
  <conditionalFormatting sqref="B101">
    <cfRule type="containsText" dxfId="2069" priority="254" operator="containsText" text="Aprobado en otro curso">
      <formula>NOT(ISERROR(SEARCH("Aprobado en otro curso",B101)))</formula>
    </cfRule>
  </conditionalFormatting>
  <conditionalFormatting sqref="A102">
    <cfRule type="expression" dxfId="2068" priority="249">
      <formula>AND(OR(ROW()=CELL("row"),COLUMN()=CELL("col")),NOT(ISBLANK($C102)),NOT(ISBLANK($B102)),ROW()&gt;2,COLUMN()&gt;1)</formula>
    </cfRule>
  </conditionalFormatting>
  <conditionalFormatting sqref="A102">
    <cfRule type="expression" dxfId="2067" priority="248">
      <formula>SUM(--ISBLANK($B102:$J102))=COLUMNS($B102:$J102)</formula>
    </cfRule>
  </conditionalFormatting>
  <conditionalFormatting sqref="A102">
    <cfRule type="containsText" dxfId="2066" priority="250" operator="containsText" text="NP">
      <formula>NOT(ISERROR(SEARCH("NP",A102)))</formula>
    </cfRule>
  </conditionalFormatting>
  <conditionalFormatting sqref="A102">
    <cfRule type="expression" dxfId="2065" priority="247">
      <formula>ISBLANK(A102)</formula>
    </cfRule>
  </conditionalFormatting>
  <conditionalFormatting sqref="B102">
    <cfRule type="containsText" dxfId="2064" priority="245" operator="containsText" text="NP">
      <formula>NOT(ISERROR(SEARCH("NP",B102)))</formula>
    </cfRule>
    <cfRule type="cellIs" dxfId="2063" priority="246" operator="lessThan">
      <formula>5</formula>
    </cfRule>
  </conditionalFormatting>
  <conditionalFormatting sqref="B102">
    <cfRule type="expression" dxfId="2062" priority="243">
      <formula>AND(OR(ROW()=CELL("row"),COLUMN()=CELL("col")),NOT(ISBLANK($C102)),NOT(ISBLANK($B102)),ROW()&gt;2,COLUMN()&gt;1)</formula>
    </cfRule>
  </conditionalFormatting>
  <conditionalFormatting sqref="B102">
    <cfRule type="expression" dxfId="2061" priority="242">
      <formula>SUM(--ISBLANK($B102:$J102))=COLUMNS($B102:$J102)</formula>
    </cfRule>
  </conditionalFormatting>
  <conditionalFormatting sqref="B102">
    <cfRule type="containsText" dxfId="2060" priority="244" operator="containsText" text="NP">
      <formula>NOT(ISERROR(SEARCH("NP",B102)))</formula>
    </cfRule>
  </conditionalFormatting>
  <conditionalFormatting sqref="B102">
    <cfRule type="expression" dxfId="2059" priority="241">
      <formula>ISBLANK(B102)</formula>
    </cfRule>
  </conditionalFormatting>
  <conditionalFormatting sqref="B102">
    <cfRule type="expression" dxfId="2058" priority="239">
      <formula>AND(ISNUMBER(B102), OR(B102&gt;10, B102&lt;0))</formula>
    </cfRule>
  </conditionalFormatting>
  <conditionalFormatting sqref="B102">
    <cfRule type="expression" dxfId="2057" priority="238">
      <formula>AND(NOT(ISNUMBER(B102)), B102&lt;&gt;"NP", B102&lt;&gt;"Reconocimiento Créditos", B102&lt;&gt;"Aprobado en otro curso")</formula>
    </cfRule>
  </conditionalFormatting>
  <conditionalFormatting sqref="B102">
    <cfRule type="containsText" dxfId="2056" priority="237" operator="containsText" text="Reconocimiento Créditos">
      <formula>NOT(ISERROR(SEARCH("Reconocimiento Créditos",B102)))</formula>
    </cfRule>
  </conditionalFormatting>
  <conditionalFormatting sqref="B102">
    <cfRule type="containsText" dxfId="2055" priority="240" operator="containsText" text="Aprobado en otro curso">
      <formula>NOT(ISERROR(SEARCH("Aprobado en otro curso",B102)))</formula>
    </cfRule>
  </conditionalFormatting>
  <conditionalFormatting sqref="A103">
    <cfRule type="expression" dxfId="2054" priority="235">
      <formula>AND(OR(ROW()=CELL("row"),COLUMN()=CELL("col")),NOT(ISBLANK($C103)),NOT(ISBLANK($B103)),ROW()&gt;2,COLUMN()&gt;1)</formula>
    </cfRule>
  </conditionalFormatting>
  <conditionalFormatting sqref="A103">
    <cfRule type="expression" dxfId="2053" priority="234">
      <formula>SUM(--ISBLANK($B103:$J103))=COLUMNS($B103:$J103)</formula>
    </cfRule>
  </conditionalFormatting>
  <conditionalFormatting sqref="A103">
    <cfRule type="containsText" dxfId="2052" priority="236" operator="containsText" text="NP">
      <formula>NOT(ISERROR(SEARCH("NP",A103)))</formula>
    </cfRule>
  </conditionalFormatting>
  <conditionalFormatting sqref="A103">
    <cfRule type="expression" dxfId="2051" priority="233">
      <formula>ISBLANK(A103)</formula>
    </cfRule>
  </conditionalFormatting>
  <conditionalFormatting sqref="B103">
    <cfRule type="containsText" dxfId="2050" priority="231" operator="containsText" text="NP">
      <formula>NOT(ISERROR(SEARCH("NP",B103)))</formula>
    </cfRule>
    <cfRule type="cellIs" dxfId="2049" priority="232" operator="lessThan">
      <formula>5</formula>
    </cfRule>
  </conditionalFormatting>
  <conditionalFormatting sqref="B103">
    <cfRule type="expression" dxfId="2048" priority="229">
      <formula>AND(OR(ROW()=CELL("row"),COLUMN()=CELL("col")),NOT(ISBLANK($C103)),NOT(ISBLANK($B103)),ROW()&gt;2,COLUMN()&gt;1)</formula>
    </cfRule>
  </conditionalFormatting>
  <conditionalFormatting sqref="B103">
    <cfRule type="expression" dxfId="2047" priority="228">
      <formula>SUM(--ISBLANK($B103:$J103))=COLUMNS($B103:$J103)</formula>
    </cfRule>
  </conditionalFormatting>
  <conditionalFormatting sqref="B103">
    <cfRule type="containsText" dxfId="2046" priority="230" operator="containsText" text="NP">
      <formula>NOT(ISERROR(SEARCH("NP",B103)))</formula>
    </cfRule>
  </conditionalFormatting>
  <conditionalFormatting sqref="B103">
    <cfRule type="expression" dxfId="2045" priority="227">
      <formula>ISBLANK(B103)</formula>
    </cfRule>
  </conditionalFormatting>
  <conditionalFormatting sqref="B103">
    <cfRule type="expression" dxfId="2044" priority="225">
      <formula>AND(ISNUMBER(B103), OR(B103&gt;10, B103&lt;0))</formula>
    </cfRule>
  </conditionalFormatting>
  <conditionalFormatting sqref="B103">
    <cfRule type="expression" dxfId="2043" priority="224">
      <formula>AND(NOT(ISNUMBER(B103)), B103&lt;&gt;"NP", B103&lt;&gt;"Reconocimiento Créditos", B103&lt;&gt;"Aprobado en otro curso")</formula>
    </cfRule>
  </conditionalFormatting>
  <conditionalFormatting sqref="B103">
    <cfRule type="containsText" dxfId="2042" priority="223" operator="containsText" text="Reconocimiento Créditos">
      <formula>NOT(ISERROR(SEARCH("Reconocimiento Créditos",B103)))</formula>
    </cfRule>
  </conditionalFormatting>
  <conditionalFormatting sqref="B103">
    <cfRule type="containsText" dxfId="2041" priority="226" operator="containsText" text="Aprobado en otro curso">
      <formula>NOT(ISERROR(SEARCH("Aprobado en otro curso",B103)))</formula>
    </cfRule>
  </conditionalFormatting>
  <conditionalFormatting sqref="A104">
    <cfRule type="expression" dxfId="2040" priority="221">
      <formula>AND(OR(ROW()=CELL("row"),COLUMN()=CELL("col")),NOT(ISBLANK($C104)),NOT(ISBLANK($B104)),ROW()&gt;2,COLUMN()&gt;1)</formula>
    </cfRule>
  </conditionalFormatting>
  <conditionalFormatting sqref="A104">
    <cfRule type="expression" dxfId="2039" priority="220">
      <formula>SUM(--ISBLANK($B104:$J104))=COLUMNS($B104:$J104)</formula>
    </cfRule>
  </conditionalFormatting>
  <conditionalFormatting sqref="A104">
    <cfRule type="containsText" dxfId="2038" priority="222" operator="containsText" text="NP">
      <formula>NOT(ISERROR(SEARCH("NP",A104)))</formula>
    </cfRule>
  </conditionalFormatting>
  <conditionalFormatting sqref="A104">
    <cfRule type="expression" dxfId="2037" priority="219">
      <formula>ISBLANK(A104)</formula>
    </cfRule>
  </conditionalFormatting>
  <conditionalFormatting sqref="B104">
    <cfRule type="containsText" dxfId="2036" priority="217" operator="containsText" text="NP">
      <formula>NOT(ISERROR(SEARCH("NP",B104)))</formula>
    </cfRule>
    <cfRule type="cellIs" dxfId="2035" priority="218" operator="lessThan">
      <formula>5</formula>
    </cfRule>
  </conditionalFormatting>
  <conditionalFormatting sqref="B104">
    <cfRule type="expression" dxfId="2034" priority="215">
      <formula>AND(OR(ROW()=CELL("row"),COLUMN()=CELL("col")),NOT(ISBLANK($C104)),NOT(ISBLANK($B104)),ROW()&gt;2,COLUMN()&gt;1)</formula>
    </cfRule>
  </conditionalFormatting>
  <conditionalFormatting sqref="B104">
    <cfRule type="expression" dxfId="2033" priority="214">
      <formula>SUM(--ISBLANK($B104:$J104))=COLUMNS($B104:$J104)</formula>
    </cfRule>
  </conditionalFormatting>
  <conditionalFormatting sqref="B104">
    <cfRule type="containsText" dxfId="2032" priority="216" operator="containsText" text="NP">
      <formula>NOT(ISERROR(SEARCH("NP",B104)))</formula>
    </cfRule>
  </conditionalFormatting>
  <conditionalFormatting sqref="B104">
    <cfRule type="expression" dxfId="2031" priority="213">
      <formula>ISBLANK(B104)</formula>
    </cfRule>
  </conditionalFormatting>
  <conditionalFormatting sqref="B104">
    <cfRule type="expression" dxfId="2030" priority="211">
      <formula>AND(ISNUMBER(B104), OR(B104&gt;10, B104&lt;0))</formula>
    </cfRule>
  </conditionalFormatting>
  <conditionalFormatting sqref="B104">
    <cfRule type="expression" dxfId="2029" priority="210">
      <formula>AND(NOT(ISNUMBER(B104)), B104&lt;&gt;"NP", B104&lt;&gt;"Reconocimiento Créditos", B104&lt;&gt;"Aprobado en otro curso")</formula>
    </cfRule>
  </conditionalFormatting>
  <conditionalFormatting sqref="B104">
    <cfRule type="containsText" dxfId="2028" priority="209" operator="containsText" text="Reconocimiento Créditos">
      <formula>NOT(ISERROR(SEARCH("Reconocimiento Créditos",B104)))</formula>
    </cfRule>
  </conditionalFormatting>
  <conditionalFormatting sqref="B104">
    <cfRule type="containsText" dxfId="2027" priority="212" operator="containsText" text="Aprobado en otro curso">
      <formula>NOT(ISERROR(SEARCH("Aprobado en otro curso",B104)))</formula>
    </cfRule>
  </conditionalFormatting>
  <conditionalFormatting sqref="A105">
    <cfRule type="expression" dxfId="2026" priority="207">
      <formula>AND(OR(ROW()=CELL("row"),COLUMN()=CELL("col")),NOT(ISBLANK($C105)),NOT(ISBLANK($B105)),ROW()&gt;2,COLUMN()&gt;1)</formula>
    </cfRule>
  </conditionalFormatting>
  <conditionalFormatting sqref="A105">
    <cfRule type="expression" dxfId="2025" priority="206">
      <formula>SUM(--ISBLANK($B105:$J105))=COLUMNS($B105:$J105)</formula>
    </cfRule>
  </conditionalFormatting>
  <conditionalFormatting sqref="A105">
    <cfRule type="containsText" dxfId="2024" priority="208" operator="containsText" text="NP">
      <formula>NOT(ISERROR(SEARCH("NP",A105)))</formula>
    </cfRule>
  </conditionalFormatting>
  <conditionalFormatting sqref="A105">
    <cfRule type="expression" dxfId="2023" priority="205">
      <formula>ISBLANK(A105)</formula>
    </cfRule>
  </conditionalFormatting>
  <conditionalFormatting sqref="B105">
    <cfRule type="containsText" dxfId="2022" priority="203" operator="containsText" text="NP">
      <formula>NOT(ISERROR(SEARCH("NP",B105)))</formula>
    </cfRule>
    <cfRule type="cellIs" dxfId="2021" priority="204" operator="lessThan">
      <formula>5</formula>
    </cfRule>
  </conditionalFormatting>
  <conditionalFormatting sqref="B105">
    <cfRule type="expression" dxfId="2020" priority="201">
      <formula>AND(OR(ROW()=CELL("row"),COLUMN()=CELL("col")),NOT(ISBLANK($C105)),NOT(ISBLANK($B105)),ROW()&gt;2,COLUMN()&gt;1)</formula>
    </cfRule>
  </conditionalFormatting>
  <conditionalFormatting sqref="B105">
    <cfRule type="expression" dxfId="2019" priority="200">
      <formula>SUM(--ISBLANK($B105:$J105))=COLUMNS($B105:$J105)</formula>
    </cfRule>
  </conditionalFormatting>
  <conditionalFormatting sqref="B105">
    <cfRule type="containsText" dxfId="2018" priority="202" operator="containsText" text="NP">
      <formula>NOT(ISERROR(SEARCH("NP",B105)))</formula>
    </cfRule>
  </conditionalFormatting>
  <conditionalFormatting sqref="B105">
    <cfRule type="expression" dxfId="2017" priority="199">
      <formula>ISBLANK(B105)</formula>
    </cfRule>
  </conditionalFormatting>
  <conditionalFormatting sqref="B105">
    <cfRule type="expression" dxfId="2016" priority="197">
      <formula>AND(ISNUMBER(B105), OR(B105&gt;10, B105&lt;0))</formula>
    </cfRule>
  </conditionalFormatting>
  <conditionalFormatting sqref="B105">
    <cfRule type="expression" dxfId="2015" priority="196">
      <formula>AND(NOT(ISNUMBER(B105)), B105&lt;&gt;"NP", B105&lt;&gt;"Reconocimiento Créditos", B105&lt;&gt;"Aprobado en otro curso")</formula>
    </cfRule>
  </conditionalFormatting>
  <conditionalFormatting sqref="B105">
    <cfRule type="containsText" dxfId="2014" priority="195" operator="containsText" text="Reconocimiento Créditos">
      <formula>NOT(ISERROR(SEARCH("Reconocimiento Créditos",B105)))</formula>
    </cfRule>
  </conditionalFormatting>
  <conditionalFormatting sqref="B105">
    <cfRule type="containsText" dxfId="2013" priority="198" operator="containsText" text="Aprobado en otro curso">
      <formula>NOT(ISERROR(SEARCH("Aprobado en otro curso",B105)))</formula>
    </cfRule>
  </conditionalFormatting>
  <conditionalFormatting sqref="A106">
    <cfRule type="expression" dxfId="2012" priority="193">
      <formula>AND(OR(ROW()=CELL("row"),COLUMN()=CELL("col")),NOT(ISBLANK($C106)),NOT(ISBLANK($B106)),ROW()&gt;2,COLUMN()&gt;1)</formula>
    </cfRule>
  </conditionalFormatting>
  <conditionalFormatting sqref="A106">
    <cfRule type="expression" dxfId="2011" priority="192">
      <formula>SUM(--ISBLANK($B106:$J106))=COLUMNS($B106:$J106)</formula>
    </cfRule>
  </conditionalFormatting>
  <conditionalFormatting sqref="A106">
    <cfRule type="containsText" dxfId="2010" priority="194" operator="containsText" text="NP">
      <formula>NOT(ISERROR(SEARCH("NP",A106)))</formula>
    </cfRule>
  </conditionalFormatting>
  <conditionalFormatting sqref="A106">
    <cfRule type="expression" dxfId="2009" priority="191">
      <formula>ISBLANK(A106)</formula>
    </cfRule>
  </conditionalFormatting>
  <conditionalFormatting sqref="B106">
    <cfRule type="containsText" dxfId="2008" priority="189" operator="containsText" text="NP">
      <formula>NOT(ISERROR(SEARCH("NP",B106)))</formula>
    </cfRule>
    <cfRule type="cellIs" dxfId="2007" priority="190" operator="lessThan">
      <formula>5</formula>
    </cfRule>
  </conditionalFormatting>
  <conditionalFormatting sqref="B106">
    <cfRule type="expression" dxfId="2006" priority="187">
      <formula>AND(OR(ROW()=CELL("row"),COLUMN()=CELL("col")),NOT(ISBLANK($C106)),NOT(ISBLANK($B106)),ROW()&gt;2,COLUMN()&gt;1)</formula>
    </cfRule>
  </conditionalFormatting>
  <conditionalFormatting sqref="B106">
    <cfRule type="expression" dxfId="2005" priority="186">
      <formula>SUM(--ISBLANK($B106:$J106))=COLUMNS($B106:$J106)</formula>
    </cfRule>
  </conditionalFormatting>
  <conditionalFormatting sqref="B106">
    <cfRule type="containsText" dxfId="2004" priority="188" operator="containsText" text="NP">
      <formula>NOT(ISERROR(SEARCH("NP",B106)))</formula>
    </cfRule>
  </conditionalFormatting>
  <conditionalFormatting sqref="B106">
    <cfRule type="expression" dxfId="2003" priority="185">
      <formula>ISBLANK(B106)</formula>
    </cfRule>
  </conditionalFormatting>
  <conditionalFormatting sqref="B106">
    <cfRule type="expression" dxfId="2002" priority="183">
      <formula>AND(ISNUMBER(B106), OR(B106&gt;10, B106&lt;0))</formula>
    </cfRule>
  </conditionalFormatting>
  <conditionalFormatting sqref="B106">
    <cfRule type="expression" dxfId="2001" priority="182">
      <formula>AND(NOT(ISNUMBER(B106)), B106&lt;&gt;"NP", B106&lt;&gt;"Reconocimiento Créditos", B106&lt;&gt;"Aprobado en otro curso")</formula>
    </cfRule>
  </conditionalFormatting>
  <conditionalFormatting sqref="B106">
    <cfRule type="containsText" dxfId="2000" priority="181" operator="containsText" text="Reconocimiento Créditos">
      <formula>NOT(ISERROR(SEARCH("Reconocimiento Créditos",B106)))</formula>
    </cfRule>
  </conditionalFormatting>
  <conditionalFormatting sqref="B106">
    <cfRule type="containsText" dxfId="1999" priority="184" operator="containsText" text="Aprobado en otro curso">
      <formula>NOT(ISERROR(SEARCH("Aprobado en otro curso",B106)))</formula>
    </cfRule>
  </conditionalFormatting>
  <conditionalFormatting sqref="A107">
    <cfRule type="expression" dxfId="1998" priority="179">
      <formula>AND(OR(ROW()=CELL("row"),COLUMN()=CELL("col")),NOT(ISBLANK($C107)),NOT(ISBLANK($B107)),ROW()&gt;2,COLUMN()&gt;1)</formula>
    </cfRule>
  </conditionalFormatting>
  <conditionalFormatting sqref="A107">
    <cfRule type="expression" dxfId="1997" priority="178">
      <formula>SUM(--ISBLANK($B107:$J107))=COLUMNS($B107:$J107)</formula>
    </cfRule>
  </conditionalFormatting>
  <conditionalFormatting sqref="A107">
    <cfRule type="containsText" dxfId="1996" priority="180" operator="containsText" text="NP">
      <formula>NOT(ISERROR(SEARCH("NP",A107)))</formula>
    </cfRule>
  </conditionalFormatting>
  <conditionalFormatting sqref="A107">
    <cfRule type="expression" dxfId="1995" priority="177">
      <formula>ISBLANK(A107)</formula>
    </cfRule>
  </conditionalFormatting>
  <conditionalFormatting sqref="B107">
    <cfRule type="containsText" dxfId="1994" priority="175" operator="containsText" text="NP">
      <formula>NOT(ISERROR(SEARCH("NP",B107)))</formula>
    </cfRule>
    <cfRule type="cellIs" dxfId="1993" priority="176" operator="lessThan">
      <formula>5</formula>
    </cfRule>
  </conditionalFormatting>
  <conditionalFormatting sqref="B107">
    <cfRule type="expression" dxfId="1992" priority="173">
      <formula>AND(OR(ROW()=CELL("row"),COLUMN()=CELL("col")),NOT(ISBLANK($C107)),NOT(ISBLANK($B107)),ROW()&gt;2,COLUMN()&gt;1)</formula>
    </cfRule>
  </conditionalFormatting>
  <conditionalFormatting sqref="B107">
    <cfRule type="expression" dxfId="1991" priority="172">
      <formula>SUM(--ISBLANK($B107:$J107))=COLUMNS($B107:$J107)</formula>
    </cfRule>
  </conditionalFormatting>
  <conditionalFormatting sqref="B107">
    <cfRule type="containsText" dxfId="1990" priority="174" operator="containsText" text="NP">
      <formula>NOT(ISERROR(SEARCH("NP",B107)))</formula>
    </cfRule>
  </conditionalFormatting>
  <conditionalFormatting sqref="B107">
    <cfRule type="expression" dxfId="1989" priority="171">
      <formula>ISBLANK(B107)</formula>
    </cfRule>
  </conditionalFormatting>
  <conditionalFormatting sqref="B107">
    <cfRule type="expression" dxfId="1988" priority="169">
      <formula>AND(ISNUMBER(B107), OR(B107&gt;10, B107&lt;0))</formula>
    </cfRule>
  </conditionalFormatting>
  <conditionalFormatting sqref="B107">
    <cfRule type="expression" dxfId="1987" priority="168">
      <formula>AND(NOT(ISNUMBER(B107)), B107&lt;&gt;"NP", B107&lt;&gt;"Reconocimiento Créditos", B107&lt;&gt;"Aprobado en otro curso")</formula>
    </cfRule>
  </conditionalFormatting>
  <conditionalFormatting sqref="B107">
    <cfRule type="containsText" dxfId="1986" priority="167" operator="containsText" text="Reconocimiento Créditos">
      <formula>NOT(ISERROR(SEARCH("Reconocimiento Créditos",B107)))</formula>
    </cfRule>
  </conditionalFormatting>
  <conditionalFormatting sqref="B107">
    <cfRule type="containsText" dxfId="1985" priority="170" operator="containsText" text="Aprobado en otro curso">
      <formula>NOT(ISERROR(SEARCH("Aprobado en otro curso",B107)))</formula>
    </cfRule>
  </conditionalFormatting>
  <conditionalFormatting sqref="A108">
    <cfRule type="expression" dxfId="1984" priority="165">
      <formula>AND(OR(ROW()=CELL("row"),COLUMN()=CELL("col")),NOT(ISBLANK($C108)),NOT(ISBLANK($B108)),ROW()&gt;2,COLUMN()&gt;1)</formula>
    </cfRule>
  </conditionalFormatting>
  <conditionalFormatting sqref="A108">
    <cfRule type="expression" dxfId="1983" priority="164">
      <formula>SUM(--ISBLANK($B108:$J108))=COLUMNS($B108:$J108)</formula>
    </cfRule>
  </conditionalFormatting>
  <conditionalFormatting sqref="A108">
    <cfRule type="containsText" dxfId="1982" priority="166" operator="containsText" text="NP">
      <formula>NOT(ISERROR(SEARCH("NP",A108)))</formula>
    </cfRule>
  </conditionalFormatting>
  <conditionalFormatting sqref="A108">
    <cfRule type="expression" dxfId="1981" priority="163">
      <formula>ISBLANK(A108)</formula>
    </cfRule>
  </conditionalFormatting>
  <conditionalFormatting sqref="B108">
    <cfRule type="containsText" dxfId="1980" priority="161" operator="containsText" text="NP">
      <formula>NOT(ISERROR(SEARCH("NP",B108)))</formula>
    </cfRule>
    <cfRule type="cellIs" dxfId="1979" priority="162" operator="lessThan">
      <formula>5</formula>
    </cfRule>
  </conditionalFormatting>
  <conditionalFormatting sqref="B108">
    <cfRule type="expression" dxfId="1978" priority="159">
      <formula>AND(OR(ROW()=CELL("row"),COLUMN()=CELL("col")),NOT(ISBLANK($C108)),NOT(ISBLANK($B108)),ROW()&gt;2,COLUMN()&gt;1)</formula>
    </cfRule>
  </conditionalFormatting>
  <conditionalFormatting sqref="B108">
    <cfRule type="expression" dxfId="1977" priority="158">
      <formula>SUM(--ISBLANK($B108:$J108))=COLUMNS($B108:$J108)</formula>
    </cfRule>
  </conditionalFormatting>
  <conditionalFormatting sqref="B108">
    <cfRule type="containsText" dxfId="1976" priority="160" operator="containsText" text="NP">
      <formula>NOT(ISERROR(SEARCH("NP",B108)))</formula>
    </cfRule>
  </conditionalFormatting>
  <conditionalFormatting sqref="B108">
    <cfRule type="expression" dxfId="1975" priority="157">
      <formula>ISBLANK(B108)</formula>
    </cfRule>
  </conditionalFormatting>
  <conditionalFormatting sqref="B108">
    <cfRule type="expression" dxfId="1974" priority="155">
      <formula>AND(ISNUMBER(B108), OR(B108&gt;10, B108&lt;0))</formula>
    </cfRule>
  </conditionalFormatting>
  <conditionalFormatting sqref="B108">
    <cfRule type="expression" dxfId="1973" priority="154">
      <formula>AND(NOT(ISNUMBER(B108)), B108&lt;&gt;"NP", B108&lt;&gt;"Reconocimiento Créditos", B108&lt;&gt;"Aprobado en otro curso")</formula>
    </cfRule>
  </conditionalFormatting>
  <conditionalFormatting sqref="B108">
    <cfRule type="containsText" dxfId="1972" priority="153" operator="containsText" text="Reconocimiento Créditos">
      <formula>NOT(ISERROR(SEARCH("Reconocimiento Créditos",B108)))</formula>
    </cfRule>
  </conditionalFormatting>
  <conditionalFormatting sqref="B108">
    <cfRule type="containsText" dxfId="1971" priority="156" operator="containsText" text="Aprobado en otro curso">
      <formula>NOT(ISERROR(SEARCH("Aprobado en otro curso",B108)))</formula>
    </cfRule>
  </conditionalFormatting>
  <conditionalFormatting sqref="A109">
    <cfRule type="expression" dxfId="1970" priority="151">
      <formula>AND(OR(ROW()=CELL("row"),COLUMN()=CELL("col")),NOT(ISBLANK($C109)),NOT(ISBLANK($B109)),ROW()&gt;2,COLUMN()&gt;1)</formula>
    </cfRule>
  </conditionalFormatting>
  <conditionalFormatting sqref="A109">
    <cfRule type="expression" dxfId="1969" priority="150">
      <formula>SUM(--ISBLANK($B109:$J109))=COLUMNS($B109:$J109)</formula>
    </cfRule>
  </conditionalFormatting>
  <conditionalFormatting sqref="A109">
    <cfRule type="containsText" dxfId="1968" priority="152" operator="containsText" text="NP">
      <formula>NOT(ISERROR(SEARCH("NP",A109)))</formula>
    </cfRule>
  </conditionalFormatting>
  <conditionalFormatting sqref="A109">
    <cfRule type="expression" dxfId="1967" priority="149">
      <formula>ISBLANK(A109)</formula>
    </cfRule>
  </conditionalFormatting>
  <conditionalFormatting sqref="B109">
    <cfRule type="containsText" dxfId="1966" priority="147" operator="containsText" text="NP">
      <formula>NOT(ISERROR(SEARCH("NP",B109)))</formula>
    </cfRule>
    <cfRule type="cellIs" dxfId="1965" priority="148" operator="lessThan">
      <formula>5</formula>
    </cfRule>
  </conditionalFormatting>
  <conditionalFormatting sqref="B109">
    <cfRule type="expression" dxfId="1964" priority="145">
      <formula>AND(OR(ROW()=CELL("row"),COLUMN()=CELL("col")),NOT(ISBLANK($C109)),NOT(ISBLANK($B109)),ROW()&gt;2,COLUMN()&gt;1)</formula>
    </cfRule>
  </conditionalFormatting>
  <conditionalFormatting sqref="B109">
    <cfRule type="expression" dxfId="1963" priority="144">
      <formula>SUM(--ISBLANK($B109:$J109))=COLUMNS($B109:$J109)</formula>
    </cfRule>
  </conditionalFormatting>
  <conditionalFormatting sqref="B109">
    <cfRule type="containsText" dxfId="1962" priority="146" operator="containsText" text="NP">
      <formula>NOT(ISERROR(SEARCH("NP",B109)))</formula>
    </cfRule>
  </conditionalFormatting>
  <conditionalFormatting sqref="B109">
    <cfRule type="expression" dxfId="1961" priority="143">
      <formula>ISBLANK(B109)</formula>
    </cfRule>
  </conditionalFormatting>
  <conditionalFormatting sqref="B109">
    <cfRule type="expression" dxfId="1960" priority="141">
      <formula>AND(ISNUMBER(B109), OR(B109&gt;10, B109&lt;0))</formula>
    </cfRule>
  </conditionalFormatting>
  <conditionalFormatting sqref="B109">
    <cfRule type="expression" dxfId="1959" priority="140">
      <formula>AND(NOT(ISNUMBER(B109)), B109&lt;&gt;"NP", B109&lt;&gt;"Reconocimiento Créditos", B109&lt;&gt;"Aprobado en otro curso")</formula>
    </cfRule>
  </conditionalFormatting>
  <conditionalFormatting sqref="B109">
    <cfRule type="containsText" dxfId="1958" priority="139" operator="containsText" text="Reconocimiento Créditos">
      <formula>NOT(ISERROR(SEARCH("Reconocimiento Créditos",B109)))</formula>
    </cfRule>
  </conditionalFormatting>
  <conditionalFormatting sqref="B109">
    <cfRule type="containsText" dxfId="1957" priority="142" operator="containsText" text="Aprobado en otro curso">
      <formula>NOT(ISERROR(SEARCH("Aprobado en otro curso",B109)))</formula>
    </cfRule>
  </conditionalFormatting>
  <conditionalFormatting sqref="A110">
    <cfRule type="expression" dxfId="1956" priority="137">
      <formula>AND(OR(ROW()=CELL("row"),COLUMN()=CELL("col")),NOT(ISBLANK($C110)),NOT(ISBLANK($B110)),ROW()&gt;2,COLUMN()&gt;1)</formula>
    </cfRule>
  </conditionalFormatting>
  <conditionalFormatting sqref="A110">
    <cfRule type="expression" dxfId="1955" priority="136">
      <formula>SUM(--ISBLANK($B110:$J110))=COLUMNS($B110:$J110)</formula>
    </cfRule>
  </conditionalFormatting>
  <conditionalFormatting sqref="A110">
    <cfRule type="containsText" dxfId="1954" priority="138" operator="containsText" text="NP">
      <formula>NOT(ISERROR(SEARCH("NP",A110)))</formula>
    </cfRule>
  </conditionalFormatting>
  <conditionalFormatting sqref="A110">
    <cfRule type="expression" dxfId="1953" priority="135">
      <formula>ISBLANK(A110)</formula>
    </cfRule>
  </conditionalFormatting>
  <conditionalFormatting sqref="B110">
    <cfRule type="containsText" dxfId="1952" priority="133" operator="containsText" text="NP">
      <formula>NOT(ISERROR(SEARCH("NP",B110)))</formula>
    </cfRule>
    <cfRule type="cellIs" dxfId="1951" priority="134" operator="lessThan">
      <formula>5</formula>
    </cfRule>
  </conditionalFormatting>
  <conditionalFormatting sqref="B110">
    <cfRule type="expression" dxfId="1950" priority="131">
      <formula>AND(OR(ROW()=CELL("row"),COLUMN()=CELL("col")),NOT(ISBLANK($C110)),NOT(ISBLANK($B110)),ROW()&gt;2,COLUMN()&gt;1)</formula>
    </cfRule>
  </conditionalFormatting>
  <conditionalFormatting sqref="B110">
    <cfRule type="expression" dxfId="1949" priority="130">
      <formula>SUM(--ISBLANK($B110:$J110))=COLUMNS($B110:$J110)</formula>
    </cfRule>
  </conditionalFormatting>
  <conditionalFormatting sqref="B110">
    <cfRule type="containsText" dxfId="1948" priority="132" operator="containsText" text="NP">
      <formula>NOT(ISERROR(SEARCH("NP",B110)))</formula>
    </cfRule>
  </conditionalFormatting>
  <conditionalFormatting sqref="B110">
    <cfRule type="expression" dxfId="1947" priority="129">
      <formula>ISBLANK(B110)</formula>
    </cfRule>
  </conditionalFormatting>
  <conditionalFormatting sqref="B110">
    <cfRule type="expression" dxfId="1946" priority="127">
      <formula>AND(ISNUMBER(B110), OR(B110&gt;10, B110&lt;0))</formula>
    </cfRule>
  </conditionalFormatting>
  <conditionalFormatting sqref="B110">
    <cfRule type="expression" dxfId="1945" priority="126">
      <formula>AND(NOT(ISNUMBER(B110)), B110&lt;&gt;"NP", B110&lt;&gt;"Reconocimiento Créditos", B110&lt;&gt;"Aprobado en otro curso")</formula>
    </cfRule>
  </conditionalFormatting>
  <conditionalFormatting sqref="B110">
    <cfRule type="containsText" dxfId="1944" priority="125" operator="containsText" text="Reconocimiento Créditos">
      <formula>NOT(ISERROR(SEARCH("Reconocimiento Créditos",B110)))</formula>
    </cfRule>
  </conditionalFormatting>
  <conditionalFormatting sqref="B110">
    <cfRule type="containsText" dxfId="1943" priority="128" operator="containsText" text="Aprobado en otro curso">
      <formula>NOT(ISERROR(SEARCH("Aprobado en otro curso",B110)))</formula>
    </cfRule>
  </conditionalFormatting>
  <conditionalFormatting sqref="A111">
    <cfRule type="expression" dxfId="1942" priority="123">
      <formula>AND(OR(ROW()=CELL("row"),COLUMN()=CELL("col")),NOT(ISBLANK($C111)),NOT(ISBLANK($B111)),ROW()&gt;2,COLUMN()&gt;1)</formula>
    </cfRule>
  </conditionalFormatting>
  <conditionalFormatting sqref="A111">
    <cfRule type="expression" dxfId="1941" priority="122">
      <formula>SUM(--ISBLANK($B111:$J111))=COLUMNS($B111:$J111)</formula>
    </cfRule>
  </conditionalFormatting>
  <conditionalFormatting sqref="A111">
    <cfRule type="containsText" dxfId="1940" priority="124" operator="containsText" text="NP">
      <formula>NOT(ISERROR(SEARCH("NP",A111)))</formula>
    </cfRule>
  </conditionalFormatting>
  <conditionalFormatting sqref="A111">
    <cfRule type="expression" dxfId="1939" priority="121">
      <formula>ISBLANK(A111)</formula>
    </cfRule>
  </conditionalFormatting>
  <conditionalFormatting sqref="B111">
    <cfRule type="containsText" dxfId="1938" priority="119" operator="containsText" text="NP">
      <formula>NOT(ISERROR(SEARCH("NP",B111)))</formula>
    </cfRule>
    <cfRule type="cellIs" dxfId="1937" priority="120" operator="lessThan">
      <formula>5</formula>
    </cfRule>
  </conditionalFormatting>
  <conditionalFormatting sqref="B111">
    <cfRule type="expression" dxfId="1936" priority="117">
      <formula>AND(OR(ROW()=CELL("row"),COLUMN()=CELL("col")),NOT(ISBLANK($C111)),NOT(ISBLANK($B111)),ROW()&gt;2,COLUMN()&gt;1)</formula>
    </cfRule>
  </conditionalFormatting>
  <conditionalFormatting sqref="B111">
    <cfRule type="expression" dxfId="1935" priority="116">
      <formula>SUM(--ISBLANK($B111:$J111))=COLUMNS($B111:$J111)</formula>
    </cfRule>
  </conditionalFormatting>
  <conditionalFormatting sqref="B111">
    <cfRule type="containsText" dxfId="1934" priority="118" operator="containsText" text="NP">
      <formula>NOT(ISERROR(SEARCH("NP",B111)))</formula>
    </cfRule>
  </conditionalFormatting>
  <conditionalFormatting sqref="B111">
    <cfRule type="expression" dxfId="1933" priority="115">
      <formula>ISBLANK(B111)</formula>
    </cfRule>
  </conditionalFormatting>
  <conditionalFormatting sqref="B111">
    <cfRule type="expression" dxfId="1932" priority="113">
      <formula>AND(ISNUMBER(B111), OR(B111&gt;10, B111&lt;0))</formula>
    </cfRule>
  </conditionalFormatting>
  <conditionalFormatting sqref="B111">
    <cfRule type="containsText" dxfId="1931" priority="112" operator="containsText" text="Reconocimiento Créditos">
      <formula>NOT(ISERROR(SEARCH("Reconocimiento Créditos",B111)))</formula>
    </cfRule>
  </conditionalFormatting>
  <conditionalFormatting sqref="B111">
    <cfRule type="containsText" dxfId="1930" priority="114" operator="containsText" text="Aprobado en otro curso">
      <formula>NOT(ISERROR(SEARCH("Aprobado en otro curso",B111)))</formula>
    </cfRule>
  </conditionalFormatting>
  <conditionalFormatting sqref="A112">
    <cfRule type="expression" dxfId="1929" priority="110">
      <formula>AND(OR(ROW()=CELL("row"),COLUMN()=CELL("col")),NOT(ISBLANK($C112)),NOT(ISBLANK($B112)),ROW()&gt;2,COLUMN()&gt;1)</formula>
    </cfRule>
  </conditionalFormatting>
  <conditionalFormatting sqref="A112">
    <cfRule type="expression" dxfId="1928" priority="109">
      <formula>SUM(--ISBLANK($B112:$J112))=COLUMNS($B112:$J112)</formula>
    </cfRule>
  </conditionalFormatting>
  <conditionalFormatting sqref="A112">
    <cfRule type="containsText" dxfId="1927" priority="111" operator="containsText" text="NP">
      <formula>NOT(ISERROR(SEARCH("NP",A112)))</formula>
    </cfRule>
  </conditionalFormatting>
  <conditionalFormatting sqref="A112">
    <cfRule type="expression" dxfId="1926" priority="108">
      <formula>ISBLANK(A112)</formula>
    </cfRule>
  </conditionalFormatting>
  <conditionalFormatting sqref="B112">
    <cfRule type="containsText" dxfId="1925" priority="106" operator="containsText" text="NP">
      <formula>NOT(ISERROR(SEARCH("NP",B112)))</formula>
    </cfRule>
    <cfRule type="cellIs" dxfId="1924" priority="107" operator="lessThan">
      <formula>5</formula>
    </cfRule>
  </conditionalFormatting>
  <conditionalFormatting sqref="B112">
    <cfRule type="expression" dxfId="1923" priority="104">
      <formula>AND(OR(ROW()=CELL("row"),COLUMN()=CELL("col")),NOT(ISBLANK($C112)),NOT(ISBLANK($B112)),ROW()&gt;2,COLUMN()&gt;1)</formula>
    </cfRule>
  </conditionalFormatting>
  <conditionalFormatting sqref="B112">
    <cfRule type="expression" dxfId="1922" priority="103">
      <formula>SUM(--ISBLANK($B112:$J112))=COLUMNS($B112:$J112)</formula>
    </cfRule>
  </conditionalFormatting>
  <conditionalFormatting sqref="B112">
    <cfRule type="containsText" dxfId="1921" priority="105" operator="containsText" text="NP">
      <formula>NOT(ISERROR(SEARCH("NP",B112)))</formula>
    </cfRule>
  </conditionalFormatting>
  <conditionalFormatting sqref="B112">
    <cfRule type="expression" dxfId="1920" priority="102">
      <formula>ISBLANK(B112)</formula>
    </cfRule>
  </conditionalFormatting>
  <conditionalFormatting sqref="B112">
    <cfRule type="expression" dxfId="1919" priority="100">
      <formula>AND(ISNUMBER(B112), OR(B112&gt;10, B112&lt;0))</formula>
    </cfRule>
  </conditionalFormatting>
  <conditionalFormatting sqref="B112">
    <cfRule type="containsText" dxfId="1918" priority="99" operator="containsText" text="Reconocimiento Créditos">
      <formula>NOT(ISERROR(SEARCH("Reconocimiento Créditos",B112)))</formula>
    </cfRule>
  </conditionalFormatting>
  <conditionalFormatting sqref="B112">
    <cfRule type="containsText" dxfId="1917" priority="101" operator="containsText" text="Aprobado en otro curso">
      <formula>NOT(ISERROR(SEARCH("Aprobado en otro curso",B112)))</formula>
    </cfRule>
  </conditionalFormatting>
  <conditionalFormatting sqref="A113">
    <cfRule type="expression" dxfId="1916" priority="97">
      <formula>AND(OR(ROW()=CELL("row"),COLUMN()=CELL("col")),NOT(ISBLANK($C113)),NOT(ISBLANK($B113)),ROW()&gt;2,COLUMN()&gt;1)</formula>
    </cfRule>
  </conditionalFormatting>
  <conditionalFormatting sqref="A113">
    <cfRule type="expression" dxfId="1915" priority="96">
      <formula>SUM(--ISBLANK($B113:$J113))=COLUMNS($B113:$J113)</formula>
    </cfRule>
  </conditionalFormatting>
  <conditionalFormatting sqref="A113">
    <cfRule type="containsText" dxfId="1914" priority="98" operator="containsText" text="NP">
      <formula>NOT(ISERROR(SEARCH("NP",A113)))</formula>
    </cfRule>
  </conditionalFormatting>
  <conditionalFormatting sqref="A113">
    <cfRule type="expression" dxfId="1913" priority="95">
      <formula>ISBLANK(A113)</formula>
    </cfRule>
  </conditionalFormatting>
  <conditionalFormatting sqref="B113">
    <cfRule type="containsText" dxfId="1912" priority="93" operator="containsText" text="NP">
      <formula>NOT(ISERROR(SEARCH("NP",B113)))</formula>
    </cfRule>
    <cfRule type="cellIs" dxfId="1911" priority="94" operator="lessThan">
      <formula>5</formula>
    </cfRule>
  </conditionalFormatting>
  <conditionalFormatting sqref="B113">
    <cfRule type="expression" dxfId="1910" priority="91">
      <formula>AND(OR(ROW()=CELL("row"),COLUMN()=CELL("col")),NOT(ISBLANK($C113)),NOT(ISBLANK($B113)),ROW()&gt;2,COLUMN()&gt;1)</formula>
    </cfRule>
  </conditionalFormatting>
  <conditionalFormatting sqref="B113">
    <cfRule type="expression" dxfId="1909" priority="90">
      <formula>SUM(--ISBLANK($B113:$J113))=COLUMNS($B113:$J113)</formula>
    </cfRule>
  </conditionalFormatting>
  <conditionalFormatting sqref="B113">
    <cfRule type="containsText" dxfId="1908" priority="92" operator="containsText" text="NP">
      <formula>NOT(ISERROR(SEARCH("NP",B113)))</formula>
    </cfRule>
  </conditionalFormatting>
  <conditionalFormatting sqref="B113">
    <cfRule type="expression" dxfId="1907" priority="89">
      <formula>ISBLANK(B113)</formula>
    </cfRule>
  </conditionalFormatting>
  <conditionalFormatting sqref="B113">
    <cfRule type="expression" dxfId="1906" priority="87">
      <formula>AND(ISNUMBER(B113), OR(B113&gt;10, B113&lt;0))</formula>
    </cfRule>
  </conditionalFormatting>
  <conditionalFormatting sqref="B113">
    <cfRule type="expression" dxfId="1905" priority="86">
      <formula>AND(NOT(ISNUMBER(B113)), B113&lt;&gt;"NP", B113&lt;&gt;"Reconocimiento Créditos", B113&lt;&gt;"Aprobado en otro curso")</formula>
    </cfRule>
  </conditionalFormatting>
  <conditionalFormatting sqref="B113">
    <cfRule type="containsText" dxfId="1904" priority="85" operator="containsText" text="Reconocimiento Créditos">
      <formula>NOT(ISERROR(SEARCH("Reconocimiento Créditos",B113)))</formula>
    </cfRule>
  </conditionalFormatting>
  <conditionalFormatting sqref="B113">
    <cfRule type="containsText" dxfId="1903" priority="88" operator="containsText" text="Aprobado en otro curso">
      <formula>NOT(ISERROR(SEARCH("Aprobado en otro curso",B113)))</formula>
    </cfRule>
  </conditionalFormatting>
  <conditionalFormatting sqref="A114">
    <cfRule type="expression" dxfId="1902" priority="83">
      <formula>AND(OR(ROW()=CELL("row"),COLUMN()=CELL("col")),NOT(ISBLANK($C114)),NOT(ISBLANK($B114)),ROW()&gt;2,COLUMN()&gt;1)</formula>
    </cfRule>
  </conditionalFormatting>
  <conditionalFormatting sqref="A114">
    <cfRule type="expression" dxfId="1901" priority="82">
      <formula>SUM(--ISBLANK($B114:$J114))=COLUMNS($B114:$J114)</formula>
    </cfRule>
  </conditionalFormatting>
  <conditionalFormatting sqref="A114">
    <cfRule type="containsText" dxfId="1900" priority="84" operator="containsText" text="NP">
      <formula>NOT(ISERROR(SEARCH("NP",A114)))</formula>
    </cfRule>
  </conditionalFormatting>
  <conditionalFormatting sqref="A114">
    <cfRule type="expression" dxfId="1899" priority="81">
      <formula>ISBLANK(A114)</formula>
    </cfRule>
  </conditionalFormatting>
  <conditionalFormatting sqref="B114">
    <cfRule type="containsText" dxfId="1898" priority="79" operator="containsText" text="NP">
      <formula>NOT(ISERROR(SEARCH("NP",B114)))</formula>
    </cfRule>
    <cfRule type="cellIs" dxfId="1897" priority="80" operator="lessThan">
      <formula>5</formula>
    </cfRule>
  </conditionalFormatting>
  <conditionalFormatting sqref="B114">
    <cfRule type="expression" dxfId="1896" priority="77">
      <formula>AND(OR(ROW()=CELL("row"),COLUMN()=CELL("col")),NOT(ISBLANK($C114)),NOT(ISBLANK($B114)),ROW()&gt;2,COLUMN()&gt;1)</formula>
    </cfRule>
  </conditionalFormatting>
  <conditionalFormatting sqref="B114">
    <cfRule type="expression" dxfId="1895" priority="76">
      <formula>SUM(--ISBLANK($B114:$J114))=COLUMNS($B114:$J114)</formula>
    </cfRule>
  </conditionalFormatting>
  <conditionalFormatting sqref="B114">
    <cfRule type="containsText" dxfId="1894" priority="78" operator="containsText" text="NP">
      <formula>NOT(ISERROR(SEARCH("NP",B114)))</formula>
    </cfRule>
  </conditionalFormatting>
  <conditionalFormatting sqref="B114">
    <cfRule type="expression" dxfId="1893" priority="75">
      <formula>ISBLANK(B114)</formula>
    </cfRule>
  </conditionalFormatting>
  <conditionalFormatting sqref="B114">
    <cfRule type="expression" dxfId="1892" priority="73">
      <formula>AND(ISNUMBER(B114), OR(B114&gt;10, B114&lt;0))</formula>
    </cfRule>
  </conditionalFormatting>
  <conditionalFormatting sqref="B114">
    <cfRule type="expression" dxfId="1891" priority="72">
      <formula>AND(NOT(ISNUMBER(B114)), B114&lt;&gt;"NP", B114&lt;&gt;"Reconocimiento Créditos", B114&lt;&gt;"Aprobado en otro curso")</formula>
    </cfRule>
  </conditionalFormatting>
  <conditionalFormatting sqref="B114">
    <cfRule type="containsText" dxfId="1890" priority="71" operator="containsText" text="Reconocimiento Créditos">
      <formula>NOT(ISERROR(SEARCH("Reconocimiento Créditos",B114)))</formula>
    </cfRule>
  </conditionalFormatting>
  <conditionalFormatting sqref="B114">
    <cfRule type="containsText" dxfId="1889" priority="74" operator="containsText" text="Aprobado en otro curso">
      <formula>NOT(ISERROR(SEARCH("Aprobado en otro curso",B114)))</formula>
    </cfRule>
  </conditionalFormatting>
  <conditionalFormatting sqref="A115">
    <cfRule type="expression" dxfId="1888" priority="69">
      <formula>AND(OR(ROW()=CELL("row"),COLUMN()=CELL("col")),NOT(ISBLANK($C115)),NOT(ISBLANK($B115)),ROW()&gt;2,COLUMN()&gt;1)</formula>
    </cfRule>
  </conditionalFormatting>
  <conditionalFormatting sqref="A115">
    <cfRule type="expression" dxfId="1887" priority="68">
      <formula>SUM(--ISBLANK($B115:$J115))=COLUMNS($B115:$J115)</formula>
    </cfRule>
  </conditionalFormatting>
  <conditionalFormatting sqref="A115">
    <cfRule type="containsText" dxfId="1886" priority="70" operator="containsText" text="NP">
      <formula>NOT(ISERROR(SEARCH("NP",A115)))</formula>
    </cfRule>
  </conditionalFormatting>
  <conditionalFormatting sqref="A115">
    <cfRule type="expression" dxfId="1885" priority="67">
      <formula>ISBLANK(A115)</formula>
    </cfRule>
  </conditionalFormatting>
  <conditionalFormatting sqref="B115">
    <cfRule type="containsText" dxfId="1884" priority="65" operator="containsText" text="NP">
      <formula>NOT(ISERROR(SEARCH("NP",B115)))</formula>
    </cfRule>
    <cfRule type="cellIs" dxfId="1883" priority="66" operator="lessThan">
      <formula>5</formula>
    </cfRule>
  </conditionalFormatting>
  <conditionalFormatting sqref="B115">
    <cfRule type="expression" dxfId="1882" priority="63">
      <formula>AND(OR(ROW()=CELL("row"),COLUMN()=CELL("col")),NOT(ISBLANK($C115)),NOT(ISBLANK($B115)),ROW()&gt;2,COLUMN()&gt;1)</formula>
    </cfRule>
  </conditionalFormatting>
  <conditionalFormatting sqref="B115">
    <cfRule type="expression" dxfId="1881" priority="62">
      <formula>SUM(--ISBLANK($B115:$J115))=COLUMNS($B115:$J115)</formula>
    </cfRule>
  </conditionalFormatting>
  <conditionalFormatting sqref="B115">
    <cfRule type="containsText" dxfId="1880" priority="64" operator="containsText" text="NP">
      <formula>NOT(ISERROR(SEARCH("NP",B115)))</formula>
    </cfRule>
  </conditionalFormatting>
  <conditionalFormatting sqref="B115">
    <cfRule type="expression" dxfId="1879" priority="61">
      <formula>ISBLANK(B115)</formula>
    </cfRule>
  </conditionalFormatting>
  <conditionalFormatting sqref="B115">
    <cfRule type="expression" dxfId="1878" priority="59">
      <formula>AND(ISNUMBER(B115), OR(B115&gt;10, B115&lt;0))</formula>
    </cfRule>
  </conditionalFormatting>
  <conditionalFormatting sqref="B115">
    <cfRule type="expression" dxfId="1877" priority="58">
      <formula>AND(NOT(ISNUMBER(B115)), B115&lt;&gt;"NP", B115&lt;&gt;"Reconocimiento Créditos", B115&lt;&gt;"Aprobado en otro curso")</formula>
    </cfRule>
  </conditionalFormatting>
  <conditionalFormatting sqref="B115">
    <cfRule type="containsText" dxfId="1876" priority="57" operator="containsText" text="Reconocimiento Créditos">
      <formula>NOT(ISERROR(SEARCH("Reconocimiento Créditos",B115)))</formula>
    </cfRule>
  </conditionalFormatting>
  <conditionalFormatting sqref="B115">
    <cfRule type="containsText" dxfId="1875" priority="60" operator="containsText" text="Aprobado en otro curso">
      <formula>NOT(ISERROR(SEARCH("Aprobado en otro curso",B115)))</formula>
    </cfRule>
  </conditionalFormatting>
  <conditionalFormatting sqref="A116">
    <cfRule type="expression" dxfId="1874" priority="55">
      <formula>AND(OR(ROW()=CELL("row"),COLUMN()=CELL("col")),NOT(ISBLANK($C116)),NOT(ISBLANK($B116)),ROW()&gt;2,COLUMN()&gt;1)</formula>
    </cfRule>
  </conditionalFormatting>
  <conditionalFormatting sqref="A116">
    <cfRule type="expression" dxfId="1873" priority="54">
      <formula>SUM(--ISBLANK($B116:$J116))=COLUMNS($B116:$J116)</formula>
    </cfRule>
  </conditionalFormatting>
  <conditionalFormatting sqref="A116">
    <cfRule type="containsText" dxfId="1872" priority="56" operator="containsText" text="NP">
      <formula>NOT(ISERROR(SEARCH("NP",A116)))</formula>
    </cfRule>
  </conditionalFormatting>
  <conditionalFormatting sqref="A116">
    <cfRule type="expression" dxfId="1871" priority="53">
      <formula>ISBLANK(A116)</formula>
    </cfRule>
  </conditionalFormatting>
  <conditionalFormatting sqref="B116">
    <cfRule type="containsText" dxfId="1870" priority="51" operator="containsText" text="NP">
      <formula>NOT(ISERROR(SEARCH("NP",B116)))</formula>
    </cfRule>
    <cfRule type="cellIs" dxfId="1869" priority="52" operator="lessThan">
      <formula>5</formula>
    </cfRule>
  </conditionalFormatting>
  <conditionalFormatting sqref="B116">
    <cfRule type="expression" dxfId="1868" priority="49">
      <formula>AND(OR(ROW()=CELL("row"),COLUMN()=CELL("col")),NOT(ISBLANK($C116)),NOT(ISBLANK($B116)),ROW()&gt;2,COLUMN()&gt;1)</formula>
    </cfRule>
  </conditionalFormatting>
  <conditionalFormatting sqref="B116">
    <cfRule type="expression" dxfId="1867" priority="48">
      <formula>SUM(--ISBLANK($B116:$J116))=COLUMNS($B116:$J116)</formula>
    </cfRule>
  </conditionalFormatting>
  <conditionalFormatting sqref="B116">
    <cfRule type="containsText" dxfId="1866" priority="50" operator="containsText" text="NP">
      <formula>NOT(ISERROR(SEARCH("NP",B116)))</formula>
    </cfRule>
  </conditionalFormatting>
  <conditionalFormatting sqref="B116">
    <cfRule type="expression" dxfId="1865" priority="47">
      <formula>ISBLANK(B116)</formula>
    </cfRule>
  </conditionalFormatting>
  <conditionalFormatting sqref="B116">
    <cfRule type="expression" dxfId="1864" priority="45">
      <formula>AND(ISNUMBER(B116), OR(B116&gt;10, B116&lt;0))</formula>
    </cfRule>
  </conditionalFormatting>
  <conditionalFormatting sqref="B116">
    <cfRule type="expression" dxfId="1863" priority="44">
      <formula>AND(NOT(ISNUMBER(B116)), B116&lt;&gt;"NP", B116&lt;&gt;"Reconocimiento Créditos", B116&lt;&gt;"Aprobado en otro curso")</formula>
    </cfRule>
  </conditionalFormatting>
  <conditionalFormatting sqref="B116">
    <cfRule type="containsText" dxfId="1862" priority="43" operator="containsText" text="Reconocimiento Créditos">
      <formula>NOT(ISERROR(SEARCH("Reconocimiento Créditos",B116)))</formula>
    </cfRule>
  </conditionalFormatting>
  <conditionalFormatting sqref="B116">
    <cfRule type="containsText" dxfId="1861" priority="46" operator="containsText" text="Aprobado en otro curso">
      <formula>NOT(ISERROR(SEARCH("Aprobado en otro curso",B116)))</formula>
    </cfRule>
  </conditionalFormatting>
  <conditionalFormatting sqref="A117">
    <cfRule type="expression" dxfId="1860" priority="41">
      <formula>AND(OR(ROW()=CELL("row"),COLUMN()=CELL("col")),NOT(ISBLANK($C117)),NOT(ISBLANK($B117)),ROW()&gt;2,COLUMN()&gt;1)</formula>
    </cfRule>
  </conditionalFormatting>
  <conditionalFormatting sqref="A117">
    <cfRule type="expression" dxfId="1859" priority="40">
      <formula>SUM(--ISBLANK($B117:$J117))=COLUMNS($B117:$J117)</formula>
    </cfRule>
  </conditionalFormatting>
  <conditionalFormatting sqref="A117">
    <cfRule type="containsText" dxfId="1858" priority="42" operator="containsText" text="NP">
      <formula>NOT(ISERROR(SEARCH("NP",A117)))</formula>
    </cfRule>
  </conditionalFormatting>
  <conditionalFormatting sqref="A117">
    <cfRule type="expression" dxfId="1857" priority="39">
      <formula>ISBLANK(A117)</formula>
    </cfRule>
  </conditionalFormatting>
  <conditionalFormatting sqref="B117">
    <cfRule type="containsText" dxfId="1856" priority="37" operator="containsText" text="NP">
      <formula>NOT(ISERROR(SEARCH("NP",B117)))</formula>
    </cfRule>
    <cfRule type="cellIs" dxfId="1855" priority="38" operator="lessThan">
      <formula>5</formula>
    </cfRule>
  </conditionalFormatting>
  <conditionalFormatting sqref="B117">
    <cfRule type="expression" dxfId="1854" priority="35">
      <formula>AND(OR(ROW()=CELL("row"),COLUMN()=CELL("col")),NOT(ISBLANK($C117)),NOT(ISBLANK($B117)),ROW()&gt;2,COLUMN()&gt;1)</formula>
    </cfRule>
  </conditionalFormatting>
  <conditionalFormatting sqref="B117">
    <cfRule type="expression" dxfId="1853" priority="34">
      <formula>SUM(--ISBLANK($B117:$J117))=COLUMNS($B117:$J117)</formula>
    </cfRule>
  </conditionalFormatting>
  <conditionalFormatting sqref="B117">
    <cfRule type="containsText" dxfId="1852" priority="36" operator="containsText" text="NP">
      <formula>NOT(ISERROR(SEARCH("NP",B117)))</formula>
    </cfRule>
  </conditionalFormatting>
  <conditionalFormatting sqref="B117">
    <cfRule type="expression" dxfId="1851" priority="33">
      <formula>ISBLANK(B117)</formula>
    </cfRule>
  </conditionalFormatting>
  <conditionalFormatting sqref="B117">
    <cfRule type="expression" dxfId="1850" priority="31">
      <formula>AND(ISNUMBER(B117), OR(B117&gt;10, B117&lt;0))</formula>
    </cfRule>
  </conditionalFormatting>
  <conditionalFormatting sqref="B117">
    <cfRule type="expression" dxfId="1849" priority="30">
      <formula>AND(NOT(ISNUMBER(B117)), B117&lt;&gt;"NP", B117&lt;&gt;"Reconocimiento Créditos", B117&lt;&gt;"Aprobado en otro curso")</formula>
    </cfRule>
  </conditionalFormatting>
  <conditionalFormatting sqref="B117">
    <cfRule type="containsText" dxfId="1848" priority="29" operator="containsText" text="Reconocimiento Créditos">
      <formula>NOT(ISERROR(SEARCH("Reconocimiento Créditos",B117)))</formula>
    </cfRule>
  </conditionalFormatting>
  <conditionalFormatting sqref="B117">
    <cfRule type="containsText" dxfId="1847" priority="32" operator="containsText" text="Aprobado en otro curso">
      <formula>NOT(ISERROR(SEARCH("Aprobado en otro curso",B117)))</formula>
    </cfRule>
  </conditionalFormatting>
  <conditionalFormatting sqref="A118">
    <cfRule type="expression" dxfId="1846" priority="27">
      <formula>AND(OR(ROW()=CELL("row"),COLUMN()=CELL("col")),NOT(ISBLANK($C118)),NOT(ISBLANK($B118)),ROW()&gt;2,COLUMN()&gt;1)</formula>
    </cfRule>
  </conditionalFormatting>
  <conditionalFormatting sqref="A118">
    <cfRule type="expression" dxfId="1845" priority="26">
      <formula>SUM(--ISBLANK($B118:$J118))=COLUMNS($B118:$J118)</formula>
    </cfRule>
  </conditionalFormatting>
  <conditionalFormatting sqref="A118">
    <cfRule type="containsText" dxfId="1844" priority="28" operator="containsText" text="NP">
      <formula>NOT(ISERROR(SEARCH("NP",A118)))</formula>
    </cfRule>
  </conditionalFormatting>
  <conditionalFormatting sqref="A118">
    <cfRule type="expression" dxfId="1843" priority="25">
      <formula>ISBLANK(A118)</formula>
    </cfRule>
  </conditionalFormatting>
  <conditionalFormatting sqref="B118">
    <cfRule type="containsText" dxfId="1842" priority="23" operator="containsText" text="NP">
      <formula>NOT(ISERROR(SEARCH("NP",B118)))</formula>
    </cfRule>
    <cfRule type="cellIs" dxfId="1841" priority="24" operator="lessThan">
      <formula>5</formula>
    </cfRule>
  </conditionalFormatting>
  <conditionalFormatting sqref="B118">
    <cfRule type="expression" dxfId="1840" priority="21">
      <formula>AND(OR(ROW()=CELL("row"),COLUMN()=CELL("col")),NOT(ISBLANK($C118)),NOT(ISBLANK($B118)),ROW()&gt;2,COLUMN()&gt;1)</formula>
    </cfRule>
  </conditionalFormatting>
  <conditionalFormatting sqref="B118">
    <cfRule type="expression" dxfId="1839" priority="20">
      <formula>SUM(--ISBLANK($B118:$J118))=COLUMNS($B118:$J118)</formula>
    </cfRule>
  </conditionalFormatting>
  <conditionalFormatting sqref="B118">
    <cfRule type="containsText" dxfId="1838" priority="22" operator="containsText" text="NP">
      <formula>NOT(ISERROR(SEARCH("NP",B118)))</formula>
    </cfRule>
  </conditionalFormatting>
  <conditionalFormatting sqref="B118">
    <cfRule type="expression" dxfId="1837" priority="19">
      <formula>ISBLANK(B118)</formula>
    </cfRule>
  </conditionalFormatting>
  <conditionalFormatting sqref="B118">
    <cfRule type="expression" dxfId="1836" priority="17">
      <formula>AND(ISNUMBER(B118), OR(B118&gt;10, B118&lt;0))</formula>
    </cfRule>
  </conditionalFormatting>
  <conditionalFormatting sqref="B118">
    <cfRule type="expression" dxfId="1835" priority="16">
      <formula>AND(NOT(ISNUMBER(B118)), B118&lt;&gt;"NP", B118&lt;&gt;"Reconocimiento Créditos", B118&lt;&gt;"Aprobado en otro curso")</formula>
    </cfRule>
  </conditionalFormatting>
  <conditionalFormatting sqref="B118">
    <cfRule type="containsText" dxfId="1834" priority="15" operator="containsText" text="Reconocimiento Créditos">
      <formula>NOT(ISERROR(SEARCH("Reconocimiento Créditos",B118)))</formula>
    </cfRule>
  </conditionalFormatting>
  <conditionalFormatting sqref="B118">
    <cfRule type="containsText" dxfId="1833" priority="18" operator="containsText" text="Aprobado en otro curso">
      <formula>NOT(ISERROR(SEARCH("Aprobado en otro curso",B118)))</formula>
    </cfRule>
  </conditionalFormatting>
  <conditionalFormatting sqref="A119">
    <cfRule type="expression" dxfId="1832" priority="13">
      <formula>AND(OR(ROW()=CELL("row"),COLUMN()=CELL("col")),NOT(ISBLANK($C119)),NOT(ISBLANK($B119)),ROW()&gt;2,COLUMN()&gt;1)</formula>
    </cfRule>
  </conditionalFormatting>
  <conditionalFormatting sqref="A119">
    <cfRule type="expression" dxfId="1831" priority="12">
      <formula>SUM(--ISBLANK($B119:$J119))=COLUMNS($B119:$J119)</formula>
    </cfRule>
  </conditionalFormatting>
  <conditionalFormatting sqref="A119">
    <cfRule type="containsText" dxfId="1830" priority="14" operator="containsText" text="NP">
      <formula>NOT(ISERROR(SEARCH("NP",A119)))</formula>
    </cfRule>
  </conditionalFormatting>
  <conditionalFormatting sqref="A119">
    <cfRule type="expression" dxfId="1829" priority="11">
      <formula>ISBLANK(A119)</formula>
    </cfRule>
  </conditionalFormatting>
  <conditionalFormatting sqref="B119">
    <cfRule type="containsText" dxfId="1828" priority="9" operator="containsText" text="NP">
      <formula>NOT(ISERROR(SEARCH("NP",B119)))</formula>
    </cfRule>
    <cfRule type="cellIs" dxfId="1827" priority="10" operator="lessThan">
      <formula>5</formula>
    </cfRule>
  </conditionalFormatting>
  <conditionalFormatting sqref="B119">
    <cfRule type="expression" dxfId="1826" priority="7">
      <formula>AND(OR(ROW()=CELL("row"),COLUMN()=CELL("col")),NOT(ISBLANK($C119)),NOT(ISBLANK($B119)),ROW()&gt;2,COLUMN()&gt;1)</formula>
    </cfRule>
  </conditionalFormatting>
  <conditionalFormatting sqref="B119">
    <cfRule type="expression" dxfId="1825" priority="6">
      <formula>SUM(--ISBLANK($B119:$J119))=COLUMNS($B119:$J119)</formula>
    </cfRule>
  </conditionalFormatting>
  <conditionalFormatting sqref="B119">
    <cfRule type="containsText" dxfId="1824" priority="8" operator="containsText" text="NP">
      <formula>NOT(ISERROR(SEARCH("NP",B119)))</formula>
    </cfRule>
  </conditionalFormatting>
  <conditionalFormatting sqref="B119">
    <cfRule type="expression" dxfId="1823" priority="5">
      <formula>ISBLANK(B119)</formula>
    </cfRule>
  </conditionalFormatting>
  <conditionalFormatting sqref="B119">
    <cfRule type="expression" dxfId="1822" priority="3">
      <formula>AND(ISNUMBER(B119), OR(B119&gt;10, B119&lt;0))</formula>
    </cfRule>
  </conditionalFormatting>
  <conditionalFormatting sqref="B119">
    <cfRule type="expression" dxfId="1821" priority="2">
      <formula>AND(NOT(ISNUMBER(B119)), B119&lt;&gt;"NP", B119&lt;&gt;"Reconocimiento Créditos", B119&lt;&gt;"Aprobado en otro curso")</formula>
    </cfRule>
  </conditionalFormatting>
  <conditionalFormatting sqref="B119">
    <cfRule type="containsText" dxfId="1820" priority="1" operator="containsText" text="Reconocimiento Créditos">
      <formula>NOT(ISERROR(SEARCH("Reconocimiento Créditos",B119)))</formula>
    </cfRule>
  </conditionalFormatting>
  <conditionalFormatting sqref="B119">
    <cfRule type="containsText" dxfId="1819" priority="4" operator="containsText" text="Aprobado en otro curso">
      <formula>NOT(ISERROR(SEARCH("Aprobado en otro curso",B119)))</formula>
    </cfRule>
  </conditionalFormatting>
  <dataValidations count="1">
    <dataValidation type="list" allowBlank="1" showInputMessage="1" showErrorMessage="1" sqref="B3" xr:uid="{8AD7E634-0742-4CBA-A94C-32BA359BB9E2}">
      <formula1>"Examen,Prueba Complementaria"</formula1>
    </dataValidation>
  </dataValidations>
  <printOptions horizontalCentered="1" verticalCentered="1"/>
  <pageMargins left="0.7" right="0.7" top="0.75" bottom="0.75" header="0.3" footer="0.3"/>
  <pageSetup paperSize="9"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769" r:id="rId4" name="btnExportarPDF">
              <controlPr defaultSize="0" print="0" autoFill="0" autoPict="0" macro="[0]!ExportarInformePDF">
                <anchor moveWithCells="1" sizeWithCells="1">
                  <from>
                    <xdr:col>9</xdr:col>
                    <xdr:colOff>0</xdr:colOff>
                    <xdr:row>0</xdr:row>
                    <xdr:rowOff>0</xdr:rowOff>
                  </from>
                  <to>
                    <xdr:col>13</xdr:col>
                    <xdr:colOff>0</xdr:colOff>
                    <xdr:row>2</xdr:row>
                    <xdr:rowOff>0</xdr:rowOff>
                  </to>
                </anchor>
              </controlPr>
            </control>
          </mc:Choice>
        </mc:AlternateContent>
        <mc:AlternateContent xmlns:mc="http://schemas.openxmlformats.org/markup-compatibility/2006">
          <mc:Choice Requires="x14">
            <control shapeId="288770" r:id="rId5" name="BtnVerDatos">
              <controlPr defaultSize="0" print="0" autoFill="0" autoPict="0" macro="[0]!AlternarVisibilidadDatos">
                <anchor moveWithCells="1" sizeWithCells="1">
                  <from>
                    <xdr:col>13</xdr:col>
                    <xdr:colOff>0</xdr:colOff>
                    <xdr:row>0</xdr:row>
                    <xdr:rowOff>0</xdr:rowOff>
                  </from>
                  <to>
                    <xdr:col>17</xdr:col>
                    <xdr:colOff>0</xdr:colOff>
                    <xdr:row>2</xdr:row>
                    <xdr:rowOff>0</xdr:rowOff>
                  </to>
                </anchor>
              </controlPr>
            </control>
          </mc:Choice>
        </mc:AlternateContent>
        <mc:AlternateContent xmlns:mc="http://schemas.openxmlformats.org/markup-compatibility/2006">
          <mc:Choice Requires="x14">
            <control shapeId="288771" r:id="rId6" name="btnInformTXT">
              <controlPr defaultSize="0" print="0" autoFill="0" autoPict="0" macro="[0]!GenerarTextoEvaluacionExamen">
                <anchor moveWithCells="1" sizeWithCells="1">
                  <from>
                    <xdr:col>17</xdr:col>
                    <xdr:colOff>0</xdr:colOff>
                    <xdr:row>0</xdr:row>
                    <xdr:rowOff>0</xdr:rowOff>
                  </from>
                  <to>
                    <xdr:col>21</xdr:col>
                    <xdr:colOff>0</xdr:colOff>
                    <xdr:row>2</xdr:row>
                    <xdr:rowOff>0</xdr:rowOff>
                  </to>
                </anchor>
              </controlPr>
            </control>
          </mc:Choice>
        </mc:AlternateContent>
        <mc:AlternateContent xmlns:mc="http://schemas.openxmlformats.org/markup-compatibility/2006">
          <mc:Choice Requires="x14">
            <control shapeId="288772" r:id="rId7" name="BtnAyudaEst">
              <controlPr defaultSize="0" print="0" autoFill="0" autoPict="0" macro="[0]!AlternarGuiaEstadistica">
                <anchor moveWithCells="1" sizeWithCells="1">
                  <from>
                    <xdr:col>3</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288773" r:id="rId8" name="Button 5">
              <controlPr defaultSize="0" print="0" autoFill="0" autoPict="0" macro="[0]!EliminarHojaActual">
                <anchor moveWithCells="1" sizeWithCells="1">
                  <from>
                    <xdr:col>5</xdr:col>
                    <xdr:colOff>0</xdr:colOff>
                    <xdr:row>0</xdr:row>
                    <xdr:rowOff>0</xdr:rowOff>
                  </from>
                  <to>
                    <xdr:col>9</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4CD41-5B13-4614-B48D-933D30A2ED9A}">
  <sheetPr codeName="Hoja6">
    <pageSetUpPr fitToPage="1"/>
  </sheetPr>
  <dimension ref="A1:AF15"/>
  <sheetViews>
    <sheetView zoomScale="26" zoomScaleNormal="35" workbookViewId="0">
      <selection sqref="A1:R66"/>
    </sheetView>
  </sheetViews>
  <sheetFormatPr baseColWidth="10" defaultRowHeight="14.5"/>
  <cols>
    <col min="1" max="1" width="22.54296875" customWidth="1"/>
    <col min="2" max="2" width="24.54296875" customWidth="1"/>
    <col min="3" max="3" width="23.26953125" customWidth="1"/>
    <col min="4" max="4" width="34.6328125" customWidth="1"/>
    <col min="5" max="5" width="23.453125" customWidth="1"/>
    <col min="6" max="6" width="27.54296875" customWidth="1"/>
    <col min="7" max="7" width="25" customWidth="1"/>
    <col min="8" max="8" width="37.81640625" customWidth="1"/>
    <col min="9" max="9" width="44.54296875" customWidth="1"/>
  </cols>
  <sheetData>
    <row r="1" spans="1:32" ht="15.5" thickTop="1" thickBot="1">
      <c r="A1" s="142" t="s">
        <v>102</v>
      </c>
      <c r="B1" s="143"/>
      <c r="C1" s="143"/>
      <c r="D1" s="143"/>
      <c r="E1" s="143"/>
      <c r="F1" s="143"/>
      <c r="G1" s="143"/>
      <c r="H1" s="144"/>
      <c r="AA1" s="112">
        <v>5.2226041666666676</v>
      </c>
      <c r="AB1" s="112">
        <v>4.9510526315789454</v>
      </c>
      <c r="AC1" s="112">
        <v>5.4078947368421053</v>
      </c>
      <c r="AD1" s="112">
        <v>5.7315789473684209</v>
      </c>
      <c r="AE1" s="112">
        <v>5.3813829787234022</v>
      </c>
      <c r="AF1" s="112">
        <v>5.392612903225805</v>
      </c>
    </row>
    <row r="2" spans="1:32" ht="15.5" thickTop="1" thickBot="1">
      <c r="A2" s="96">
        <v>15</v>
      </c>
      <c r="B2" s="96">
        <v>15</v>
      </c>
      <c r="C2" s="96">
        <v>15</v>
      </c>
      <c r="D2" s="96">
        <v>15</v>
      </c>
      <c r="E2" s="96">
        <v>40</v>
      </c>
      <c r="F2" s="96">
        <v>100</v>
      </c>
      <c r="AA2" s="96">
        <v>2.1477697952331747</v>
      </c>
      <c r="AB2" s="96">
        <v>2.0848952888936632</v>
      </c>
      <c r="AC2" s="96">
        <v>2.3891345690269663</v>
      </c>
      <c r="AD2" s="96">
        <v>2.7195302674076385</v>
      </c>
      <c r="AE2" s="96">
        <v>2.1957282517322065</v>
      </c>
      <c r="AF2" s="96">
        <v>1.5603296938089419</v>
      </c>
    </row>
    <row r="3" spans="1:32" ht="15.5" thickTop="1" thickBot="1">
      <c r="A3" s="173" t="s">
        <v>9</v>
      </c>
      <c r="B3" s="174" t="s">
        <v>10</v>
      </c>
      <c r="C3" s="174" t="s">
        <v>11</v>
      </c>
      <c r="D3" s="174" t="s">
        <v>12</v>
      </c>
      <c r="E3" s="174" t="s">
        <v>13</v>
      </c>
      <c r="F3" s="175" t="s">
        <v>14</v>
      </c>
      <c r="AA3" s="96" t="s">
        <v>54</v>
      </c>
      <c r="AB3" s="96" t="s">
        <v>54</v>
      </c>
      <c r="AC3" s="96" t="s">
        <v>55</v>
      </c>
      <c r="AD3" s="96" t="s">
        <v>55</v>
      </c>
      <c r="AE3" s="96" t="s">
        <v>54</v>
      </c>
    </row>
    <row r="4" spans="1:32" ht="19.5" thickTop="1" thickBot="1">
      <c r="A4" s="176">
        <v>4</v>
      </c>
      <c r="B4" s="177">
        <v>3.5</v>
      </c>
      <c r="C4" s="178">
        <v>3.75</v>
      </c>
      <c r="D4" s="178">
        <v>7.6</v>
      </c>
      <c r="E4" s="197">
        <v>4.75</v>
      </c>
      <c r="F4" s="179">
        <v>4.7275</v>
      </c>
      <c r="H4" s="180" t="s">
        <v>78</v>
      </c>
      <c r="I4" s="181">
        <v>3</v>
      </c>
    </row>
    <row r="5" spans="1:32" ht="19.5" thickTop="1" thickBot="1">
      <c r="A5" s="96" t="s">
        <v>54</v>
      </c>
      <c r="B5" s="96" t="s">
        <v>54</v>
      </c>
      <c r="C5" s="96" t="s">
        <v>55</v>
      </c>
      <c r="D5" s="96" t="s">
        <v>55</v>
      </c>
      <c r="E5" s="96" t="s">
        <v>54</v>
      </c>
      <c r="H5" s="182" t="s">
        <v>79</v>
      </c>
      <c r="I5" s="183">
        <v>2</v>
      </c>
    </row>
    <row r="6" spans="1:32" ht="15" thickTop="1"/>
    <row r="7" spans="1:32" ht="15" thickBot="1"/>
    <row r="8" spans="1:32" ht="15" thickBot="1">
      <c r="A8" s="145" t="s">
        <v>103</v>
      </c>
      <c r="B8" s="146"/>
      <c r="C8" s="146"/>
      <c r="D8" s="146"/>
      <c r="E8" s="146"/>
      <c r="F8" s="146"/>
      <c r="G8" s="146"/>
      <c r="H8" s="146"/>
      <c r="I8" s="147"/>
    </row>
    <row r="9" spans="1:32" ht="15" thickTop="1">
      <c r="A9" s="173" t="s">
        <v>50</v>
      </c>
      <c r="B9" s="174" t="s">
        <v>51</v>
      </c>
      <c r="C9" s="174" t="s">
        <v>53</v>
      </c>
      <c r="D9" s="174" t="s">
        <v>62</v>
      </c>
      <c r="E9" s="174" t="s">
        <v>64</v>
      </c>
      <c r="F9" s="174" t="s">
        <v>66</v>
      </c>
      <c r="G9" s="174" t="s">
        <v>63</v>
      </c>
      <c r="H9" s="174" t="s">
        <v>65</v>
      </c>
      <c r="I9" s="175" t="s">
        <v>52</v>
      </c>
    </row>
    <row r="10" spans="1:32" ht="19" thickBot="1">
      <c r="A10" s="184">
        <v>-0.31193411343837479</v>
      </c>
      <c r="B10" s="185">
        <v>0.26</v>
      </c>
      <c r="C10" s="186">
        <v>4.083333333333333</v>
      </c>
      <c r="D10" s="187">
        <v>-0.31055552766244138</v>
      </c>
      <c r="E10" s="185">
        <v>0.20599999999999999</v>
      </c>
      <c r="F10" s="186">
        <v>5.6749999999999998</v>
      </c>
      <c r="G10" s="187">
        <v>-1.3785857759334164E-3</v>
      </c>
      <c r="H10" s="185">
        <v>0.46700000000000003</v>
      </c>
      <c r="I10" s="188">
        <v>4.7200000000000006</v>
      </c>
    </row>
    <row r="11" spans="1:32" ht="15.5" thickTop="1" thickBot="1"/>
    <row r="12" spans="1:32" ht="15" thickBot="1">
      <c r="A12" s="145" t="s">
        <v>103</v>
      </c>
      <c r="B12" s="146"/>
      <c r="C12" s="146"/>
      <c r="D12" s="146"/>
      <c r="E12" s="146"/>
      <c r="F12" s="146"/>
      <c r="G12" s="146"/>
      <c r="H12" s="146"/>
      <c r="I12" s="147"/>
    </row>
    <row r="13" spans="1:32" ht="15" thickTop="1">
      <c r="A13" s="173" t="s">
        <v>56</v>
      </c>
      <c r="B13" s="174" t="s">
        <v>57</v>
      </c>
      <c r="C13" s="174" t="s">
        <v>58</v>
      </c>
      <c r="D13" s="174" t="s">
        <v>67</v>
      </c>
      <c r="E13" s="174" t="s">
        <v>68</v>
      </c>
      <c r="F13" s="174" t="s">
        <v>69</v>
      </c>
      <c r="G13" s="174" t="s">
        <v>70</v>
      </c>
      <c r="H13" s="174" t="s">
        <v>71</v>
      </c>
      <c r="I13" s="175" t="s">
        <v>77</v>
      </c>
    </row>
    <row r="14" spans="1:32" ht="19" thickBot="1">
      <c r="A14" s="189">
        <v>1.5916666666666668</v>
      </c>
      <c r="B14" s="185">
        <v>0.38979591836734701</v>
      </c>
      <c r="C14" s="185" t="s">
        <v>104</v>
      </c>
      <c r="D14" s="187">
        <v>3.3173912735015895E-2</v>
      </c>
      <c r="E14" s="187">
        <v>1.4995332607181464</v>
      </c>
      <c r="F14" s="187">
        <v>1.0003112563716211E-2</v>
      </c>
      <c r="G14" s="187">
        <v>0.375</v>
      </c>
      <c r="H14" s="187">
        <v>2.9999999999999361E-2</v>
      </c>
      <c r="I14" s="190" t="s">
        <v>105</v>
      </c>
    </row>
    <row r="15" spans="1:32" ht="15" thickTop="1"/>
  </sheetData>
  <mergeCells count="3">
    <mergeCell ref="A1:H1"/>
    <mergeCell ref="A8:I8"/>
    <mergeCell ref="A12:I12"/>
  </mergeCells>
  <conditionalFormatting sqref="A4">
    <cfRule type="containsText" dxfId="1818" priority="120" operator="containsText" text="NP">
      <formula>NOT(ISERROR(SEARCH("NP",A4)))</formula>
    </cfRule>
    <cfRule type="cellIs" dxfId="1817" priority="121" operator="lessThan">
      <formula>5</formula>
    </cfRule>
  </conditionalFormatting>
  <conditionalFormatting sqref="A4">
    <cfRule type="expression" dxfId="1816" priority="118">
      <formula>AND(OR(ROW()=CELL("row"),COLUMN()=CELL("col")),NOT(ISBLANK($C4)),NOT(ISBLANK($B4)),ROW()&gt;2,COLUMN()&gt;1)</formula>
    </cfRule>
  </conditionalFormatting>
  <conditionalFormatting sqref="A4">
    <cfRule type="expression" dxfId="1815" priority="117">
      <formula>SUM(--ISBLANK($B4:$J4))=COLUMNS($B4:$J4)</formula>
    </cfRule>
  </conditionalFormatting>
  <conditionalFormatting sqref="A4">
    <cfRule type="containsText" dxfId="1814" priority="119" operator="containsText" text="NP">
      <formula>NOT(ISERROR(SEARCH("NP",A4)))</formula>
    </cfRule>
  </conditionalFormatting>
  <conditionalFormatting sqref="A4">
    <cfRule type="expression" dxfId="1813" priority="116">
      <formula>ISBLANK(A4)</formula>
    </cfRule>
  </conditionalFormatting>
  <conditionalFormatting sqref="A4">
    <cfRule type="expression" dxfId="1812" priority="114">
      <formula>AND(NOT(ISNUMBER(A4)), A4&lt;&gt;"NP", A4&lt;&gt;"Reconocimiento Créditos", A4&lt;&gt;"Aprobado en otro curso")</formula>
    </cfRule>
  </conditionalFormatting>
  <conditionalFormatting sqref="A4">
    <cfRule type="containsText" dxfId="1811" priority="113" operator="containsText" text="Reconocimiento Créditos">
      <formula>NOT(ISERROR(SEARCH("Reconocimiento Créditos",A4)))</formula>
    </cfRule>
  </conditionalFormatting>
  <conditionalFormatting sqref="A4">
    <cfRule type="containsText" dxfId="1810" priority="115" operator="containsText" text="Aprobado en otro curso">
      <formula>NOT(ISERROR(SEARCH("Aprobado en otro curso",A4)))</formula>
    </cfRule>
  </conditionalFormatting>
  <conditionalFormatting sqref="B4">
    <cfRule type="containsText" dxfId="1809" priority="111" operator="containsText" text="NP">
      <formula>NOT(ISERROR(SEARCH("NP",B4)))</formula>
    </cfRule>
    <cfRule type="cellIs" dxfId="1808" priority="112" operator="lessThan">
      <formula>5</formula>
    </cfRule>
  </conditionalFormatting>
  <conditionalFormatting sqref="B4">
    <cfRule type="expression" dxfId="1807" priority="109">
      <formula>AND(OR(ROW()=CELL("row"),COLUMN()=CELL("col")),NOT(ISBLANK($C4)),NOT(ISBLANK($B4)),ROW()&gt;2,COLUMN()&gt;1)</formula>
    </cfRule>
  </conditionalFormatting>
  <conditionalFormatting sqref="B4">
    <cfRule type="expression" dxfId="1806" priority="108">
      <formula>SUM(--ISBLANK($B4:$J4))=COLUMNS($B4:$J4)</formula>
    </cfRule>
  </conditionalFormatting>
  <conditionalFormatting sqref="B4">
    <cfRule type="containsText" dxfId="1805" priority="110" operator="containsText" text="NP">
      <formula>NOT(ISERROR(SEARCH("NP",B4)))</formula>
    </cfRule>
  </conditionalFormatting>
  <conditionalFormatting sqref="B4">
    <cfRule type="expression" dxfId="1804" priority="107">
      <formula>ISBLANK(B4)</formula>
    </cfRule>
  </conditionalFormatting>
  <conditionalFormatting sqref="B4">
    <cfRule type="expression" dxfId="1803" priority="105">
      <formula>AND(ISNUMBER(B4), OR(B4&gt;10, B4&lt;0))</formula>
    </cfRule>
  </conditionalFormatting>
  <conditionalFormatting sqref="B4">
    <cfRule type="expression" dxfId="1802" priority="104">
      <formula>AND(NOT(ISNUMBER(B4)), B4&lt;&gt;"NP", B4&lt;&gt;"Reconocimiento Créditos", B4&lt;&gt;"Aprobado en otro curso")</formula>
    </cfRule>
  </conditionalFormatting>
  <conditionalFormatting sqref="B4">
    <cfRule type="containsText" dxfId="1801" priority="103" operator="containsText" text="Reconocimiento Créditos">
      <formula>NOT(ISERROR(SEARCH("Reconocimiento Créditos",B4)))</formula>
    </cfRule>
  </conditionalFormatting>
  <conditionalFormatting sqref="B4">
    <cfRule type="containsText" dxfId="1800" priority="106" operator="containsText" text="Aprobado en otro curso">
      <formula>NOT(ISERROR(SEARCH("Aprobado en otro curso",B4)))</formula>
    </cfRule>
  </conditionalFormatting>
  <conditionalFormatting sqref="C4">
    <cfRule type="containsText" dxfId="1799" priority="101" operator="containsText" text="NP">
      <formula>NOT(ISERROR(SEARCH("NP",C4)))</formula>
    </cfRule>
    <cfRule type="cellIs" dxfId="1798" priority="102" operator="lessThan">
      <formula>5</formula>
    </cfRule>
  </conditionalFormatting>
  <conditionalFormatting sqref="C4">
    <cfRule type="expression" dxfId="1797" priority="99">
      <formula>AND(OR(ROW()=CELL("row"),COLUMN()=CELL("col")),NOT(ISBLANK($C4)),NOT(ISBLANK($B4)),ROW()&gt;2,COLUMN()&gt;1)</formula>
    </cfRule>
  </conditionalFormatting>
  <conditionalFormatting sqref="C4">
    <cfRule type="expression" dxfId="1796" priority="98">
      <formula>SUM(--ISBLANK($B4:$J4))=COLUMNS($B4:$J4)</formula>
    </cfRule>
  </conditionalFormatting>
  <conditionalFormatting sqref="C4">
    <cfRule type="containsText" dxfId="1795" priority="100" operator="containsText" text="NP">
      <formula>NOT(ISERROR(SEARCH("NP",C4)))</formula>
    </cfRule>
  </conditionalFormatting>
  <conditionalFormatting sqref="C4">
    <cfRule type="expression" dxfId="1794" priority="97">
      <formula>ISBLANK(C4)</formula>
    </cfRule>
  </conditionalFormatting>
  <conditionalFormatting sqref="C4">
    <cfRule type="containsText" dxfId="1793" priority="96" operator="containsText" text="Reconocimiento Créditos">
      <formula>NOT(ISERROR(SEARCH("Reconocimiento Créditos",C4)))</formula>
    </cfRule>
  </conditionalFormatting>
  <conditionalFormatting sqref="C4">
    <cfRule type="expression" dxfId="1792" priority="94">
      <formula>AND(ISNUMBER(C4), OR(C4&gt;10, C4&lt;0))</formula>
    </cfRule>
  </conditionalFormatting>
  <conditionalFormatting sqref="C4">
    <cfRule type="expression" dxfId="1791" priority="93">
      <formula>AND(NOT(ISNUMBER(C4)), C4&lt;&gt;"NP", C4&lt;&gt;"Reconocimiento Créditos", C4&lt;&gt;"Aprobado en otro curso")</formula>
    </cfRule>
  </conditionalFormatting>
  <conditionalFormatting sqref="C4">
    <cfRule type="containsText" dxfId="1790" priority="92" operator="containsText" text="Reconocimiento Créditos">
      <formula>NOT(ISERROR(SEARCH("Reconocimiento Créditos",C4)))</formula>
    </cfRule>
  </conditionalFormatting>
  <conditionalFormatting sqref="C4">
    <cfRule type="containsText" dxfId="1789" priority="95" operator="containsText" text="Aprobado en otro curso">
      <formula>NOT(ISERROR(SEARCH("Aprobado en otro curso",C4)))</formula>
    </cfRule>
  </conditionalFormatting>
  <conditionalFormatting sqref="D4">
    <cfRule type="expression" dxfId="1788" priority="91">
      <formula>SUM(--ISBLANK($B4:$J4))=COLUMNS($B4:$J4)</formula>
    </cfRule>
  </conditionalFormatting>
  <conditionalFormatting sqref="D4">
    <cfRule type="containsText" dxfId="1787" priority="89" operator="containsText" text="NP">
      <formula>NOT(ISERROR(SEARCH("NP",D4)))</formula>
    </cfRule>
    <cfRule type="cellIs" dxfId="1786" priority="90" operator="lessThan">
      <formula>5</formula>
    </cfRule>
  </conditionalFormatting>
  <conditionalFormatting sqref="D4">
    <cfRule type="expression" dxfId="1785" priority="87">
      <formula>AND(OR(ROW()=CELL("row"),COLUMN()=CELL("col")),NOT(ISBLANK($C4)),NOT(ISBLANK($B4)),ROW()&gt;2,COLUMN()&gt;1)</formula>
    </cfRule>
  </conditionalFormatting>
  <conditionalFormatting sqref="D4">
    <cfRule type="containsText" dxfId="1784" priority="88" operator="containsText" text="NP">
      <formula>NOT(ISERROR(SEARCH("NP",D4)))</formula>
    </cfRule>
  </conditionalFormatting>
  <conditionalFormatting sqref="D4">
    <cfRule type="expression" dxfId="1783" priority="86">
      <formula>ISBLANK(D4)</formula>
    </cfRule>
  </conditionalFormatting>
  <conditionalFormatting sqref="D4">
    <cfRule type="containsText" dxfId="1782" priority="85" operator="containsText" text="Reconocimiento Créditos">
      <formula>NOT(ISERROR(SEARCH("Reconocimiento Créditos",D4)))</formula>
    </cfRule>
  </conditionalFormatting>
  <conditionalFormatting sqref="D4">
    <cfRule type="expression" dxfId="1781" priority="83">
      <formula>AND(ISNUMBER(D4), OR(D4&gt;10, D4&lt;0))</formula>
    </cfRule>
  </conditionalFormatting>
  <conditionalFormatting sqref="D4">
    <cfRule type="expression" dxfId="1780" priority="82">
      <formula>AND(NOT(ISNUMBER(D4)), D4&lt;&gt;"NP", D4&lt;&gt;"Reconocimiento Créditos", D4&lt;&gt;"Aprobado en otro curso")</formula>
    </cfRule>
  </conditionalFormatting>
  <conditionalFormatting sqref="D4">
    <cfRule type="containsText" dxfId="1779" priority="81" operator="containsText" text="Reconocimiento Créditos">
      <formula>NOT(ISERROR(SEARCH("Reconocimiento Créditos",D4)))</formula>
    </cfRule>
  </conditionalFormatting>
  <conditionalFormatting sqref="D4">
    <cfRule type="containsText" dxfId="1778" priority="84" operator="containsText" text="Aprobado en otro curso">
      <formula>NOT(ISERROR(SEARCH("Aprobado en otro curso",D4)))</formula>
    </cfRule>
  </conditionalFormatting>
  <conditionalFormatting sqref="E4">
    <cfRule type="containsText" dxfId="1777" priority="76" operator="containsText" text="NP">
      <formula>NOT(ISERROR(SEARCH("NP",E4)))</formula>
    </cfRule>
    <cfRule type="cellIs" dxfId="1776" priority="77" operator="lessThan">
      <formula>5</formula>
    </cfRule>
  </conditionalFormatting>
  <conditionalFormatting sqref="E4">
    <cfRule type="containsText" dxfId="1775" priority="75" operator="containsText" text="NP">
      <formula>NOT(ISERROR(SEARCH("NP",E4)))</formula>
    </cfRule>
  </conditionalFormatting>
  <conditionalFormatting sqref="E4">
    <cfRule type="expression" dxfId="1774" priority="74">
      <formula>ISBLANK(E4)</formula>
    </cfRule>
  </conditionalFormatting>
  <conditionalFormatting sqref="E4">
    <cfRule type="expression" dxfId="1773" priority="73">
      <formula>AND(OR(ROW()=CELL("row"),COLUMN()=CELL("col")),NOT(ISBLANK($C4)),NOT(ISBLANK($B4)),ROW()&gt;2,COLUMN()&gt;1)</formula>
    </cfRule>
  </conditionalFormatting>
  <conditionalFormatting sqref="E4">
    <cfRule type="containsText" dxfId="1772" priority="71" operator="containsText" text="Aprobado en otro curso">
      <formula>NOT(ISERROR(SEARCH("Aprobado en otro curso",E4)))</formula>
    </cfRule>
    <cfRule type="containsText" dxfId="1771" priority="72" operator="containsText" text="Reconocimiento Créditos">
      <formula>NOT(ISERROR(SEARCH("Reconocimiento Créditos",E4)))</formula>
    </cfRule>
  </conditionalFormatting>
  <conditionalFormatting sqref="E4">
    <cfRule type="expression" dxfId="1770" priority="78">
      <formula>SUM(--ISBLANK($B4:$J4))=COLUMNS($B4:$J4)</formula>
    </cfRule>
  </conditionalFormatting>
  <conditionalFormatting sqref="E4">
    <cfRule type="expression" dxfId="1769" priority="70">
      <formula>AND(ISNUMBER(E4), OR(E4&gt;10, E4&lt;0))</formula>
    </cfRule>
  </conditionalFormatting>
  <conditionalFormatting sqref="E4">
    <cfRule type="expression" dxfId="1768" priority="69">
      <formula>AND(NOT(ISNUMBER(E4)), E4&lt;&gt;"NP", E4&lt;&gt;"Reconocimiento Créditos", E4&lt;&gt;"Aprobado en otro curso")</formula>
    </cfRule>
  </conditionalFormatting>
  <conditionalFormatting sqref="E4">
    <cfRule type="containsText" dxfId="1767" priority="79" operator="containsText" text="Reconocimiento Créditos">
      <formula>NOT(ISERROR(SEARCH("Reconocimiento Créditos",E4)))</formula>
    </cfRule>
  </conditionalFormatting>
  <conditionalFormatting sqref="E4">
    <cfRule type="containsText" dxfId="1766" priority="80" operator="containsText" text="Aprobado en otro curso">
      <formula>NOT(ISERROR(SEARCH("Aprobado en otro curso",E4)))</formula>
    </cfRule>
  </conditionalFormatting>
  <conditionalFormatting sqref="F4">
    <cfRule type="expression" dxfId="1765" priority="65">
      <formula>F4=""</formula>
    </cfRule>
    <cfRule type="containsText" dxfId="1764" priority="66" operator="containsText" text="NP">
      <formula>NOT(ISERROR(SEARCH("NP",F4)))</formula>
    </cfRule>
    <cfRule type="cellIs" dxfId="1763" priority="67" operator="lessThan">
      <formula>4.95</formula>
    </cfRule>
  </conditionalFormatting>
  <conditionalFormatting sqref="F4">
    <cfRule type="expression" dxfId="1762" priority="63">
      <formula>AND(OR(ROW()=CELL("row"),COLUMN()=CELL("col")),NOT(ISBLANK($C4)),NOT(ISBLANK($B4)),ROW()&gt;2,COLUMN()&gt;1)</formula>
    </cfRule>
  </conditionalFormatting>
  <conditionalFormatting sqref="F4">
    <cfRule type="expression" dxfId="1761" priority="62">
      <formula>SUM(--ISBLANK($B4:$J4))=COLUMNS($B4:$J4)</formula>
    </cfRule>
  </conditionalFormatting>
  <conditionalFormatting sqref="F4">
    <cfRule type="containsText" dxfId="1760" priority="64" operator="containsText" text="NP">
      <formula>NOT(ISERROR(SEARCH("NP",F4)))</formula>
    </cfRule>
  </conditionalFormatting>
  <conditionalFormatting sqref="F4">
    <cfRule type="cellIs" dxfId="1759" priority="68" operator="greaterThanOrEqual">
      <formula>4.95</formula>
    </cfRule>
  </conditionalFormatting>
  <conditionalFormatting sqref="F4">
    <cfRule type="expression" dxfId="1758" priority="61">
      <formula>ISBLANK(F4)</formula>
    </cfRule>
  </conditionalFormatting>
  <conditionalFormatting sqref="F4">
    <cfRule type="containsText" dxfId="1757" priority="60" operator="containsText" text="Reconocimiento Créditos">
      <formula>NOT(ISERROR(SEARCH("Reconocimiento Créditos",F4)))</formula>
    </cfRule>
  </conditionalFormatting>
  <conditionalFormatting sqref="F4">
    <cfRule type="expression" dxfId="1756" priority="58">
      <formula>AND(ISNUMBER(F4), OR(F4&gt;10, F4&lt;0))</formula>
    </cfRule>
  </conditionalFormatting>
  <conditionalFormatting sqref="F4">
    <cfRule type="expression" dxfId="1755" priority="57">
      <formula>AND(NOT(ISNUMBER(F4)), F4&lt;&gt;"NP", F4&lt;&gt;"Reconocimiento Créditos", F4&lt;&gt;"Aprobado en otro curso")</formula>
    </cfRule>
  </conditionalFormatting>
  <conditionalFormatting sqref="F4">
    <cfRule type="containsText" dxfId="1754" priority="56" operator="containsText" text="Reconocimiento Créditos">
      <formula>NOT(ISERROR(SEARCH("Reconocimiento Créditos",F4)))</formula>
    </cfRule>
  </conditionalFormatting>
  <conditionalFormatting sqref="F4">
    <cfRule type="containsText" dxfId="1753" priority="59" operator="containsText" text="Aprobado en otro curso">
      <formula>NOT(ISERROR(SEARCH("Aprobado en otro curso",F4)))</formula>
    </cfRule>
  </conditionalFormatting>
  <conditionalFormatting sqref="H4:I5">
    <cfRule type="containsText" dxfId="1752" priority="55" operator="containsText" text="NP">
      <formula>NOT(ISERROR(SEARCH("NP",H4)))</formula>
    </cfRule>
  </conditionalFormatting>
  <conditionalFormatting sqref="A10">
    <cfRule type="containsText" dxfId="1751" priority="54" operator="containsText" text="NP">
      <formula>NOT(ISERROR(SEARCH("NP",A10)))</formula>
    </cfRule>
  </conditionalFormatting>
  <conditionalFormatting sqref="A10">
    <cfRule type="containsText" dxfId="1750" priority="53" operator="containsText" text="Reconocimiento Créditos">
      <formula>NOT(ISERROR(SEARCH("Reconocimiento Créditos",A10)))</formula>
    </cfRule>
  </conditionalFormatting>
  <conditionalFormatting sqref="A10">
    <cfRule type="containsText" dxfId="1749" priority="52" operator="containsText" text="Aprobado en otro curso">
      <formula>NOT(ISERROR(SEARCH("Aprobado en otro curso",A10)))</formula>
    </cfRule>
  </conditionalFormatting>
  <conditionalFormatting sqref="B10">
    <cfRule type="containsText" dxfId="1748" priority="51" operator="containsText" text="NP">
      <formula>NOT(ISERROR(SEARCH("NP",B10)))</formula>
    </cfRule>
  </conditionalFormatting>
  <conditionalFormatting sqref="B10">
    <cfRule type="containsText" dxfId="1747" priority="50" operator="containsText" text="Reconocimiento Créditos">
      <formula>NOT(ISERROR(SEARCH("Reconocimiento Créditos",B10)))</formula>
    </cfRule>
  </conditionalFormatting>
  <conditionalFormatting sqref="B10">
    <cfRule type="containsText" dxfId="1746" priority="49" operator="containsText" text="Aprobado en otro curso">
      <formula>NOT(ISERROR(SEARCH("Aprobado en otro curso",B10)))</formula>
    </cfRule>
  </conditionalFormatting>
  <conditionalFormatting sqref="C10">
    <cfRule type="containsText" dxfId="1745" priority="48" operator="containsText" text="NP">
      <formula>NOT(ISERROR(SEARCH("NP",C10)))</formula>
    </cfRule>
  </conditionalFormatting>
  <conditionalFormatting sqref="C10">
    <cfRule type="containsText" dxfId="1744" priority="47" operator="containsText" text="Reconocimiento Créditos">
      <formula>NOT(ISERROR(SEARCH("Reconocimiento Créditos",C10)))</formula>
    </cfRule>
  </conditionalFormatting>
  <conditionalFormatting sqref="C10">
    <cfRule type="containsText" dxfId="1743" priority="46" operator="containsText" text="Aprobado en otro curso">
      <formula>NOT(ISERROR(SEARCH("Aprobado en otro curso",C10)))</formula>
    </cfRule>
  </conditionalFormatting>
  <conditionalFormatting sqref="D10">
    <cfRule type="containsText" dxfId="1742" priority="45" operator="containsText" text="NP">
      <formula>NOT(ISERROR(SEARCH("NP",D10)))</formula>
    </cfRule>
  </conditionalFormatting>
  <conditionalFormatting sqref="D10">
    <cfRule type="containsText" dxfId="1741" priority="44" operator="containsText" text="Reconocimiento Créditos">
      <formula>NOT(ISERROR(SEARCH("Reconocimiento Créditos",D10)))</formula>
    </cfRule>
  </conditionalFormatting>
  <conditionalFormatting sqref="D10">
    <cfRule type="containsText" dxfId="1740" priority="43" operator="containsText" text="Aprobado en otro curso">
      <formula>NOT(ISERROR(SEARCH("Aprobado en otro curso",D10)))</formula>
    </cfRule>
  </conditionalFormatting>
  <conditionalFormatting sqref="E10">
    <cfRule type="containsText" dxfId="1739" priority="42" operator="containsText" text="NP">
      <formula>NOT(ISERROR(SEARCH("NP",E10)))</formula>
    </cfRule>
  </conditionalFormatting>
  <conditionalFormatting sqref="E10">
    <cfRule type="containsText" dxfId="1738" priority="41" operator="containsText" text="Reconocimiento Créditos">
      <formula>NOT(ISERROR(SEARCH("Reconocimiento Créditos",E10)))</formula>
    </cfRule>
  </conditionalFormatting>
  <conditionalFormatting sqref="E10">
    <cfRule type="containsText" dxfId="1737" priority="40" operator="containsText" text="Aprobado en otro curso">
      <formula>NOT(ISERROR(SEARCH("Aprobado en otro curso",E10)))</formula>
    </cfRule>
  </conditionalFormatting>
  <conditionalFormatting sqref="F10">
    <cfRule type="containsText" dxfId="1736" priority="39" operator="containsText" text="NP">
      <formula>NOT(ISERROR(SEARCH("NP",F10)))</formula>
    </cfRule>
  </conditionalFormatting>
  <conditionalFormatting sqref="F10">
    <cfRule type="containsText" dxfId="1735" priority="38" operator="containsText" text="Reconocimiento Créditos">
      <formula>NOT(ISERROR(SEARCH("Reconocimiento Créditos",F10)))</formula>
    </cfRule>
  </conditionalFormatting>
  <conditionalFormatting sqref="F10">
    <cfRule type="containsText" dxfId="1734" priority="37" operator="containsText" text="Aprobado en otro curso">
      <formula>NOT(ISERROR(SEARCH("Aprobado en otro curso",F10)))</formula>
    </cfRule>
  </conditionalFormatting>
  <conditionalFormatting sqref="G10">
    <cfRule type="containsText" dxfId="1733" priority="36" operator="containsText" text="NP">
      <formula>NOT(ISERROR(SEARCH("NP",G10)))</formula>
    </cfRule>
  </conditionalFormatting>
  <conditionalFormatting sqref="G10">
    <cfRule type="containsText" dxfId="1732" priority="35" operator="containsText" text="Reconocimiento Créditos">
      <formula>NOT(ISERROR(SEARCH("Reconocimiento Créditos",G10)))</formula>
    </cfRule>
  </conditionalFormatting>
  <conditionalFormatting sqref="G10">
    <cfRule type="containsText" dxfId="1731" priority="34" operator="containsText" text="Aprobado en otro curso">
      <formula>NOT(ISERROR(SEARCH("Aprobado en otro curso",G10)))</formula>
    </cfRule>
  </conditionalFormatting>
  <conditionalFormatting sqref="H10">
    <cfRule type="containsText" dxfId="1730" priority="33" operator="containsText" text="NP">
      <formula>NOT(ISERROR(SEARCH("NP",H10)))</formula>
    </cfRule>
  </conditionalFormatting>
  <conditionalFormatting sqref="H10">
    <cfRule type="containsText" dxfId="1729" priority="32" operator="containsText" text="Reconocimiento Créditos">
      <formula>NOT(ISERROR(SEARCH("Reconocimiento Créditos",H10)))</formula>
    </cfRule>
  </conditionalFormatting>
  <conditionalFormatting sqref="H10">
    <cfRule type="containsText" dxfId="1728" priority="31" operator="containsText" text="Aprobado en otro curso">
      <formula>NOT(ISERROR(SEARCH("Aprobado en otro curso",H10)))</formula>
    </cfRule>
  </conditionalFormatting>
  <conditionalFormatting sqref="I10">
    <cfRule type="containsText" dxfId="1727" priority="30" operator="containsText" text="NP">
      <formula>NOT(ISERROR(SEARCH("NP",I10)))</formula>
    </cfRule>
  </conditionalFormatting>
  <conditionalFormatting sqref="I10">
    <cfRule type="containsText" dxfId="1726" priority="29" operator="containsText" text="Reconocimiento Créditos">
      <formula>NOT(ISERROR(SEARCH("Reconocimiento Créditos",I10)))</formula>
    </cfRule>
  </conditionalFormatting>
  <conditionalFormatting sqref="I10">
    <cfRule type="containsText" dxfId="1725" priority="28" operator="containsText" text="Aprobado en otro curso">
      <formula>NOT(ISERROR(SEARCH("Aprobado en otro curso",I10)))</formula>
    </cfRule>
  </conditionalFormatting>
  <conditionalFormatting sqref="A14">
    <cfRule type="containsText" dxfId="1724" priority="27" operator="containsText" text="NP">
      <formula>NOT(ISERROR(SEARCH("NP",A14)))</formula>
    </cfRule>
  </conditionalFormatting>
  <conditionalFormatting sqref="A14">
    <cfRule type="containsText" dxfId="1723" priority="26" operator="containsText" text="Reconocimiento Créditos">
      <formula>NOT(ISERROR(SEARCH("Reconocimiento Créditos",A14)))</formula>
    </cfRule>
  </conditionalFormatting>
  <conditionalFormatting sqref="A14">
    <cfRule type="containsText" dxfId="1722" priority="25" operator="containsText" text="Aprobado en otro curso">
      <formula>NOT(ISERROR(SEARCH("Aprobado en otro curso",A14)))</formula>
    </cfRule>
  </conditionalFormatting>
  <conditionalFormatting sqref="B14">
    <cfRule type="containsText" dxfId="1721" priority="24" operator="containsText" text="NP">
      <formula>NOT(ISERROR(SEARCH("NP",B14)))</formula>
    </cfRule>
  </conditionalFormatting>
  <conditionalFormatting sqref="B14">
    <cfRule type="containsText" dxfId="1720" priority="23" operator="containsText" text="Reconocimiento Créditos">
      <formula>NOT(ISERROR(SEARCH("Reconocimiento Créditos",B14)))</formula>
    </cfRule>
  </conditionalFormatting>
  <conditionalFormatting sqref="B14">
    <cfRule type="containsText" dxfId="1719" priority="22" operator="containsText" text="Aprobado en otro curso">
      <formula>NOT(ISERROR(SEARCH("Aprobado en otro curso",B14)))</formula>
    </cfRule>
  </conditionalFormatting>
  <conditionalFormatting sqref="C14">
    <cfRule type="containsText" dxfId="1718" priority="21" operator="containsText" text="NP">
      <formula>NOT(ISERROR(SEARCH("NP",C14)))</formula>
    </cfRule>
  </conditionalFormatting>
  <conditionalFormatting sqref="C14">
    <cfRule type="containsText" dxfId="1717" priority="20" operator="containsText" text="Reconocimiento Créditos">
      <formula>NOT(ISERROR(SEARCH("Reconocimiento Créditos",C14)))</formula>
    </cfRule>
  </conditionalFormatting>
  <conditionalFormatting sqref="C14">
    <cfRule type="containsText" dxfId="1716" priority="19" operator="containsText" text="Aprobado en otro curso">
      <formula>NOT(ISERROR(SEARCH("Aprobado en otro curso",C14)))</formula>
    </cfRule>
  </conditionalFormatting>
  <conditionalFormatting sqref="D14">
    <cfRule type="containsText" dxfId="1715" priority="18" operator="containsText" text="NP">
      <formula>NOT(ISERROR(SEARCH("NP",D14)))</formula>
    </cfRule>
  </conditionalFormatting>
  <conditionalFormatting sqref="D14">
    <cfRule type="containsText" dxfId="1714" priority="17" operator="containsText" text="Reconocimiento Créditos">
      <formula>NOT(ISERROR(SEARCH("Reconocimiento Créditos",D14)))</formula>
    </cfRule>
  </conditionalFormatting>
  <conditionalFormatting sqref="D14">
    <cfRule type="containsText" dxfId="1713" priority="16" operator="containsText" text="Aprobado en otro curso">
      <formula>NOT(ISERROR(SEARCH("Aprobado en otro curso",D14)))</formula>
    </cfRule>
  </conditionalFormatting>
  <conditionalFormatting sqref="E14">
    <cfRule type="containsText" dxfId="1712" priority="15" operator="containsText" text="NP">
      <formula>NOT(ISERROR(SEARCH("NP",E14)))</formula>
    </cfRule>
  </conditionalFormatting>
  <conditionalFormatting sqref="E14">
    <cfRule type="containsText" dxfId="1711" priority="14" operator="containsText" text="Reconocimiento Créditos">
      <formula>NOT(ISERROR(SEARCH("Reconocimiento Créditos",E14)))</formula>
    </cfRule>
  </conditionalFormatting>
  <conditionalFormatting sqref="E14">
    <cfRule type="containsText" dxfId="1710" priority="13" operator="containsText" text="Aprobado en otro curso">
      <formula>NOT(ISERROR(SEARCH("Aprobado en otro curso",E14)))</formula>
    </cfRule>
  </conditionalFormatting>
  <conditionalFormatting sqref="F14">
    <cfRule type="containsText" dxfId="1709" priority="12" operator="containsText" text="NP">
      <formula>NOT(ISERROR(SEARCH("NP",F14)))</formula>
    </cfRule>
  </conditionalFormatting>
  <conditionalFormatting sqref="F14">
    <cfRule type="containsText" dxfId="1708" priority="11" operator="containsText" text="Reconocimiento Créditos">
      <formula>NOT(ISERROR(SEARCH("Reconocimiento Créditos",F14)))</formula>
    </cfRule>
  </conditionalFormatting>
  <conditionalFormatting sqref="F14">
    <cfRule type="containsText" dxfId="1707" priority="10" operator="containsText" text="Aprobado en otro curso">
      <formula>NOT(ISERROR(SEARCH("Aprobado en otro curso",F14)))</formula>
    </cfRule>
  </conditionalFormatting>
  <conditionalFormatting sqref="G14">
    <cfRule type="containsText" dxfId="1706" priority="9" operator="containsText" text="NP">
      <formula>NOT(ISERROR(SEARCH("NP",G14)))</formula>
    </cfRule>
  </conditionalFormatting>
  <conditionalFormatting sqref="G14">
    <cfRule type="containsText" dxfId="1705" priority="8" operator="containsText" text="Reconocimiento Créditos">
      <formula>NOT(ISERROR(SEARCH("Reconocimiento Créditos",G14)))</formula>
    </cfRule>
  </conditionalFormatting>
  <conditionalFormatting sqref="G14">
    <cfRule type="containsText" dxfId="1704" priority="7" operator="containsText" text="Aprobado en otro curso">
      <formula>NOT(ISERROR(SEARCH("Aprobado en otro curso",G14)))</formula>
    </cfRule>
  </conditionalFormatting>
  <conditionalFormatting sqref="H14">
    <cfRule type="containsText" dxfId="1703" priority="6" operator="containsText" text="NP">
      <formula>NOT(ISERROR(SEARCH("NP",H14)))</formula>
    </cfRule>
  </conditionalFormatting>
  <conditionalFormatting sqref="H14">
    <cfRule type="containsText" dxfId="1702" priority="5" operator="containsText" text="Reconocimiento Créditos">
      <formula>NOT(ISERROR(SEARCH("Reconocimiento Créditos",H14)))</formula>
    </cfRule>
  </conditionalFormatting>
  <conditionalFormatting sqref="H14">
    <cfRule type="containsText" dxfId="1701" priority="4" operator="containsText" text="Aprobado en otro curso">
      <formula>NOT(ISERROR(SEARCH("Aprobado en otro curso",H14)))</formula>
    </cfRule>
  </conditionalFormatting>
  <conditionalFormatting sqref="I14">
    <cfRule type="containsText" dxfId="1700" priority="3" operator="containsText" text="NP">
      <formula>NOT(ISERROR(SEARCH("NP",I14)))</formula>
    </cfRule>
  </conditionalFormatting>
  <conditionalFormatting sqref="I14">
    <cfRule type="containsText" dxfId="1699" priority="2" operator="containsText" text="Reconocimiento Créditos">
      <formula>NOT(ISERROR(SEARCH("Reconocimiento Créditos",I14)))</formula>
    </cfRule>
  </conditionalFormatting>
  <conditionalFormatting sqref="I14">
    <cfRule type="containsText" dxfId="1698" priority="1" operator="containsText" text="Aprobado en otro curso">
      <formula>NOT(ISERROR(SEARCH("Aprobado en otro curso",I14)))</formula>
    </cfRule>
  </conditionalFormatting>
  <pageMargins left="0.7" right="0.7" top="0.75" bottom="0.75" header="0.3" footer="0.3"/>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2865" r:id="rId4" name="Button 1">
              <controlPr defaultSize="0" print="0" autoFill="0" autoPict="0" macro="[0]!EliminarHojaActual">
                <anchor moveWithCells="1" sizeWithCells="1">
                  <from>
                    <xdr:col>8</xdr:col>
                    <xdr:colOff>0</xdr:colOff>
                    <xdr:row>0</xdr:row>
                    <xdr:rowOff>0</xdr:rowOff>
                  </from>
                  <to>
                    <xdr:col>9</xdr:col>
                    <xdr:colOff>0</xdr:colOff>
                    <xdr:row>2</xdr:row>
                    <xdr:rowOff>0</xdr:rowOff>
                  </to>
                </anchor>
              </controlPr>
            </control>
          </mc:Choice>
        </mc:AlternateContent>
        <mc:AlternateContent xmlns:mc="http://schemas.openxmlformats.org/markup-compatibility/2006">
          <mc:Choice Requires="x14">
            <control shapeId="292866" r:id="rId5" name="btnExportarPDF">
              <controlPr defaultSize="0" print="0" autoFill="0" autoPict="0" macro="[0]!ExportarInformePDFAlumno">
                <anchor moveWithCells="1" sizeWithCells="1">
                  <from>
                    <xdr:col>9</xdr:col>
                    <xdr:colOff>0</xdr:colOff>
                    <xdr:row>0</xdr:row>
                    <xdr:rowOff>0</xdr:rowOff>
                  </from>
                  <to>
                    <xdr:col>13</xdr:col>
                    <xdr:colOff>0</xdr:colOff>
                    <xdr:row>2</xdr:row>
                    <xdr:rowOff>0</xdr:rowOff>
                  </to>
                </anchor>
              </controlPr>
            </control>
          </mc:Choice>
        </mc:AlternateContent>
        <mc:AlternateContent xmlns:mc="http://schemas.openxmlformats.org/markup-compatibility/2006">
          <mc:Choice Requires="x14">
            <control shapeId="292867" r:id="rId6" name="BtnAyudaEst">
              <controlPr defaultSize="0" print="0" autoFill="0" autoPict="0" macro="[0]!AlternarGuiaEstadistica">
                <anchor moveWithCells="1" sizeWithCells="1">
                  <from>
                    <xdr:col>0</xdr:col>
                    <xdr:colOff>0</xdr:colOff>
                    <xdr:row>5</xdr:row>
                    <xdr:rowOff>0</xdr:rowOff>
                  </from>
                  <to>
                    <xdr:col>2</xdr:col>
                    <xdr:colOff>0</xdr:colOff>
                    <xdr:row>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2D785-7241-45EB-A899-4BE8DF588E75}">
  <sheetPr codeName="Hoja7"/>
  <dimension ref="A1:AG200"/>
  <sheetViews>
    <sheetView topLeftCell="C5" zoomScale="32" zoomScaleNormal="30" workbookViewId="0">
      <selection activeCell="AX23" sqref="AX23"/>
    </sheetView>
  </sheetViews>
  <sheetFormatPr baseColWidth="10" defaultRowHeight="14.5"/>
  <cols>
    <col min="1" max="1" width="47.54296875" hidden="1" customWidth="1"/>
    <col min="2" max="2" width="32.36328125" hidden="1" customWidth="1"/>
    <col min="4" max="4" width="38.81640625" bestFit="1" customWidth="1"/>
    <col min="5" max="5" width="6.81640625" bestFit="1" customWidth="1"/>
  </cols>
  <sheetData>
    <row r="1" spans="1:33" ht="28" customHeight="1" thickBot="1">
      <c r="A1" s="131" t="s">
        <v>107</v>
      </c>
      <c r="B1" s="132"/>
      <c r="C1" s="132"/>
      <c r="D1" s="132"/>
      <c r="E1" s="133"/>
      <c r="Z1" s="96">
        <v>7</v>
      </c>
    </row>
    <row r="3" spans="1:33" ht="18.5" thickBot="1">
      <c r="B3" s="6" t="s">
        <v>55</v>
      </c>
    </row>
    <row r="4" spans="1:33" ht="18.5" thickTop="1">
      <c r="B4" s="13" t="s">
        <v>12</v>
      </c>
      <c r="D4" s="169" t="s">
        <v>32</v>
      </c>
      <c r="E4" s="170">
        <v>5.7315789473684209</v>
      </c>
      <c r="G4" s="134"/>
      <c r="H4" s="135"/>
      <c r="I4" s="135"/>
      <c r="J4" s="135"/>
      <c r="K4" s="135"/>
      <c r="L4" s="135"/>
      <c r="M4" s="135"/>
      <c r="N4" s="135"/>
      <c r="O4" s="135"/>
      <c r="P4" s="135"/>
      <c r="Q4" s="135"/>
      <c r="R4" s="135"/>
      <c r="S4" s="135"/>
      <c r="T4" s="135"/>
      <c r="U4" s="135"/>
      <c r="V4" s="135"/>
      <c r="W4" s="135"/>
      <c r="X4" s="135"/>
      <c r="Y4" s="136"/>
      <c r="AA4" s="134"/>
      <c r="AB4" s="135"/>
      <c r="AC4" s="135"/>
      <c r="AD4" s="135"/>
      <c r="AE4" s="135"/>
      <c r="AF4" s="135"/>
      <c r="AG4" s="136"/>
    </row>
    <row r="5" spans="1:33" ht="18">
      <c r="B5" s="3">
        <v>15</v>
      </c>
      <c r="D5" s="104" t="s">
        <v>33</v>
      </c>
      <c r="E5" s="105">
        <v>6.25</v>
      </c>
      <c r="G5" s="137"/>
      <c r="H5" s="168"/>
      <c r="I5" s="168"/>
      <c r="J5" s="168"/>
      <c r="K5" s="168"/>
      <c r="L5" s="168"/>
      <c r="M5" s="168"/>
      <c r="N5" s="168"/>
      <c r="O5" s="168"/>
      <c r="P5" s="168"/>
      <c r="Q5" s="168"/>
      <c r="R5" s="168"/>
      <c r="S5" s="168"/>
      <c r="T5" s="168"/>
      <c r="U5" s="168"/>
      <c r="V5" s="168"/>
      <c r="W5" s="168"/>
      <c r="X5" s="168"/>
      <c r="Y5" s="138"/>
      <c r="AA5" s="137"/>
      <c r="AB5" s="168"/>
      <c r="AC5" s="168"/>
      <c r="AD5" s="168"/>
      <c r="AE5" s="168"/>
      <c r="AF5" s="168"/>
      <c r="AG5" s="138"/>
    </row>
    <row r="6" spans="1:33" ht="18">
      <c r="A6" s="51" t="s">
        <v>15</v>
      </c>
      <c r="B6" s="45"/>
      <c r="D6" s="104" t="s">
        <v>34</v>
      </c>
      <c r="E6" s="105">
        <v>2.7195302674076385</v>
      </c>
      <c r="G6" s="137"/>
      <c r="H6" s="168"/>
      <c r="I6" s="168"/>
      <c r="J6" s="168"/>
      <c r="K6" s="168"/>
      <c r="L6" s="168"/>
      <c r="M6" s="168"/>
      <c r="N6" s="168"/>
      <c r="O6" s="168"/>
      <c r="P6" s="168"/>
      <c r="Q6" s="168"/>
      <c r="R6" s="168"/>
      <c r="S6" s="168"/>
      <c r="T6" s="168"/>
      <c r="U6" s="168"/>
      <c r="V6" s="168"/>
      <c r="W6" s="168"/>
      <c r="X6" s="168"/>
      <c r="Y6" s="138"/>
      <c r="AA6" s="137"/>
      <c r="AB6" s="168"/>
      <c r="AC6" s="168"/>
      <c r="AD6" s="168"/>
      <c r="AE6" s="168"/>
      <c r="AF6" s="168"/>
      <c r="AG6" s="138"/>
    </row>
    <row r="7" spans="1:33" ht="18">
      <c r="A7" s="4" t="s">
        <v>30</v>
      </c>
      <c r="B7" s="97">
        <v>9</v>
      </c>
      <c r="D7" s="104" t="s">
        <v>35</v>
      </c>
      <c r="E7" s="105">
        <v>0.47448186483696175</v>
      </c>
      <c r="G7" s="137"/>
      <c r="H7" s="168"/>
      <c r="I7" s="168"/>
      <c r="J7" s="168"/>
      <c r="K7" s="168"/>
      <c r="L7" s="168"/>
      <c r="M7" s="168"/>
      <c r="N7" s="168"/>
      <c r="O7" s="168"/>
      <c r="P7" s="168"/>
      <c r="Q7" s="168"/>
      <c r="R7" s="168"/>
      <c r="S7" s="168"/>
      <c r="T7" s="168"/>
      <c r="U7" s="168"/>
      <c r="V7" s="168"/>
      <c r="W7" s="168"/>
      <c r="X7" s="168"/>
      <c r="Y7" s="138"/>
      <c r="AA7" s="137"/>
      <c r="AB7" s="168"/>
      <c r="AC7" s="168"/>
      <c r="AD7" s="168"/>
      <c r="AE7" s="168"/>
      <c r="AF7" s="168"/>
      <c r="AG7" s="138"/>
    </row>
    <row r="8" spans="1:33" ht="18">
      <c r="A8" s="4" t="s">
        <v>30</v>
      </c>
      <c r="B8" s="97">
        <v>2.2000000000000002</v>
      </c>
      <c r="D8" s="104" t="s">
        <v>36</v>
      </c>
      <c r="E8" s="105">
        <v>10</v>
      </c>
      <c r="G8" s="137"/>
      <c r="H8" s="168"/>
      <c r="I8" s="168"/>
      <c r="J8" s="168"/>
      <c r="K8" s="168"/>
      <c r="L8" s="168"/>
      <c r="M8" s="168"/>
      <c r="N8" s="168"/>
      <c r="O8" s="168"/>
      <c r="P8" s="168"/>
      <c r="Q8" s="168"/>
      <c r="R8" s="168"/>
      <c r="S8" s="168"/>
      <c r="T8" s="168"/>
      <c r="U8" s="168"/>
      <c r="V8" s="168"/>
      <c r="W8" s="168"/>
      <c r="X8" s="168"/>
      <c r="Y8" s="138"/>
      <c r="AA8" s="137"/>
      <c r="AB8" s="168"/>
      <c r="AC8" s="168"/>
      <c r="AD8" s="168"/>
      <c r="AE8" s="168"/>
      <c r="AF8" s="168"/>
      <c r="AG8" s="138"/>
    </row>
    <row r="9" spans="1:33" ht="18">
      <c r="A9" s="4" t="s">
        <v>30</v>
      </c>
      <c r="B9" s="97">
        <v>4</v>
      </c>
      <c r="D9" s="104" t="s">
        <v>37</v>
      </c>
      <c r="E9" s="105">
        <v>4.4000000000000004</v>
      </c>
      <c r="G9" s="137"/>
      <c r="H9" s="168"/>
      <c r="I9" s="168"/>
      <c r="J9" s="168"/>
      <c r="K9" s="168"/>
      <c r="L9" s="168"/>
      <c r="M9" s="168"/>
      <c r="N9" s="168"/>
      <c r="O9" s="168"/>
      <c r="P9" s="168"/>
      <c r="Q9" s="168"/>
      <c r="R9" s="168"/>
      <c r="S9" s="168"/>
      <c r="T9" s="168"/>
      <c r="U9" s="168"/>
      <c r="V9" s="168"/>
      <c r="W9" s="168"/>
      <c r="X9" s="168"/>
      <c r="Y9" s="138"/>
      <c r="AA9" s="137"/>
      <c r="AB9" s="168"/>
      <c r="AC9" s="168"/>
      <c r="AD9" s="168"/>
      <c r="AE9" s="168"/>
      <c r="AF9" s="168"/>
      <c r="AG9" s="138"/>
    </row>
    <row r="10" spans="1:33" ht="18">
      <c r="A10" s="4" t="s">
        <v>30</v>
      </c>
      <c r="B10" s="97">
        <v>3</v>
      </c>
      <c r="D10" s="104" t="s">
        <v>38</v>
      </c>
      <c r="E10" s="105">
        <v>-0.46886243994893295</v>
      </c>
      <c r="G10" s="137"/>
      <c r="H10" s="168"/>
      <c r="I10" s="168"/>
      <c r="J10" s="168"/>
      <c r="K10" s="168"/>
      <c r="L10" s="168"/>
      <c r="M10" s="168"/>
      <c r="N10" s="168"/>
      <c r="O10" s="168"/>
      <c r="P10" s="168"/>
      <c r="Q10" s="168"/>
      <c r="R10" s="168"/>
      <c r="S10" s="168"/>
      <c r="T10" s="168"/>
      <c r="U10" s="168"/>
      <c r="V10" s="168"/>
      <c r="W10" s="168"/>
      <c r="X10" s="168"/>
      <c r="Y10" s="138"/>
      <c r="AA10" s="137"/>
      <c r="AB10" s="168"/>
      <c r="AC10" s="168"/>
      <c r="AD10" s="168"/>
      <c r="AE10" s="168"/>
      <c r="AF10" s="168"/>
      <c r="AG10" s="138"/>
    </row>
    <row r="11" spans="1:33" ht="18">
      <c r="A11" s="4" t="s">
        <v>30</v>
      </c>
      <c r="B11" s="97">
        <v>2.5</v>
      </c>
      <c r="D11" s="104" t="s">
        <v>39</v>
      </c>
      <c r="E11" s="105">
        <v>-0.79287600926904656</v>
      </c>
      <c r="G11" s="137"/>
      <c r="H11" s="168"/>
      <c r="I11" s="168"/>
      <c r="J11" s="168"/>
      <c r="K11" s="168"/>
      <c r="L11" s="168"/>
      <c r="M11" s="168"/>
      <c r="N11" s="168"/>
      <c r="O11" s="168"/>
      <c r="P11" s="168"/>
      <c r="Q11" s="168"/>
      <c r="R11" s="168"/>
      <c r="S11" s="168"/>
      <c r="T11" s="168"/>
      <c r="U11" s="168"/>
      <c r="V11" s="168"/>
      <c r="W11" s="168"/>
      <c r="X11" s="168"/>
      <c r="Y11" s="138"/>
      <c r="AA11" s="137"/>
      <c r="AB11" s="168"/>
      <c r="AC11" s="168"/>
      <c r="AD11" s="168"/>
      <c r="AE11" s="168"/>
      <c r="AF11" s="168"/>
      <c r="AG11" s="138"/>
    </row>
    <row r="12" spans="1:33" ht="18">
      <c r="A12" s="4" t="s">
        <v>30</v>
      </c>
      <c r="B12" s="97">
        <v>1</v>
      </c>
      <c r="D12" s="104" t="s">
        <v>46</v>
      </c>
      <c r="E12" s="105">
        <v>3.5</v>
      </c>
      <c r="G12" s="137"/>
      <c r="H12" s="168"/>
      <c r="I12" s="168"/>
      <c r="J12" s="168"/>
      <c r="K12" s="168"/>
      <c r="L12" s="168"/>
      <c r="M12" s="168"/>
      <c r="N12" s="168"/>
      <c r="O12" s="168"/>
      <c r="P12" s="168"/>
      <c r="Q12" s="168"/>
      <c r="R12" s="168"/>
      <c r="S12" s="168"/>
      <c r="T12" s="168"/>
      <c r="U12" s="168"/>
      <c r="V12" s="168"/>
      <c r="W12" s="168"/>
      <c r="X12" s="168"/>
      <c r="Y12" s="138"/>
      <c r="AA12" s="137"/>
      <c r="AB12" s="168"/>
      <c r="AC12" s="168"/>
      <c r="AD12" s="168"/>
      <c r="AE12" s="168"/>
      <c r="AF12" s="168"/>
      <c r="AG12" s="138"/>
    </row>
    <row r="13" spans="1:33" ht="18">
      <c r="A13" s="4" t="s">
        <v>30</v>
      </c>
      <c r="B13" s="97">
        <v>1</v>
      </c>
      <c r="D13" s="104" t="s">
        <v>47</v>
      </c>
      <c r="E13" s="105">
        <v>7.9</v>
      </c>
      <c r="G13" s="137"/>
      <c r="H13" s="168"/>
      <c r="I13" s="168"/>
      <c r="J13" s="168"/>
      <c r="K13" s="168"/>
      <c r="L13" s="168"/>
      <c r="M13" s="168"/>
      <c r="N13" s="168"/>
      <c r="O13" s="168"/>
      <c r="P13" s="168"/>
      <c r="Q13" s="168"/>
      <c r="R13" s="168"/>
      <c r="S13" s="168"/>
      <c r="T13" s="168"/>
      <c r="U13" s="168"/>
      <c r="V13" s="168"/>
      <c r="W13" s="168"/>
      <c r="X13" s="168"/>
      <c r="Y13" s="138"/>
      <c r="AA13" s="137"/>
      <c r="AB13" s="168"/>
      <c r="AC13" s="168"/>
      <c r="AD13" s="168"/>
      <c r="AE13" s="168"/>
      <c r="AF13" s="168"/>
      <c r="AG13" s="138"/>
    </row>
    <row r="14" spans="1:33" ht="18">
      <c r="A14" s="4" t="s">
        <v>30</v>
      </c>
      <c r="B14" s="97">
        <v>10</v>
      </c>
      <c r="D14" s="104" t="s">
        <v>40</v>
      </c>
      <c r="E14" s="105">
        <v>9</v>
      </c>
      <c r="G14" s="137"/>
      <c r="H14" s="168"/>
      <c r="I14" s="168"/>
      <c r="J14" s="168"/>
      <c r="K14" s="168"/>
      <c r="L14" s="168"/>
      <c r="M14" s="168"/>
      <c r="N14" s="168"/>
      <c r="O14" s="168"/>
      <c r="P14" s="168"/>
      <c r="Q14" s="168"/>
      <c r="R14" s="168"/>
      <c r="S14" s="168"/>
      <c r="T14" s="168"/>
      <c r="U14" s="168"/>
      <c r="V14" s="168"/>
      <c r="W14" s="168"/>
      <c r="X14" s="168"/>
      <c r="Y14" s="138"/>
      <c r="AA14" s="137"/>
      <c r="AB14" s="168"/>
      <c r="AC14" s="168"/>
      <c r="AD14" s="168"/>
      <c r="AE14" s="168"/>
      <c r="AF14" s="168"/>
      <c r="AG14" s="138"/>
    </row>
    <row r="15" spans="1:33" ht="18">
      <c r="A15" s="4" t="s">
        <v>30</v>
      </c>
      <c r="B15" s="97">
        <v>3.5</v>
      </c>
      <c r="D15" s="104" t="s">
        <v>42</v>
      </c>
      <c r="E15" s="106">
        <v>8</v>
      </c>
      <c r="G15" s="137"/>
      <c r="H15" s="168"/>
      <c r="I15" s="168"/>
      <c r="J15" s="168"/>
      <c r="K15" s="168"/>
      <c r="L15" s="168"/>
      <c r="M15" s="168"/>
      <c r="N15" s="168"/>
      <c r="O15" s="168"/>
      <c r="P15" s="168"/>
      <c r="Q15" s="168"/>
      <c r="R15" s="168"/>
      <c r="S15" s="168"/>
      <c r="T15" s="168"/>
      <c r="U15" s="168"/>
      <c r="V15" s="168"/>
      <c r="W15" s="168"/>
      <c r="X15" s="168"/>
      <c r="Y15" s="138"/>
      <c r="AA15" s="137"/>
      <c r="AB15" s="168"/>
      <c r="AC15" s="168"/>
      <c r="AD15" s="168"/>
      <c r="AE15" s="168"/>
      <c r="AF15" s="168"/>
      <c r="AG15" s="138"/>
    </row>
    <row r="16" spans="1:33" ht="18">
      <c r="A16" s="4" t="s">
        <v>30</v>
      </c>
      <c r="B16" s="97">
        <v>5.55</v>
      </c>
      <c r="D16" s="104" t="s">
        <v>41</v>
      </c>
      <c r="E16" s="106">
        <v>65</v>
      </c>
      <c r="G16" s="137"/>
      <c r="H16" s="168"/>
      <c r="I16" s="168"/>
      <c r="J16" s="168"/>
      <c r="K16" s="168"/>
      <c r="L16" s="168"/>
      <c r="M16" s="168"/>
      <c r="N16" s="168"/>
      <c r="O16" s="168"/>
      <c r="P16" s="168"/>
      <c r="Q16" s="168"/>
      <c r="R16" s="168"/>
      <c r="S16" s="168"/>
      <c r="T16" s="168"/>
      <c r="U16" s="168"/>
      <c r="V16" s="168"/>
      <c r="W16" s="168"/>
      <c r="X16" s="168"/>
      <c r="Y16" s="138"/>
      <c r="AA16" s="137"/>
      <c r="AB16" s="168"/>
      <c r="AC16" s="168"/>
      <c r="AD16" s="168"/>
      <c r="AE16" s="168"/>
      <c r="AF16" s="168"/>
      <c r="AG16" s="138"/>
    </row>
    <row r="17" spans="1:33" ht="18">
      <c r="A17" s="51" t="s">
        <v>17</v>
      </c>
      <c r="B17" s="46"/>
      <c r="D17" s="104" t="s">
        <v>43</v>
      </c>
      <c r="E17" s="107">
        <v>0.69148936170212771</v>
      </c>
      <c r="G17" s="137"/>
      <c r="H17" s="168"/>
      <c r="I17" s="168"/>
      <c r="J17" s="168"/>
      <c r="K17" s="168"/>
      <c r="L17" s="168"/>
      <c r="M17" s="168"/>
      <c r="N17" s="168"/>
      <c r="O17" s="168"/>
      <c r="P17" s="168"/>
      <c r="Q17" s="168"/>
      <c r="R17" s="168"/>
      <c r="S17" s="168"/>
      <c r="T17" s="168"/>
      <c r="U17" s="168"/>
      <c r="V17" s="168"/>
      <c r="W17" s="168"/>
      <c r="X17" s="168"/>
      <c r="Y17" s="138"/>
      <c r="AA17" s="137"/>
      <c r="AB17" s="168"/>
      <c r="AC17" s="168"/>
      <c r="AD17" s="168"/>
      <c r="AE17" s="168"/>
      <c r="AF17" s="168"/>
      <c r="AG17" s="138"/>
    </row>
    <row r="18" spans="1:33" ht="18">
      <c r="A18" s="4" t="s">
        <v>30</v>
      </c>
      <c r="B18" s="97">
        <v>4</v>
      </c>
      <c r="D18" s="104" t="s">
        <v>80</v>
      </c>
      <c r="E18" s="105">
        <v>2.2849999999999997</v>
      </c>
      <c r="G18" s="137"/>
      <c r="H18" s="168"/>
      <c r="I18" s="168"/>
      <c r="J18" s="168"/>
      <c r="K18" s="168"/>
      <c r="L18" s="168"/>
      <c r="M18" s="168"/>
      <c r="N18" s="168"/>
      <c r="O18" s="168"/>
      <c r="P18" s="168"/>
      <c r="Q18" s="168"/>
      <c r="R18" s="168"/>
      <c r="S18" s="168"/>
      <c r="T18" s="168"/>
      <c r="U18" s="168"/>
      <c r="V18" s="168"/>
      <c r="W18" s="168"/>
      <c r="X18" s="168"/>
      <c r="Y18" s="138"/>
      <c r="AA18" s="137"/>
      <c r="AB18" s="168"/>
      <c r="AC18" s="168"/>
      <c r="AD18" s="168"/>
      <c r="AE18" s="168"/>
      <c r="AF18" s="168"/>
      <c r="AG18" s="138"/>
    </row>
    <row r="19" spans="1:33" ht="18">
      <c r="A19" s="4" t="s">
        <v>30</v>
      </c>
      <c r="B19" s="97">
        <v>5.5</v>
      </c>
      <c r="D19" s="104" t="s">
        <v>44</v>
      </c>
      <c r="E19" s="105">
        <v>0.55693561204777053</v>
      </c>
      <c r="G19" s="137"/>
      <c r="H19" s="168"/>
      <c r="I19" s="168"/>
      <c r="J19" s="168"/>
      <c r="K19" s="168"/>
      <c r="L19" s="168"/>
      <c r="M19" s="168"/>
      <c r="N19" s="168"/>
      <c r="O19" s="168"/>
      <c r="P19" s="168"/>
      <c r="Q19" s="168"/>
      <c r="R19" s="168"/>
      <c r="S19" s="168"/>
      <c r="T19" s="168"/>
      <c r="U19" s="168"/>
      <c r="V19" s="168"/>
      <c r="W19" s="168"/>
      <c r="X19" s="168"/>
      <c r="Y19" s="138"/>
      <c r="AA19" s="137"/>
      <c r="AB19" s="168"/>
      <c r="AC19" s="168"/>
      <c r="AD19" s="168"/>
      <c r="AE19" s="168"/>
      <c r="AF19" s="168"/>
      <c r="AG19" s="138"/>
    </row>
    <row r="20" spans="1:33" ht="18">
      <c r="A20" s="4" t="s">
        <v>30</v>
      </c>
      <c r="B20" s="97">
        <v>6.7</v>
      </c>
      <c r="D20" s="104" t="s">
        <v>45</v>
      </c>
      <c r="E20" s="105">
        <v>5.7804597701149429</v>
      </c>
      <c r="G20" s="137"/>
      <c r="H20" s="168"/>
      <c r="I20" s="168"/>
      <c r="J20" s="168"/>
      <c r="K20" s="168"/>
      <c r="L20" s="168"/>
      <c r="M20" s="168"/>
      <c r="N20" s="168"/>
      <c r="O20" s="168"/>
      <c r="P20" s="168"/>
      <c r="Q20" s="168"/>
      <c r="R20" s="168"/>
      <c r="S20" s="168"/>
      <c r="T20" s="168"/>
      <c r="U20" s="168"/>
      <c r="V20" s="168"/>
      <c r="W20" s="168"/>
      <c r="X20" s="168"/>
      <c r="Y20" s="138"/>
      <c r="AA20" s="137"/>
      <c r="AB20" s="168"/>
      <c r="AC20" s="168"/>
      <c r="AD20" s="168"/>
      <c r="AE20" s="168"/>
      <c r="AF20" s="168"/>
      <c r="AG20" s="138"/>
    </row>
    <row r="21" spans="1:33" ht="18">
      <c r="A21" s="4" t="s">
        <v>30</v>
      </c>
      <c r="B21" s="97">
        <v>7.9</v>
      </c>
      <c r="D21" s="104" t="s">
        <v>48</v>
      </c>
      <c r="E21" s="105">
        <v>0.69140000000000013</v>
      </c>
      <c r="G21" s="137"/>
      <c r="H21" s="168"/>
      <c r="I21" s="168"/>
      <c r="J21" s="168"/>
      <c r="K21" s="168"/>
      <c r="L21" s="168"/>
      <c r="M21" s="168"/>
      <c r="N21" s="168"/>
      <c r="O21" s="168"/>
      <c r="P21" s="168"/>
      <c r="Q21" s="168"/>
      <c r="R21" s="168"/>
      <c r="S21" s="168"/>
      <c r="T21" s="168"/>
      <c r="U21" s="168"/>
      <c r="V21" s="168"/>
      <c r="W21" s="168"/>
      <c r="X21" s="168"/>
      <c r="Y21" s="138"/>
      <c r="AA21" s="137"/>
      <c r="AB21" s="168"/>
      <c r="AC21" s="168"/>
      <c r="AD21" s="168"/>
      <c r="AE21" s="168"/>
      <c r="AF21" s="168"/>
      <c r="AG21" s="138"/>
    </row>
    <row r="22" spans="1:33" ht="18.5" thickBot="1">
      <c r="A22" s="4" t="s">
        <v>30</v>
      </c>
      <c r="B22" s="70" t="s">
        <v>18</v>
      </c>
      <c r="D22" s="171" t="s">
        <v>49</v>
      </c>
      <c r="E22" s="172">
        <v>0.57315789473684209</v>
      </c>
      <c r="G22" s="137"/>
      <c r="H22" s="168"/>
      <c r="I22" s="168"/>
      <c r="J22" s="168"/>
      <c r="K22" s="168"/>
      <c r="L22" s="168"/>
      <c r="M22" s="168"/>
      <c r="N22" s="168"/>
      <c r="O22" s="168"/>
      <c r="P22" s="168"/>
      <c r="Q22" s="168"/>
      <c r="R22" s="168"/>
      <c r="S22" s="168"/>
      <c r="T22" s="168"/>
      <c r="U22" s="168"/>
      <c r="V22" s="168"/>
      <c r="W22" s="168"/>
      <c r="X22" s="168"/>
      <c r="Y22" s="138"/>
      <c r="AA22" s="137"/>
      <c r="AB22" s="168"/>
      <c r="AC22" s="168"/>
      <c r="AD22" s="168"/>
      <c r="AE22" s="168"/>
      <c r="AF22" s="168"/>
      <c r="AG22" s="138"/>
    </row>
    <row r="23" spans="1:33" ht="18.5" thickTop="1">
      <c r="A23" s="4" t="s">
        <v>30</v>
      </c>
      <c r="B23" s="97">
        <v>1</v>
      </c>
      <c r="G23" s="137"/>
      <c r="H23" s="168"/>
      <c r="I23" s="168"/>
      <c r="J23" s="168"/>
      <c r="K23" s="168"/>
      <c r="L23" s="168"/>
      <c r="M23" s="168"/>
      <c r="N23" s="168"/>
      <c r="O23" s="168"/>
      <c r="P23" s="168"/>
      <c r="Q23" s="168"/>
      <c r="R23" s="168"/>
      <c r="S23" s="168"/>
      <c r="T23" s="168"/>
      <c r="U23" s="168"/>
      <c r="V23" s="168"/>
      <c r="W23" s="168"/>
      <c r="X23" s="168"/>
      <c r="Y23" s="138"/>
      <c r="AA23" s="137"/>
      <c r="AB23" s="168"/>
      <c r="AC23" s="168"/>
      <c r="AD23" s="168"/>
      <c r="AE23" s="168"/>
      <c r="AF23" s="168"/>
      <c r="AG23" s="138"/>
    </row>
    <row r="24" spans="1:33" ht="18">
      <c r="A24" s="4" t="s">
        <v>30</v>
      </c>
      <c r="B24" s="97">
        <v>6.25</v>
      </c>
      <c r="G24" s="137"/>
      <c r="H24" s="168"/>
      <c r="I24" s="168"/>
      <c r="J24" s="168"/>
      <c r="K24" s="168"/>
      <c r="L24" s="168"/>
      <c r="M24" s="168"/>
      <c r="N24" s="168"/>
      <c r="O24" s="168"/>
      <c r="P24" s="168"/>
      <c r="Q24" s="168"/>
      <c r="R24" s="168"/>
      <c r="S24" s="168"/>
      <c r="T24" s="168"/>
      <c r="U24" s="168"/>
      <c r="V24" s="168"/>
      <c r="W24" s="168"/>
      <c r="X24" s="168"/>
      <c r="Y24" s="138"/>
      <c r="AA24" s="137"/>
      <c r="AB24" s="168"/>
      <c r="AC24" s="168"/>
      <c r="AD24" s="168"/>
      <c r="AE24" s="168"/>
      <c r="AF24" s="168"/>
      <c r="AG24" s="138"/>
    </row>
    <row r="25" spans="1:33" ht="18">
      <c r="A25" s="4" t="s">
        <v>30</v>
      </c>
      <c r="B25" s="97">
        <v>8.5</v>
      </c>
      <c r="G25" s="137"/>
      <c r="H25" s="168"/>
      <c r="I25" s="168"/>
      <c r="J25" s="168"/>
      <c r="K25" s="168"/>
      <c r="L25" s="168"/>
      <c r="M25" s="168"/>
      <c r="N25" s="168"/>
      <c r="O25" s="168"/>
      <c r="P25" s="168"/>
      <c r="Q25" s="168"/>
      <c r="R25" s="168"/>
      <c r="S25" s="168"/>
      <c r="T25" s="168"/>
      <c r="U25" s="168"/>
      <c r="V25" s="168"/>
      <c r="W25" s="168"/>
      <c r="X25" s="168"/>
      <c r="Y25" s="138"/>
      <c r="AA25" s="137"/>
      <c r="AB25" s="168"/>
      <c r="AC25" s="168"/>
      <c r="AD25" s="168"/>
      <c r="AE25" s="168"/>
      <c r="AF25" s="168"/>
      <c r="AG25" s="138"/>
    </row>
    <row r="26" spans="1:33" ht="18">
      <c r="A26" s="4" t="s">
        <v>30</v>
      </c>
      <c r="B26" s="97">
        <v>4</v>
      </c>
      <c r="G26" s="137"/>
      <c r="H26" s="168"/>
      <c r="I26" s="168"/>
      <c r="J26" s="168"/>
      <c r="K26" s="168"/>
      <c r="L26" s="168"/>
      <c r="M26" s="168"/>
      <c r="N26" s="168"/>
      <c r="O26" s="168"/>
      <c r="P26" s="168"/>
      <c r="Q26" s="168"/>
      <c r="R26" s="168"/>
      <c r="S26" s="168"/>
      <c r="T26" s="168"/>
      <c r="U26" s="168"/>
      <c r="V26" s="168"/>
      <c r="W26" s="168"/>
      <c r="X26" s="168"/>
      <c r="Y26" s="138"/>
      <c r="AA26" s="137"/>
      <c r="AB26" s="168"/>
      <c r="AC26" s="168"/>
      <c r="AD26" s="168"/>
      <c r="AE26" s="168"/>
      <c r="AF26" s="168"/>
      <c r="AG26" s="138"/>
    </row>
    <row r="27" spans="1:33" ht="18">
      <c r="A27" s="4" t="s">
        <v>30</v>
      </c>
      <c r="B27" s="97">
        <v>3.6</v>
      </c>
      <c r="G27" s="137"/>
      <c r="H27" s="168"/>
      <c r="I27" s="168"/>
      <c r="J27" s="168"/>
      <c r="K27" s="168"/>
      <c r="L27" s="168"/>
      <c r="M27" s="168"/>
      <c r="N27" s="168"/>
      <c r="O27" s="168"/>
      <c r="P27" s="168"/>
      <c r="Q27" s="168"/>
      <c r="R27" s="168"/>
      <c r="S27" s="168"/>
      <c r="T27" s="168"/>
      <c r="U27" s="168"/>
      <c r="V27" s="168"/>
      <c r="W27" s="168"/>
      <c r="X27" s="168"/>
      <c r="Y27" s="138"/>
      <c r="AA27" s="137"/>
      <c r="AB27" s="168"/>
      <c r="AC27" s="168"/>
      <c r="AD27" s="168"/>
      <c r="AE27" s="168"/>
      <c r="AF27" s="168"/>
      <c r="AG27" s="138"/>
    </row>
    <row r="28" spans="1:33" ht="18">
      <c r="A28" s="4" t="s">
        <v>30</v>
      </c>
      <c r="B28" s="97">
        <v>2</v>
      </c>
      <c r="G28" s="137"/>
      <c r="H28" s="168"/>
      <c r="I28" s="168"/>
      <c r="J28" s="168"/>
      <c r="K28" s="168"/>
      <c r="L28" s="168"/>
      <c r="M28" s="168"/>
      <c r="N28" s="168"/>
      <c r="O28" s="168"/>
      <c r="P28" s="168"/>
      <c r="Q28" s="168"/>
      <c r="R28" s="168"/>
      <c r="S28" s="168"/>
      <c r="T28" s="168"/>
      <c r="U28" s="168"/>
      <c r="V28" s="168"/>
      <c r="W28" s="168"/>
      <c r="X28" s="168"/>
      <c r="Y28" s="138"/>
      <c r="AA28" s="137"/>
      <c r="AB28" s="168"/>
      <c r="AC28" s="168"/>
      <c r="AD28" s="168"/>
      <c r="AE28" s="168"/>
      <c r="AF28" s="168"/>
      <c r="AG28" s="138"/>
    </row>
    <row r="29" spans="1:33" ht="18">
      <c r="A29" s="4" t="s">
        <v>30</v>
      </c>
      <c r="B29" s="97">
        <v>6.25</v>
      </c>
      <c r="G29" s="137"/>
      <c r="H29" s="168"/>
      <c r="I29" s="168"/>
      <c r="J29" s="168"/>
      <c r="K29" s="168"/>
      <c r="L29" s="168"/>
      <c r="M29" s="168"/>
      <c r="N29" s="168"/>
      <c r="O29" s="168"/>
      <c r="P29" s="168"/>
      <c r="Q29" s="168"/>
      <c r="R29" s="168"/>
      <c r="S29" s="168"/>
      <c r="T29" s="168"/>
      <c r="U29" s="168"/>
      <c r="V29" s="168"/>
      <c r="W29" s="168"/>
      <c r="X29" s="168"/>
      <c r="Y29" s="138"/>
      <c r="AA29" s="137"/>
      <c r="AB29" s="168"/>
      <c r="AC29" s="168"/>
      <c r="AD29" s="168"/>
      <c r="AE29" s="168"/>
      <c r="AF29" s="168"/>
      <c r="AG29" s="138"/>
    </row>
    <row r="30" spans="1:33" ht="18">
      <c r="A30" s="51" t="s">
        <v>19</v>
      </c>
      <c r="B30" s="48"/>
      <c r="G30" s="137"/>
      <c r="H30" s="168"/>
      <c r="I30" s="168"/>
      <c r="J30" s="168"/>
      <c r="K30" s="168"/>
      <c r="L30" s="168"/>
      <c r="M30" s="168"/>
      <c r="N30" s="168"/>
      <c r="O30" s="168"/>
      <c r="P30" s="168"/>
      <c r="Q30" s="168"/>
      <c r="R30" s="168"/>
      <c r="S30" s="168"/>
      <c r="T30" s="168"/>
      <c r="U30" s="168"/>
      <c r="V30" s="168"/>
      <c r="W30" s="168"/>
      <c r="X30" s="168"/>
      <c r="Y30" s="138"/>
      <c r="AA30" s="137"/>
      <c r="AB30" s="168"/>
      <c r="AC30" s="168"/>
      <c r="AD30" s="168"/>
      <c r="AE30" s="168"/>
      <c r="AF30" s="168"/>
      <c r="AG30" s="138"/>
    </row>
    <row r="31" spans="1:33" ht="18">
      <c r="A31" s="4" t="s">
        <v>30</v>
      </c>
      <c r="B31" s="97">
        <v>7</v>
      </c>
      <c r="G31" s="137"/>
      <c r="H31" s="168"/>
      <c r="I31" s="168"/>
      <c r="J31" s="168"/>
      <c r="K31" s="168"/>
      <c r="L31" s="168"/>
      <c r="M31" s="168"/>
      <c r="N31" s="168"/>
      <c r="O31" s="168"/>
      <c r="P31" s="168"/>
      <c r="Q31" s="168"/>
      <c r="R31" s="168"/>
      <c r="S31" s="168"/>
      <c r="T31" s="168"/>
      <c r="U31" s="168"/>
      <c r="V31" s="168"/>
      <c r="W31" s="168"/>
      <c r="X31" s="168"/>
      <c r="Y31" s="138"/>
      <c r="AA31" s="137"/>
      <c r="AB31" s="168"/>
      <c r="AC31" s="168"/>
      <c r="AD31" s="168"/>
      <c r="AE31" s="168"/>
      <c r="AF31" s="168"/>
      <c r="AG31" s="138"/>
    </row>
    <row r="32" spans="1:33" ht="18">
      <c r="A32" s="4" t="s">
        <v>30</v>
      </c>
      <c r="B32" s="97">
        <v>7.4</v>
      </c>
      <c r="G32" s="137"/>
      <c r="H32" s="168"/>
      <c r="I32" s="168"/>
      <c r="J32" s="168"/>
      <c r="K32" s="168"/>
      <c r="L32" s="168"/>
      <c r="M32" s="168"/>
      <c r="N32" s="168"/>
      <c r="O32" s="168"/>
      <c r="P32" s="168"/>
      <c r="Q32" s="168"/>
      <c r="R32" s="168"/>
      <c r="S32" s="168"/>
      <c r="T32" s="168"/>
      <c r="U32" s="168"/>
      <c r="V32" s="168"/>
      <c r="W32" s="168"/>
      <c r="X32" s="168"/>
      <c r="Y32" s="138"/>
      <c r="AA32" s="137"/>
      <c r="AB32" s="168"/>
      <c r="AC32" s="168"/>
      <c r="AD32" s="168"/>
      <c r="AE32" s="168"/>
      <c r="AF32" s="168"/>
      <c r="AG32" s="138"/>
    </row>
    <row r="33" spans="1:33" ht="18">
      <c r="A33" s="4" t="s">
        <v>30</v>
      </c>
      <c r="B33" s="97">
        <v>9.5</v>
      </c>
      <c r="G33" s="137"/>
      <c r="H33" s="168"/>
      <c r="I33" s="168"/>
      <c r="J33" s="168"/>
      <c r="K33" s="168"/>
      <c r="L33" s="168"/>
      <c r="M33" s="168"/>
      <c r="N33" s="168"/>
      <c r="O33" s="168"/>
      <c r="P33" s="168"/>
      <c r="Q33" s="168"/>
      <c r="R33" s="168"/>
      <c r="S33" s="168"/>
      <c r="T33" s="168"/>
      <c r="U33" s="168"/>
      <c r="V33" s="168"/>
      <c r="W33" s="168"/>
      <c r="X33" s="168"/>
      <c r="Y33" s="138"/>
      <c r="AA33" s="137"/>
      <c r="AB33" s="168"/>
      <c r="AC33" s="168"/>
      <c r="AD33" s="168"/>
      <c r="AE33" s="168"/>
      <c r="AF33" s="168"/>
      <c r="AG33" s="138"/>
    </row>
    <row r="34" spans="1:33" ht="18">
      <c r="A34" s="4" t="s">
        <v>30</v>
      </c>
      <c r="B34" s="97">
        <v>3.5</v>
      </c>
      <c r="G34" s="137"/>
      <c r="H34" s="168"/>
      <c r="I34" s="168"/>
      <c r="J34" s="168"/>
      <c r="K34" s="168"/>
      <c r="L34" s="168"/>
      <c r="M34" s="168"/>
      <c r="N34" s="168"/>
      <c r="O34" s="168"/>
      <c r="P34" s="168"/>
      <c r="Q34" s="168"/>
      <c r="R34" s="168"/>
      <c r="S34" s="168"/>
      <c r="T34" s="168"/>
      <c r="U34" s="168"/>
      <c r="V34" s="168"/>
      <c r="W34" s="168"/>
      <c r="X34" s="168"/>
      <c r="Y34" s="138"/>
      <c r="AA34" s="137"/>
      <c r="AB34" s="168"/>
      <c r="AC34" s="168"/>
      <c r="AD34" s="168"/>
      <c r="AE34" s="168"/>
      <c r="AF34" s="168"/>
      <c r="AG34" s="138"/>
    </row>
    <row r="35" spans="1:33" ht="18">
      <c r="A35" s="4" t="s">
        <v>30</v>
      </c>
      <c r="B35" s="97">
        <v>6.25</v>
      </c>
      <c r="G35" s="137"/>
      <c r="H35" s="168"/>
      <c r="I35" s="168"/>
      <c r="J35" s="168"/>
      <c r="K35" s="168"/>
      <c r="L35" s="168"/>
      <c r="M35" s="168"/>
      <c r="N35" s="168"/>
      <c r="O35" s="168"/>
      <c r="P35" s="168"/>
      <c r="Q35" s="168"/>
      <c r="R35" s="168"/>
      <c r="S35" s="168"/>
      <c r="T35" s="168"/>
      <c r="U35" s="168"/>
      <c r="V35" s="168"/>
      <c r="W35" s="168"/>
      <c r="X35" s="168"/>
      <c r="Y35" s="138"/>
      <c r="AA35" s="137"/>
      <c r="AB35" s="168"/>
      <c r="AC35" s="168"/>
      <c r="AD35" s="168"/>
      <c r="AE35" s="168"/>
      <c r="AF35" s="168"/>
      <c r="AG35" s="138"/>
    </row>
    <row r="36" spans="1:33" ht="18">
      <c r="A36" s="4" t="s">
        <v>30</v>
      </c>
      <c r="B36" s="97">
        <v>5.5</v>
      </c>
      <c r="G36" s="137"/>
      <c r="H36" s="168"/>
      <c r="I36" s="168"/>
      <c r="J36" s="168"/>
      <c r="K36" s="168"/>
      <c r="L36" s="168"/>
      <c r="M36" s="168"/>
      <c r="N36" s="168"/>
      <c r="O36" s="168"/>
      <c r="P36" s="168"/>
      <c r="Q36" s="168"/>
      <c r="R36" s="168"/>
      <c r="S36" s="168"/>
      <c r="T36" s="168"/>
      <c r="U36" s="168"/>
      <c r="V36" s="168"/>
      <c r="W36" s="168"/>
      <c r="X36" s="168"/>
      <c r="Y36" s="138"/>
      <c r="AA36" s="137"/>
      <c r="AB36" s="168"/>
      <c r="AC36" s="168"/>
      <c r="AD36" s="168"/>
      <c r="AE36" s="168"/>
      <c r="AF36" s="168"/>
      <c r="AG36" s="138"/>
    </row>
    <row r="37" spans="1:33" ht="18">
      <c r="A37" s="4" t="s">
        <v>30</v>
      </c>
      <c r="B37" s="97">
        <v>6</v>
      </c>
      <c r="G37" s="137"/>
      <c r="H37" s="168"/>
      <c r="I37" s="168"/>
      <c r="J37" s="168"/>
      <c r="K37" s="168"/>
      <c r="L37" s="168"/>
      <c r="M37" s="168"/>
      <c r="N37" s="168"/>
      <c r="O37" s="168"/>
      <c r="P37" s="168"/>
      <c r="Q37" s="168"/>
      <c r="R37" s="168"/>
      <c r="S37" s="168"/>
      <c r="T37" s="168"/>
      <c r="U37" s="168"/>
      <c r="V37" s="168"/>
      <c r="W37" s="168"/>
      <c r="X37" s="168"/>
      <c r="Y37" s="138"/>
      <c r="AA37" s="137"/>
      <c r="AB37" s="168"/>
      <c r="AC37" s="168"/>
      <c r="AD37" s="168"/>
      <c r="AE37" s="168"/>
      <c r="AF37" s="168"/>
      <c r="AG37" s="138"/>
    </row>
    <row r="38" spans="1:33" ht="18">
      <c r="A38" s="4" t="s">
        <v>30</v>
      </c>
      <c r="B38" s="97">
        <v>6.3</v>
      </c>
      <c r="G38" s="137"/>
      <c r="H38" s="168"/>
      <c r="I38" s="168"/>
      <c r="J38" s="168"/>
      <c r="K38" s="168"/>
      <c r="L38" s="168"/>
      <c r="M38" s="168"/>
      <c r="N38" s="168"/>
      <c r="O38" s="168"/>
      <c r="P38" s="168"/>
      <c r="Q38" s="168"/>
      <c r="R38" s="168"/>
      <c r="S38" s="168"/>
      <c r="T38" s="168"/>
      <c r="U38" s="168"/>
      <c r="V38" s="168"/>
      <c r="W38" s="168"/>
      <c r="X38" s="168"/>
      <c r="Y38" s="138"/>
      <c r="AA38" s="137"/>
      <c r="AB38" s="168"/>
      <c r="AC38" s="168"/>
      <c r="AD38" s="168"/>
      <c r="AE38" s="168"/>
      <c r="AF38" s="168"/>
      <c r="AG38" s="138"/>
    </row>
    <row r="39" spans="1:33" ht="18">
      <c r="A39" s="4" t="s">
        <v>30</v>
      </c>
      <c r="B39" s="97">
        <v>7.5</v>
      </c>
      <c r="G39" s="137"/>
      <c r="H39" s="168"/>
      <c r="I39" s="168"/>
      <c r="J39" s="168"/>
      <c r="K39" s="168"/>
      <c r="L39" s="168"/>
      <c r="M39" s="168"/>
      <c r="N39" s="168"/>
      <c r="O39" s="168"/>
      <c r="P39" s="168"/>
      <c r="Q39" s="168"/>
      <c r="R39" s="168"/>
      <c r="S39" s="168"/>
      <c r="T39" s="168"/>
      <c r="U39" s="168"/>
      <c r="V39" s="168"/>
      <c r="W39" s="168"/>
      <c r="X39" s="168"/>
      <c r="Y39" s="138"/>
      <c r="AA39" s="137"/>
      <c r="AB39" s="168"/>
      <c r="AC39" s="168"/>
      <c r="AD39" s="168"/>
      <c r="AE39" s="168"/>
      <c r="AF39" s="168"/>
      <c r="AG39" s="138"/>
    </row>
    <row r="40" spans="1:33" ht="18.5" thickBot="1">
      <c r="A40" s="4" t="s">
        <v>30</v>
      </c>
      <c r="B40" s="97">
        <v>7.25</v>
      </c>
      <c r="G40" s="139"/>
      <c r="H40" s="140"/>
      <c r="I40" s="140"/>
      <c r="J40" s="140"/>
      <c r="K40" s="140"/>
      <c r="L40" s="140"/>
      <c r="M40" s="140"/>
      <c r="N40" s="140"/>
      <c r="O40" s="140"/>
      <c r="P40" s="140"/>
      <c r="Q40" s="140"/>
      <c r="R40" s="140"/>
      <c r="S40" s="140"/>
      <c r="T40" s="140"/>
      <c r="U40" s="140"/>
      <c r="V40" s="140"/>
      <c r="W40" s="140"/>
      <c r="X40" s="140"/>
      <c r="Y40" s="141"/>
      <c r="AA40" s="139"/>
      <c r="AB40" s="140"/>
      <c r="AC40" s="140"/>
      <c r="AD40" s="140"/>
      <c r="AE40" s="140"/>
      <c r="AF40" s="140"/>
      <c r="AG40" s="141"/>
    </row>
    <row r="41" spans="1:33" ht="18.5" thickTop="1">
      <c r="A41" s="4" t="s">
        <v>30</v>
      </c>
      <c r="B41" s="97">
        <v>8.5</v>
      </c>
    </row>
    <row r="42" spans="1:33" ht="18">
      <c r="A42" s="4" t="s">
        <v>30</v>
      </c>
      <c r="B42" s="97">
        <v>7</v>
      </c>
    </row>
    <row r="43" spans="1:33" ht="18">
      <c r="A43" s="4" t="s">
        <v>30</v>
      </c>
      <c r="B43" s="97">
        <v>0</v>
      </c>
    </row>
    <row r="44" spans="1:33" ht="18">
      <c r="A44" s="51" t="s">
        <v>20</v>
      </c>
      <c r="B44" s="46"/>
    </row>
    <row r="45" spans="1:33" ht="18">
      <c r="A45" s="4" t="s">
        <v>30</v>
      </c>
      <c r="B45" s="97">
        <v>8</v>
      </c>
    </row>
    <row r="46" spans="1:33" ht="18">
      <c r="A46" s="4" t="s">
        <v>30</v>
      </c>
      <c r="B46" s="97">
        <v>3.5</v>
      </c>
    </row>
    <row r="47" spans="1:33" ht="18">
      <c r="A47" s="4" t="s">
        <v>30</v>
      </c>
      <c r="B47" s="97">
        <v>0.75</v>
      </c>
    </row>
    <row r="48" spans="1:33" ht="18">
      <c r="A48" s="4" t="s">
        <v>30</v>
      </c>
      <c r="B48" s="97">
        <v>1</v>
      </c>
    </row>
    <row r="49" spans="1:2" ht="18">
      <c r="A49" s="4" t="s">
        <v>30</v>
      </c>
      <c r="B49" s="97">
        <v>9.5</v>
      </c>
    </row>
    <row r="50" spans="1:2" ht="18">
      <c r="A50" s="4" t="s">
        <v>30</v>
      </c>
      <c r="B50" s="97">
        <v>6.5</v>
      </c>
    </row>
    <row r="51" spans="1:2" ht="18">
      <c r="A51" s="4" t="s">
        <v>30</v>
      </c>
      <c r="B51" s="97">
        <v>9</v>
      </c>
    </row>
    <row r="52" spans="1:2" ht="18">
      <c r="A52" s="4" t="s">
        <v>30</v>
      </c>
      <c r="B52" s="97">
        <v>7</v>
      </c>
    </row>
    <row r="53" spans="1:2" ht="18">
      <c r="A53" s="4" t="s">
        <v>30</v>
      </c>
      <c r="B53" s="97">
        <v>9.0500000000000007</v>
      </c>
    </row>
    <row r="54" spans="1:2" ht="18">
      <c r="A54" s="4" t="s">
        <v>30</v>
      </c>
      <c r="B54" s="97">
        <v>8.1999999999999993</v>
      </c>
    </row>
    <row r="55" spans="1:2" ht="18">
      <c r="A55" s="4" t="s">
        <v>30</v>
      </c>
      <c r="B55" s="97">
        <v>7</v>
      </c>
    </row>
    <row r="56" spans="1:2" ht="18">
      <c r="A56" s="4" t="s">
        <v>30</v>
      </c>
      <c r="B56" s="97">
        <v>3.5</v>
      </c>
    </row>
    <row r="57" spans="1:2" ht="18">
      <c r="A57" s="4" t="s">
        <v>30</v>
      </c>
      <c r="B57" s="97">
        <v>8.25</v>
      </c>
    </row>
    <row r="58" spans="1:2" ht="18">
      <c r="A58" s="51" t="s">
        <v>21</v>
      </c>
      <c r="B58" s="48"/>
    </row>
    <row r="59" spans="1:2" ht="18">
      <c r="A59" s="4" t="s">
        <v>30</v>
      </c>
      <c r="B59" s="97">
        <v>5.75</v>
      </c>
    </row>
    <row r="60" spans="1:2" ht="18">
      <c r="A60" s="4" t="s">
        <v>30</v>
      </c>
      <c r="B60" s="97">
        <v>5.15</v>
      </c>
    </row>
    <row r="61" spans="1:2" ht="18">
      <c r="A61" s="4" t="s">
        <v>30</v>
      </c>
      <c r="B61" s="97">
        <v>7.9</v>
      </c>
    </row>
    <row r="62" spans="1:2" ht="18">
      <c r="A62" s="4" t="s">
        <v>30</v>
      </c>
      <c r="B62" s="97">
        <v>8.25</v>
      </c>
    </row>
    <row r="63" spans="1:2" ht="18">
      <c r="A63" s="4" t="s">
        <v>30</v>
      </c>
      <c r="B63" s="97">
        <v>8</v>
      </c>
    </row>
    <row r="64" spans="1:2" ht="18">
      <c r="A64" s="4" t="s">
        <v>30</v>
      </c>
      <c r="B64" s="97">
        <v>9.6999999999999993</v>
      </c>
    </row>
    <row r="65" spans="1:2" ht="18">
      <c r="A65" s="4" t="s">
        <v>30</v>
      </c>
      <c r="B65" s="99" t="s">
        <v>16</v>
      </c>
    </row>
    <row r="66" spans="1:2" ht="18">
      <c r="A66" s="4" t="s">
        <v>30</v>
      </c>
      <c r="B66" s="97">
        <v>6.95</v>
      </c>
    </row>
    <row r="67" spans="1:2" ht="18">
      <c r="A67" s="4" t="s">
        <v>30</v>
      </c>
      <c r="B67" s="97">
        <v>2.5</v>
      </c>
    </row>
    <row r="68" spans="1:2" ht="18">
      <c r="A68" s="4" t="s">
        <v>30</v>
      </c>
      <c r="B68" s="97">
        <v>9.9</v>
      </c>
    </row>
    <row r="69" spans="1:2" ht="18">
      <c r="A69" s="4" t="s">
        <v>30</v>
      </c>
      <c r="B69" s="97">
        <v>1.5</v>
      </c>
    </row>
    <row r="70" spans="1:2" ht="18">
      <c r="A70" s="4" t="s">
        <v>30</v>
      </c>
      <c r="B70" s="97">
        <v>5.6</v>
      </c>
    </row>
    <row r="71" spans="1:2" ht="18">
      <c r="A71" s="4" t="s">
        <v>30</v>
      </c>
      <c r="B71" s="70" t="s">
        <v>18</v>
      </c>
    </row>
    <row r="72" spans="1:2" ht="18">
      <c r="A72" s="51" t="s">
        <v>22</v>
      </c>
      <c r="B72" s="46"/>
    </row>
    <row r="73" spans="1:2" ht="18">
      <c r="A73" s="4" t="s">
        <v>30</v>
      </c>
      <c r="B73" s="97">
        <v>2</v>
      </c>
    </row>
    <row r="74" spans="1:2" ht="18">
      <c r="A74" s="4" t="s">
        <v>30</v>
      </c>
      <c r="B74" s="97">
        <v>7.6</v>
      </c>
    </row>
    <row r="75" spans="1:2" ht="18">
      <c r="A75" s="4" t="s">
        <v>30</v>
      </c>
      <c r="B75" s="97">
        <v>0.9</v>
      </c>
    </row>
    <row r="76" spans="1:2" ht="18">
      <c r="A76" s="4" t="s">
        <v>30</v>
      </c>
      <c r="B76" s="97">
        <v>4.5</v>
      </c>
    </row>
    <row r="77" spans="1:2" ht="18">
      <c r="A77" s="4" t="s">
        <v>30</v>
      </c>
      <c r="B77" s="97">
        <v>7.25</v>
      </c>
    </row>
    <row r="78" spans="1:2" ht="18">
      <c r="A78" s="4" t="s">
        <v>30</v>
      </c>
      <c r="B78" s="97">
        <v>5</v>
      </c>
    </row>
    <row r="79" spans="1:2" ht="18">
      <c r="A79" s="4" t="s">
        <v>30</v>
      </c>
      <c r="B79" s="97">
        <v>6.7</v>
      </c>
    </row>
    <row r="80" spans="1:2" ht="18">
      <c r="A80" s="4" t="s">
        <v>30</v>
      </c>
      <c r="B80" s="97">
        <v>6</v>
      </c>
    </row>
    <row r="81" spans="1:2" ht="18">
      <c r="A81" s="4" t="s">
        <v>30</v>
      </c>
      <c r="B81" s="97">
        <v>5.5</v>
      </c>
    </row>
    <row r="82" spans="1:2" ht="18">
      <c r="A82" s="4" t="s">
        <v>30</v>
      </c>
      <c r="B82" s="97">
        <v>7.75</v>
      </c>
    </row>
    <row r="83" spans="1:2" ht="18">
      <c r="A83" s="4" t="s">
        <v>30</v>
      </c>
      <c r="B83" s="97">
        <v>4.75</v>
      </c>
    </row>
    <row r="84" spans="1:2" ht="18">
      <c r="A84" s="4" t="s">
        <v>30</v>
      </c>
      <c r="B84" s="97">
        <v>5.75</v>
      </c>
    </row>
    <row r="85" spans="1:2" ht="19" thickBot="1">
      <c r="A85" s="54" t="s">
        <v>23</v>
      </c>
      <c r="B85" s="89"/>
    </row>
    <row r="86" spans="1:2" ht="18.5" thickBot="1">
      <c r="A86" s="53" t="s">
        <v>8</v>
      </c>
      <c r="B86" s="91"/>
    </row>
    <row r="87" spans="1:2" ht="18">
      <c r="A87" s="52" t="s">
        <v>61</v>
      </c>
      <c r="B87" s="48"/>
    </row>
    <row r="88" spans="1:2" ht="18">
      <c r="A88" s="4" t="s">
        <v>30</v>
      </c>
      <c r="B88" s="97">
        <v>6.5</v>
      </c>
    </row>
    <row r="89" spans="1:2" ht="18">
      <c r="A89" s="4" t="s">
        <v>30</v>
      </c>
      <c r="B89" s="97">
        <v>1.25</v>
      </c>
    </row>
    <row r="90" spans="1:2" ht="18">
      <c r="A90" s="4" t="s">
        <v>30</v>
      </c>
      <c r="B90" s="70" t="s">
        <v>18</v>
      </c>
    </row>
    <row r="91" spans="1:2" ht="18">
      <c r="A91" s="4" t="s">
        <v>30</v>
      </c>
      <c r="B91" s="97">
        <v>2.5</v>
      </c>
    </row>
    <row r="92" spans="1:2" ht="18">
      <c r="A92" s="4" t="s">
        <v>30</v>
      </c>
      <c r="B92" s="97">
        <v>6</v>
      </c>
    </row>
    <row r="93" spans="1:2" ht="18">
      <c r="A93" s="4" t="s">
        <v>30</v>
      </c>
      <c r="B93" s="97">
        <v>7.9</v>
      </c>
    </row>
    <row r="94" spans="1:2" ht="18">
      <c r="A94" s="4" t="s">
        <v>30</v>
      </c>
      <c r="B94" s="97">
        <v>8.6</v>
      </c>
    </row>
    <row r="95" spans="1:2" ht="18">
      <c r="A95" s="4" t="s">
        <v>30</v>
      </c>
      <c r="B95" s="98" t="s">
        <v>18</v>
      </c>
    </row>
    <row r="96" spans="1:2" ht="18">
      <c r="A96" s="4" t="s">
        <v>30</v>
      </c>
      <c r="B96" s="97">
        <v>6.2</v>
      </c>
    </row>
    <row r="97" spans="1:29" ht="18">
      <c r="A97" s="4" t="s">
        <v>30</v>
      </c>
      <c r="B97" s="97">
        <v>2.8</v>
      </c>
    </row>
    <row r="98" spans="1:29" ht="18">
      <c r="A98" s="4" t="s">
        <v>30</v>
      </c>
      <c r="B98" s="97">
        <v>7.3</v>
      </c>
    </row>
    <row r="99" spans="1:29" ht="18">
      <c r="A99" s="51" t="s">
        <v>60</v>
      </c>
      <c r="B99" s="46"/>
    </row>
    <row r="100" spans="1:29" ht="18">
      <c r="A100" s="4" t="s">
        <v>30</v>
      </c>
      <c r="B100" s="97">
        <v>0.7</v>
      </c>
      <c r="Z100" s="102" t="s">
        <v>85</v>
      </c>
      <c r="AA100" s="103">
        <v>6</v>
      </c>
      <c r="AB100" s="103">
        <f>SUM(AA$100:AA100)/SUM(AA$100:AA$109)</f>
        <v>6.3157894736842107E-2</v>
      </c>
      <c r="AC100" s="103">
        <v>2.8947557760271545</v>
      </c>
    </row>
    <row r="101" spans="1:29" ht="18">
      <c r="A101" s="4" t="s">
        <v>30</v>
      </c>
      <c r="B101" s="97">
        <v>7</v>
      </c>
      <c r="Z101" s="102" t="s">
        <v>86</v>
      </c>
      <c r="AA101" s="103">
        <v>6</v>
      </c>
      <c r="AB101" s="103">
        <f>SUM(AA$100:AA101)/SUM(AA$100:AA$109)</f>
        <v>0.12631578947368421</v>
      </c>
      <c r="AC101" s="103">
        <v>5.7970269499728593</v>
      </c>
    </row>
    <row r="102" spans="1:29" ht="18">
      <c r="A102" s="4" t="s">
        <v>30</v>
      </c>
      <c r="B102" s="70" t="s">
        <v>18</v>
      </c>
      <c r="Z102" s="102" t="s">
        <v>87</v>
      </c>
      <c r="AA102" s="103">
        <v>7</v>
      </c>
      <c r="AB102" s="103">
        <f>SUM(AA$100:AA102)/SUM(AA$100:AA$109)</f>
        <v>0.2</v>
      </c>
      <c r="AC102" s="103">
        <v>9.7588886355382929</v>
      </c>
    </row>
    <row r="103" spans="1:29" ht="18">
      <c r="A103" s="4" t="s">
        <v>30</v>
      </c>
      <c r="B103" s="97">
        <v>0.85</v>
      </c>
      <c r="Z103" s="102" t="s">
        <v>88</v>
      </c>
      <c r="AA103" s="103">
        <v>6</v>
      </c>
      <c r="AB103" s="103">
        <f>SUM(AA$100:AA103)/SUM(AA$100:AA$109)</f>
        <v>0.26315789473684209</v>
      </c>
      <c r="AC103" s="103">
        <v>13.810107434385126</v>
      </c>
    </row>
    <row r="104" spans="1:29" ht="18">
      <c r="A104" s="4" t="s">
        <v>30</v>
      </c>
      <c r="B104" s="97">
        <v>6.75</v>
      </c>
      <c r="Z104" s="102" t="s">
        <v>89</v>
      </c>
      <c r="AA104" s="103">
        <v>5</v>
      </c>
      <c r="AB104" s="103">
        <f>SUM(AA$100:AA104)/SUM(AA$100:AA$109)</f>
        <v>0.31578947368421051</v>
      </c>
      <c r="AC104" s="103">
        <v>16.428405150209677</v>
      </c>
    </row>
    <row r="105" spans="1:29" ht="18">
      <c r="A105" s="4" t="s">
        <v>30</v>
      </c>
      <c r="B105" s="70" t="s">
        <v>100</v>
      </c>
      <c r="Z105" s="102" t="s">
        <v>90</v>
      </c>
      <c r="AA105" s="103">
        <v>11</v>
      </c>
      <c r="AB105" s="103">
        <f>SUM(AA$100:AA105)/SUM(AA$100:AA$109)</f>
        <v>0.43157894736842106</v>
      </c>
      <c r="AC105" s="103">
        <v>16.428405150209677</v>
      </c>
    </row>
    <row r="106" spans="1:29" ht="18">
      <c r="A106" s="4" t="s">
        <v>30</v>
      </c>
      <c r="B106" s="97">
        <v>6.1</v>
      </c>
      <c r="Z106" s="102" t="s">
        <v>91</v>
      </c>
      <c r="AA106" s="103">
        <v>16</v>
      </c>
      <c r="AB106" s="103">
        <f>SUM(AA$100:AA106)/SUM(AA$100:AA$109)</f>
        <v>0.6</v>
      </c>
      <c r="AC106" s="103">
        <v>13.810107434385126</v>
      </c>
    </row>
    <row r="107" spans="1:29" ht="18">
      <c r="A107" s="4" t="s">
        <v>30</v>
      </c>
      <c r="B107" s="97">
        <v>6.5</v>
      </c>
      <c r="Z107" s="102" t="s">
        <v>92</v>
      </c>
      <c r="AA107" s="103">
        <v>16</v>
      </c>
      <c r="AB107" s="103">
        <f>SUM(AA$100:AA107)/SUM(AA$100:AA$109)</f>
        <v>0.76842105263157889</v>
      </c>
      <c r="AC107" s="103">
        <v>9.7588886355382929</v>
      </c>
    </row>
    <row r="108" spans="1:29" ht="18">
      <c r="A108" s="4" t="s">
        <v>30</v>
      </c>
      <c r="B108" s="97">
        <v>8</v>
      </c>
      <c r="Z108" s="102" t="s">
        <v>93</v>
      </c>
      <c r="AA108" s="103">
        <v>10</v>
      </c>
      <c r="AB108" s="103">
        <f>SUM(AA$100:AA108)/SUM(AA$100:AA$109)</f>
        <v>0.87368421052631584</v>
      </c>
      <c r="AC108" s="103">
        <v>5.7970269499728593</v>
      </c>
    </row>
    <row r="109" spans="1:29" ht="18">
      <c r="A109" s="4" t="s">
        <v>30</v>
      </c>
      <c r="B109" s="97">
        <v>0.25</v>
      </c>
      <c r="Z109" s="102" t="s">
        <v>94</v>
      </c>
      <c r="AA109" s="103">
        <v>12</v>
      </c>
      <c r="AB109" s="103">
        <f>SUM(AA$100:AA109)/SUM(AA$100:AA$109)</f>
        <v>1</v>
      </c>
      <c r="AC109" s="103">
        <v>2.8947557760271545</v>
      </c>
    </row>
    <row r="110" spans="1:29" ht="18.5" thickBot="1">
      <c r="A110" s="4" t="s">
        <v>30</v>
      </c>
      <c r="B110" s="97">
        <v>5</v>
      </c>
      <c r="Z110" s="103"/>
      <c r="AA110" s="103"/>
      <c r="AB110" s="103"/>
      <c r="AC110" s="103"/>
    </row>
    <row r="111" spans="1:29" ht="18.5" thickBot="1">
      <c r="A111" s="50" t="s">
        <v>25</v>
      </c>
      <c r="B111" s="93"/>
      <c r="Z111" s="103"/>
      <c r="AA111" s="103"/>
      <c r="AB111" s="103"/>
      <c r="AC111" s="103"/>
    </row>
    <row r="112" spans="1:29" ht="18.5" thickBot="1">
      <c r="A112" s="53" t="s">
        <v>8</v>
      </c>
      <c r="B112" s="91"/>
      <c r="Z112" s="103"/>
      <c r="AA112" s="103"/>
      <c r="AB112" s="103"/>
      <c r="AC112" s="103"/>
    </row>
    <row r="113" spans="1:29" ht="18">
      <c r="A113" s="4" t="s">
        <v>30</v>
      </c>
      <c r="B113" s="26">
        <v>7.5</v>
      </c>
      <c r="Z113" s="103"/>
      <c r="AA113" s="103"/>
      <c r="AB113" s="103"/>
      <c r="AC113" s="103"/>
    </row>
    <row r="114" spans="1:29" ht="18">
      <c r="A114" s="4" t="s">
        <v>30</v>
      </c>
      <c r="B114" s="26">
        <v>8.5</v>
      </c>
      <c r="Z114" s="103"/>
      <c r="AA114" s="103"/>
      <c r="AB114" s="103"/>
      <c r="AC114" s="103"/>
    </row>
    <row r="115" spans="1:29" ht="18">
      <c r="A115" s="4" t="s">
        <v>30</v>
      </c>
      <c r="B115" s="26">
        <v>5</v>
      </c>
      <c r="Z115" s="103"/>
      <c r="AA115" s="103"/>
      <c r="AB115" s="103"/>
      <c r="AC115" s="103"/>
    </row>
    <row r="116" spans="1:29" ht="18">
      <c r="A116" s="4" t="s">
        <v>30</v>
      </c>
      <c r="B116" s="26">
        <v>10</v>
      </c>
      <c r="Z116" s="103"/>
      <c r="AA116" s="103"/>
      <c r="AB116" s="103"/>
      <c r="AC116" s="103"/>
    </row>
    <row r="117" spans="1:29" ht="18">
      <c r="A117" s="4" t="s">
        <v>30</v>
      </c>
      <c r="B117" s="26">
        <v>9</v>
      </c>
      <c r="Z117" s="103"/>
      <c r="AA117" s="103"/>
      <c r="AB117" s="103"/>
      <c r="AC117" s="103"/>
    </row>
    <row r="118" spans="1:29" ht="18">
      <c r="A118" s="4" t="s">
        <v>30</v>
      </c>
      <c r="B118" s="26">
        <v>9</v>
      </c>
      <c r="Z118" s="103"/>
      <c r="AA118" s="103"/>
      <c r="AB118" s="103"/>
      <c r="AC118" s="103"/>
    </row>
    <row r="119" spans="1:29" ht="18">
      <c r="A119" s="4" t="s">
        <v>30</v>
      </c>
      <c r="B119" s="26">
        <v>10</v>
      </c>
      <c r="Z119" s="103"/>
      <c r="AA119" s="103"/>
      <c r="AB119" s="103"/>
      <c r="AC119" s="103"/>
    </row>
    <row r="120" spans="1:29">
      <c r="Z120" s="103" t="s">
        <v>95</v>
      </c>
      <c r="AA120" s="103">
        <v>65</v>
      </c>
      <c r="AB120" s="103"/>
      <c r="AC120" s="103"/>
    </row>
    <row r="121" spans="1:29">
      <c r="Z121" s="103" t="s">
        <v>96</v>
      </c>
      <c r="AA121" s="103">
        <v>30</v>
      </c>
      <c r="AB121" s="103"/>
      <c r="AC121" s="103"/>
    </row>
    <row r="122" spans="1:29">
      <c r="Z122" s="103" t="s">
        <v>97</v>
      </c>
      <c r="AA122" s="103">
        <v>5.7315789473684209</v>
      </c>
      <c r="AB122" s="103"/>
      <c r="AC122" s="103"/>
    </row>
    <row r="123" spans="1:29">
      <c r="Z123" s="103"/>
      <c r="AA123" s="103"/>
      <c r="AB123" s="103"/>
      <c r="AC123" s="103"/>
    </row>
    <row r="124" spans="1:29">
      <c r="Z124" s="103"/>
      <c r="AA124" s="103"/>
      <c r="AB124" s="103"/>
      <c r="AC124" s="103"/>
    </row>
    <row r="125" spans="1:29">
      <c r="Z125" s="103"/>
      <c r="AA125" s="103"/>
      <c r="AB125" s="103"/>
      <c r="AC125" s="103"/>
    </row>
    <row r="126" spans="1:29">
      <c r="Z126" s="103"/>
      <c r="AA126" s="103"/>
      <c r="AB126" s="103"/>
      <c r="AC126" s="103"/>
    </row>
    <row r="127" spans="1:29">
      <c r="Z127" s="103"/>
      <c r="AA127" s="103"/>
      <c r="AB127" s="103"/>
      <c r="AC127" s="103"/>
    </row>
    <row r="128" spans="1:29">
      <c r="Z128" s="103"/>
      <c r="AA128" s="103"/>
      <c r="AB128" s="103"/>
      <c r="AC128" s="103"/>
    </row>
    <row r="129" spans="26:29">
      <c r="Z129" s="103"/>
      <c r="AA129" s="103"/>
      <c r="AB129" s="103"/>
      <c r="AC129" s="103"/>
    </row>
    <row r="130" spans="26:29">
      <c r="Z130" s="103"/>
      <c r="AA130" s="103"/>
      <c r="AB130" s="103"/>
      <c r="AC130" s="103"/>
    </row>
    <row r="131" spans="26:29">
      <c r="Z131" s="103"/>
      <c r="AA131" s="103"/>
      <c r="AB131" s="103"/>
      <c r="AC131" s="103"/>
    </row>
    <row r="132" spans="26:29">
      <c r="Z132" s="103"/>
      <c r="AA132" s="103"/>
      <c r="AB132" s="103"/>
      <c r="AC132" s="103"/>
    </row>
    <row r="133" spans="26:29">
      <c r="Z133" s="103"/>
      <c r="AA133" s="103"/>
      <c r="AB133" s="103"/>
      <c r="AC133" s="103"/>
    </row>
    <row r="134" spans="26:29">
      <c r="Z134" s="103"/>
      <c r="AA134" s="103"/>
      <c r="AB134" s="103"/>
      <c r="AC134" s="103"/>
    </row>
    <row r="135" spans="26:29">
      <c r="Z135" s="103"/>
      <c r="AA135" s="103"/>
      <c r="AB135" s="103"/>
      <c r="AC135" s="103"/>
    </row>
    <row r="136" spans="26:29">
      <c r="Z136" s="103"/>
      <c r="AA136" s="103"/>
      <c r="AB136" s="103"/>
      <c r="AC136" s="103"/>
    </row>
    <row r="137" spans="26:29">
      <c r="Z137" s="103"/>
      <c r="AA137" s="103"/>
      <c r="AB137" s="103"/>
      <c r="AC137" s="103"/>
    </row>
    <row r="138" spans="26:29">
      <c r="Z138" s="103"/>
      <c r="AA138" s="103"/>
      <c r="AB138" s="103"/>
      <c r="AC138" s="103"/>
    </row>
    <row r="139" spans="26:29">
      <c r="Z139" s="103"/>
      <c r="AA139" s="103"/>
      <c r="AB139" s="103"/>
      <c r="AC139" s="103"/>
    </row>
    <row r="140" spans="26:29">
      <c r="Z140" s="103"/>
      <c r="AA140" s="103"/>
      <c r="AB140" s="103"/>
      <c r="AC140" s="103"/>
    </row>
    <row r="141" spans="26:29">
      <c r="Z141" s="103"/>
      <c r="AA141" s="103"/>
      <c r="AB141" s="103"/>
      <c r="AC141" s="103"/>
    </row>
    <row r="142" spans="26:29">
      <c r="Z142" s="103"/>
      <c r="AA142" s="103"/>
      <c r="AB142" s="103"/>
      <c r="AC142" s="103"/>
    </row>
    <row r="143" spans="26:29">
      <c r="Z143" s="103"/>
      <c r="AA143" s="103"/>
      <c r="AB143" s="103"/>
      <c r="AC143" s="103"/>
    </row>
    <row r="144" spans="26:29">
      <c r="Z144" s="103"/>
      <c r="AA144" s="103"/>
      <c r="AB144" s="103"/>
      <c r="AC144" s="103"/>
    </row>
    <row r="145" spans="26:29">
      <c r="Z145" s="103"/>
      <c r="AA145" s="103"/>
      <c r="AB145" s="103"/>
      <c r="AC145" s="103"/>
    </row>
    <row r="146" spans="26:29">
      <c r="Z146" s="103"/>
      <c r="AA146" s="103"/>
      <c r="AB146" s="103"/>
      <c r="AC146" s="103"/>
    </row>
    <row r="147" spans="26:29">
      <c r="Z147" s="103"/>
      <c r="AA147" s="103"/>
      <c r="AB147" s="103"/>
      <c r="AC147" s="103"/>
    </row>
    <row r="148" spans="26:29">
      <c r="Z148" s="103"/>
      <c r="AA148" s="103"/>
      <c r="AB148" s="103"/>
      <c r="AC148" s="103"/>
    </row>
    <row r="149" spans="26:29">
      <c r="Z149" s="103"/>
      <c r="AA149" s="103"/>
      <c r="AB149" s="103"/>
      <c r="AC149" s="103"/>
    </row>
    <row r="150" spans="26:29">
      <c r="Z150" s="103"/>
      <c r="AA150" s="103"/>
      <c r="AB150" s="103"/>
      <c r="AC150" s="103"/>
    </row>
    <row r="151" spans="26:29">
      <c r="Z151" s="103"/>
      <c r="AA151" s="103"/>
      <c r="AB151" s="103"/>
      <c r="AC151" s="103"/>
    </row>
    <row r="152" spans="26:29">
      <c r="Z152" s="103"/>
      <c r="AA152" s="103"/>
      <c r="AB152" s="103"/>
      <c r="AC152" s="103"/>
    </row>
    <row r="153" spans="26:29">
      <c r="Z153" s="103"/>
      <c r="AA153" s="103"/>
      <c r="AB153" s="103"/>
      <c r="AC153" s="103"/>
    </row>
    <row r="154" spans="26:29">
      <c r="Z154" s="103"/>
      <c r="AA154" s="103"/>
      <c r="AB154" s="103"/>
      <c r="AC154" s="103"/>
    </row>
    <row r="155" spans="26:29">
      <c r="Z155" s="103"/>
      <c r="AA155" s="103"/>
      <c r="AB155" s="103"/>
      <c r="AC155" s="103"/>
    </row>
    <row r="156" spans="26:29">
      <c r="Z156" s="103"/>
      <c r="AA156" s="103"/>
      <c r="AB156" s="103"/>
      <c r="AC156" s="103"/>
    </row>
    <row r="157" spans="26:29">
      <c r="Z157" s="103"/>
      <c r="AA157" s="103"/>
      <c r="AB157" s="103"/>
      <c r="AC157" s="103"/>
    </row>
    <row r="158" spans="26:29">
      <c r="Z158" s="103"/>
      <c r="AA158" s="103"/>
      <c r="AB158" s="103"/>
      <c r="AC158" s="103"/>
    </row>
    <row r="159" spans="26:29">
      <c r="Z159" s="103"/>
      <c r="AA159" s="103"/>
      <c r="AB159" s="103"/>
      <c r="AC159" s="103"/>
    </row>
    <row r="160" spans="26:29">
      <c r="Z160" s="103"/>
      <c r="AA160" s="103"/>
      <c r="AB160" s="103"/>
      <c r="AC160" s="103"/>
    </row>
    <row r="161" spans="26:29">
      <c r="Z161" s="103"/>
      <c r="AA161" s="103"/>
      <c r="AB161" s="103"/>
      <c r="AC161" s="103"/>
    </row>
    <row r="162" spans="26:29">
      <c r="Z162" s="103"/>
      <c r="AA162" s="103"/>
      <c r="AB162" s="103"/>
      <c r="AC162" s="103"/>
    </row>
    <row r="163" spans="26:29">
      <c r="Z163" s="103"/>
      <c r="AA163" s="103"/>
      <c r="AB163" s="103"/>
      <c r="AC163" s="103"/>
    </row>
    <row r="164" spans="26:29">
      <c r="Z164" s="103"/>
      <c r="AA164" s="103"/>
      <c r="AB164" s="103"/>
      <c r="AC164" s="103"/>
    </row>
    <row r="165" spans="26:29">
      <c r="Z165" s="103"/>
      <c r="AA165" s="103"/>
      <c r="AB165" s="103"/>
      <c r="AC165" s="103"/>
    </row>
    <row r="166" spans="26:29">
      <c r="Z166" s="103"/>
      <c r="AA166" s="103"/>
      <c r="AB166" s="103"/>
      <c r="AC166" s="103"/>
    </row>
    <row r="167" spans="26:29">
      <c r="Z167" s="103"/>
      <c r="AA167" s="103"/>
      <c r="AB167" s="103"/>
      <c r="AC167" s="103"/>
    </row>
    <row r="168" spans="26:29">
      <c r="Z168" s="103"/>
      <c r="AA168" s="103"/>
      <c r="AB168" s="103"/>
      <c r="AC168" s="103"/>
    </row>
    <row r="169" spans="26:29">
      <c r="Z169" s="103"/>
      <c r="AA169" s="103"/>
      <c r="AB169" s="103"/>
      <c r="AC169" s="103"/>
    </row>
    <row r="170" spans="26:29">
      <c r="Z170" s="103"/>
      <c r="AA170" s="103"/>
      <c r="AB170" s="103"/>
      <c r="AC170" s="103"/>
    </row>
    <row r="171" spans="26:29">
      <c r="Z171" s="103"/>
      <c r="AA171" s="103"/>
      <c r="AB171" s="103"/>
      <c r="AC171" s="103"/>
    </row>
    <row r="172" spans="26:29">
      <c r="Z172" s="103"/>
      <c r="AA172" s="103"/>
      <c r="AB172" s="103"/>
      <c r="AC172" s="103"/>
    </row>
    <row r="173" spans="26:29">
      <c r="Z173" s="103"/>
      <c r="AA173" s="103"/>
      <c r="AB173" s="103"/>
      <c r="AC173" s="103"/>
    </row>
    <row r="174" spans="26:29">
      <c r="Z174" s="103"/>
      <c r="AA174" s="103"/>
      <c r="AB174" s="103"/>
      <c r="AC174" s="103"/>
    </row>
    <row r="175" spans="26:29">
      <c r="Z175" s="103"/>
      <c r="AA175" s="103"/>
      <c r="AB175" s="103"/>
      <c r="AC175" s="103"/>
    </row>
    <row r="176" spans="26:29">
      <c r="Z176" s="103"/>
      <c r="AA176" s="103"/>
      <c r="AB176" s="103"/>
      <c r="AC176" s="103"/>
    </row>
    <row r="177" spans="26:29">
      <c r="Z177" s="103"/>
      <c r="AA177" s="103"/>
      <c r="AB177" s="103"/>
      <c r="AC177" s="103"/>
    </row>
    <row r="178" spans="26:29">
      <c r="Z178" s="103"/>
      <c r="AA178" s="103"/>
      <c r="AB178" s="103"/>
      <c r="AC178" s="103"/>
    </row>
    <row r="179" spans="26:29">
      <c r="Z179" s="103"/>
      <c r="AA179" s="103"/>
      <c r="AB179" s="103"/>
      <c r="AC179" s="103"/>
    </row>
    <row r="180" spans="26:29">
      <c r="Z180" s="103"/>
      <c r="AA180" s="103"/>
      <c r="AB180" s="103"/>
      <c r="AC180" s="103"/>
    </row>
    <row r="181" spans="26:29">
      <c r="Z181" s="103"/>
      <c r="AA181" s="103"/>
      <c r="AB181" s="103"/>
      <c r="AC181" s="103"/>
    </row>
    <row r="182" spans="26:29">
      <c r="Z182" s="103"/>
      <c r="AA182" s="103"/>
      <c r="AB182" s="103"/>
      <c r="AC182" s="103"/>
    </row>
    <row r="183" spans="26:29">
      <c r="Z183" s="103"/>
      <c r="AA183" s="103"/>
      <c r="AB183" s="103"/>
      <c r="AC183" s="103"/>
    </row>
    <row r="184" spans="26:29">
      <c r="Z184" s="103"/>
      <c r="AA184" s="103"/>
      <c r="AB184" s="103"/>
      <c r="AC184" s="103"/>
    </row>
    <row r="185" spans="26:29">
      <c r="Z185" s="103"/>
      <c r="AA185" s="103"/>
      <c r="AB185" s="103"/>
      <c r="AC185" s="103"/>
    </row>
    <row r="186" spans="26:29">
      <c r="Z186" s="103"/>
      <c r="AA186" s="103"/>
      <c r="AB186" s="103"/>
      <c r="AC186" s="103"/>
    </row>
    <row r="187" spans="26:29">
      <c r="Z187" s="103"/>
      <c r="AA187" s="103"/>
      <c r="AB187" s="103"/>
      <c r="AC187" s="103"/>
    </row>
    <row r="188" spans="26:29">
      <c r="Z188" s="103"/>
      <c r="AA188" s="103"/>
      <c r="AB188" s="103"/>
      <c r="AC188" s="103"/>
    </row>
    <row r="189" spans="26:29">
      <c r="Z189" s="103"/>
      <c r="AA189" s="103"/>
      <c r="AB189" s="103"/>
      <c r="AC189" s="103"/>
    </row>
    <row r="190" spans="26:29">
      <c r="Z190" s="103"/>
      <c r="AA190" s="103"/>
      <c r="AB190" s="103"/>
      <c r="AC190" s="103"/>
    </row>
    <row r="191" spans="26:29">
      <c r="Z191" s="103"/>
      <c r="AA191" s="103"/>
      <c r="AB191" s="103"/>
      <c r="AC191" s="103"/>
    </row>
    <row r="192" spans="26:29">
      <c r="Z192" s="103"/>
      <c r="AA192" s="103"/>
      <c r="AB192" s="103"/>
      <c r="AC192" s="103"/>
    </row>
    <row r="193" spans="26:29">
      <c r="Z193" s="103"/>
      <c r="AA193" s="103"/>
      <c r="AB193" s="103"/>
      <c r="AC193" s="103"/>
    </row>
    <row r="194" spans="26:29">
      <c r="Z194" s="103"/>
      <c r="AA194" s="103"/>
      <c r="AB194" s="103"/>
      <c r="AC194" s="103"/>
    </row>
    <row r="195" spans="26:29">
      <c r="Z195" s="103"/>
      <c r="AA195" s="103"/>
      <c r="AB195" s="103"/>
      <c r="AC195" s="103"/>
    </row>
    <row r="196" spans="26:29">
      <c r="Z196" s="103"/>
      <c r="AA196" s="103"/>
      <c r="AB196" s="103"/>
      <c r="AC196" s="103"/>
    </row>
    <row r="197" spans="26:29">
      <c r="Z197" s="103"/>
      <c r="AA197" s="103"/>
      <c r="AB197" s="103"/>
      <c r="AC197" s="103"/>
    </row>
    <row r="198" spans="26:29">
      <c r="Z198" s="103"/>
      <c r="AA198" s="103"/>
      <c r="AB198" s="103"/>
      <c r="AC198" s="103"/>
    </row>
    <row r="199" spans="26:29">
      <c r="Z199" s="103"/>
      <c r="AA199" s="103"/>
      <c r="AB199" s="103"/>
      <c r="AC199" s="103"/>
    </row>
    <row r="200" spans="26:29">
      <c r="Z200" s="103"/>
      <c r="AA200" s="103"/>
      <c r="AB200" s="103"/>
      <c r="AC200" s="103"/>
    </row>
  </sheetData>
  <mergeCells count="3">
    <mergeCell ref="A1:E1"/>
    <mergeCell ref="G4:Y40"/>
    <mergeCell ref="AA4:AG40"/>
  </mergeCells>
  <conditionalFormatting sqref="B3:B5">
    <cfRule type="expression" dxfId="1697" priority="1697">
      <formula>AND(OR(ROW()=CELL("row"),COLUMN()=CELL("col")),NOT(ISBLANK($C3)),NOT(ISBLANK($B3)),ROW()&gt;2,COLUMN()&gt;1)</formula>
    </cfRule>
  </conditionalFormatting>
  <conditionalFormatting sqref="B5">
    <cfRule type="expression" dxfId="1696" priority="1696">
      <formula>SUM(--ISBLANK($B5:$J5))=COLUMNS($B5:$J5)</formula>
    </cfRule>
  </conditionalFormatting>
  <conditionalFormatting sqref="B3:B5">
    <cfRule type="containsText" dxfId="1695" priority="1698" operator="containsText" text="NP">
      <formula>NOT(ISERROR(SEARCH("NP",B3)))</formula>
    </cfRule>
  </conditionalFormatting>
  <conditionalFormatting sqref="B5">
    <cfRule type="expression" dxfId="1694" priority="1695">
      <formula>ISBLANK(B5)</formula>
    </cfRule>
  </conditionalFormatting>
  <conditionalFormatting sqref="A6">
    <cfRule type="expression" dxfId="1693" priority="1693">
      <formula>AND(OR(ROW()=CELL("row"),COLUMN()=CELL("col")),NOT(ISBLANK($C6)),NOT(ISBLANK($B6)),ROW()&gt;2,COLUMN()&gt;1)</formula>
    </cfRule>
  </conditionalFormatting>
  <conditionalFormatting sqref="A6">
    <cfRule type="expression" dxfId="1692" priority="1692">
      <formula>SUM(--ISBLANK($B6:$J6))=COLUMNS($B6:$J6)</formula>
    </cfRule>
  </conditionalFormatting>
  <conditionalFormatting sqref="A6">
    <cfRule type="containsText" dxfId="1691" priority="1694" operator="containsText" text="NP">
      <formula>NOT(ISERROR(SEARCH("NP",A6)))</formula>
    </cfRule>
  </conditionalFormatting>
  <conditionalFormatting sqref="A6">
    <cfRule type="expression" dxfId="1690" priority="1691">
      <formula>ISBLANK(A6)</formula>
    </cfRule>
  </conditionalFormatting>
  <conditionalFormatting sqref="B6">
    <cfRule type="expression" dxfId="1689" priority="1690">
      <formula>SUM(--ISBLANK($B6:$J6))=COLUMNS($B6:$J6)</formula>
    </cfRule>
  </conditionalFormatting>
  <conditionalFormatting sqref="B6">
    <cfRule type="expression" dxfId="1688" priority="1688">
      <formula>AND(OR(ROW()=CELL("row"),COLUMN()=CELL("col")),NOT(ISBLANK($C6)),NOT(ISBLANK($B6)),ROW()&gt;2,COLUMN()&gt;1)</formula>
    </cfRule>
  </conditionalFormatting>
  <conditionalFormatting sqref="B6">
    <cfRule type="containsText" dxfId="1687" priority="1689" operator="containsText" text="NP">
      <formula>NOT(ISERROR(SEARCH("NP",B6)))</formula>
    </cfRule>
  </conditionalFormatting>
  <conditionalFormatting sqref="B6">
    <cfRule type="expression" dxfId="1686" priority="1687">
      <formula>ISBLANK(B6)</formula>
    </cfRule>
  </conditionalFormatting>
  <conditionalFormatting sqref="A7">
    <cfRule type="expression" dxfId="1685" priority="1685">
      <formula>AND(OR(ROW()=CELL("row"),COLUMN()=CELL("col")),NOT(ISBLANK($C7)),NOT(ISBLANK($B7)),ROW()&gt;2,COLUMN()&gt;1)</formula>
    </cfRule>
  </conditionalFormatting>
  <conditionalFormatting sqref="A7">
    <cfRule type="expression" dxfId="1684" priority="1684">
      <formula>SUM(--ISBLANK($B7:$J7))=COLUMNS($B7:$J7)</formula>
    </cfRule>
  </conditionalFormatting>
  <conditionalFormatting sqref="A7">
    <cfRule type="containsText" dxfId="1683" priority="1686" operator="containsText" text="NP">
      <formula>NOT(ISERROR(SEARCH("NP",A7)))</formula>
    </cfRule>
  </conditionalFormatting>
  <conditionalFormatting sqref="A7">
    <cfRule type="expression" dxfId="1682" priority="1683">
      <formula>ISBLANK(A7)</formula>
    </cfRule>
  </conditionalFormatting>
  <conditionalFormatting sqref="B7">
    <cfRule type="expression" dxfId="1681" priority="1681">
      <formula>SUM(--ISBLANK($B7:$J7))=COLUMNS($B7:$J7)</formula>
    </cfRule>
  </conditionalFormatting>
  <conditionalFormatting sqref="B7">
    <cfRule type="containsText" dxfId="1680" priority="1679" operator="containsText" text="NP">
      <formula>NOT(ISERROR(SEARCH("NP",B7)))</formula>
    </cfRule>
    <cfRule type="cellIs" dxfId="1679" priority="1680" operator="lessThan">
      <formula>5</formula>
    </cfRule>
  </conditionalFormatting>
  <conditionalFormatting sqref="B7">
    <cfRule type="expression" dxfId="1678" priority="1677">
      <formula>AND(OR(ROW()=CELL("row"),COLUMN()=CELL("col")),NOT(ISBLANK($C7)),NOT(ISBLANK($B7)),ROW()&gt;2,COLUMN()&gt;1)</formula>
    </cfRule>
  </conditionalFormatting>
  <conditionalFormatting sqref="B7">
    <cfRule type="expression" dxfId="1677" priority="1676">
      <formula>AND(ISNUMBER(B7), OR(B7&gt;10, B7&lt;0))</formula>
    </cfRule>
  </conditionalFormatting>
  <conditionalFormatting sqref="B7">
    <cfRule type="containsText" dxfId="1676" priority="1678" operator="containsText" text="NP">
      <formula>NOT(ISERROR(SEARCH("NP",B7)))</formula>
    </cfRule>
  </conditionalFormatting>
  <conditionalFormatting sqref="B7">
    <cfRule type="expression" dxfId="1675" priority="1675">
      <formula>ISBLANK(B7)</formula>
    </cfRule>
  </conditionalFormatting>
  <conditionalFormatting sqref="B7">
    <cfRule type="containsText" dxfId="1674" priority="1673" operator="containsText" text="Aprobado en otro curso">
      <formula>NOT(ISERROR(SEARCH("Aprobado en otro curso",B7)))</formula>
    </cfRule>
    <cfRule type="containsText" dxfId="1673" priority="1674" operator="containsText" text="Reconocimiento Créditos">
      <formula>NOT(ISERROR(SEARCH("Reconocimiento Créditos",B7)))</formula>
    </cfRule>
  </conditionalFormatting>
  <conditionalFormatting sqref="B7">
    <cfRule type="expression" dxfId="1672" priority="1672">
      <formula>AND(NOT(ISNUMBER(B7)), B7&lt;&gt;"NP", B7&lt;&gt;"Reconocimiento Créditos", B7&lt;&gt;"Aprobado en otro curso")</formula>
    </cfRule>
  </conditionalFormatting>
  <conditionalFormatting sqref="B7">
    <cfRule type="containsText" dxfId="1671" priority="1682" operator="containsText" text="Reconocimiento Créditos">
      <formula>NOT(ISERROR(SEARCH("Reconocimiento Créditos",B7)))</formula>
    </cfRule>
  </conditionalFormatting>
  <conditionalFormatting sqref="A8">
    <cfRule type="expression" dxfId="1670" priority="1670">
      <formula>AND(OR(ROW()=CELL("row"),COLUMN()=CELL("col")),NOT(ISBLANK($C8)),NOT(ISBLANK($B8)),ROW()&gt;2,COLUMN()&gt;1)</formula>
    </cfRule>
  </conditionalFormatting>
  <conditionalFormatting sqref="A8">
    <cfRule type="expression" dxfId="1669" priority="1669">
      <formula>SUM(--ISBLANK($B8:$J8))=COLUMNS($B8:$J8)</formula>
    </cfRule>
  </conditionalFormatting>
  <conditionalFormatting sqref="A8">
    <cfRule type="containsText" dxfId="1668" priority="1671" operator="containsText" text="NP">
      <formula>NOT(ISERROR(SEARCH("NP",A8)))</formula>
    </cfRule>
  </conditionalFormatting>
  <conditionalFormatting sqref="A8">
    <cfRule type="expression" dxfId="1667" priority="1668">
      <formula>ISBLANK(A8)</formula>
    </cfRule>
  </conditionalFormatting>
  <conditionalFormatting sqref="B8">
    <cfRule type="expression" dxfId="1666" priority="1666">
      <formula>SUM(--ISBLANK($B8:$J8))=COLUMNS($B8:$J8)</formula>
    </cfRule>
  </conditionalFormatting>
  <conditionalFormatting sqref="B8">
    <cfRule type="containsText" dxfId="1665" priority="1664" operator="containsText" text="NP">
      <formula>NOT(ISERROR(SEARCH("NP",B8)))</formula>
    </cfRule>
    <cfRule type="cellIs" dxfId="1664" priority="1665" operator="lessThan">
      <formula>5</formula>
    </cfRule>
  </conditionalFormatting>
  <conditionalFormatting sqref="B8">
    <cfRule type="expression" dxfId="1663" priority="1662">
      <formula>AND(OR(ROW()=CELL("row"),COLUMN()=CELL("col")),NOT(ISBLANK($C8)),NOT(ISBLANK($B8)),ROW()&gt;2,COLUMN()&gt;1)</formula>
    </cfRule>
  </conditionalFormatting>
  <conditionalFormatting sqref="B8">
    <cfRule type="expression" dxfId="1662" priority="1661">
      <formula>AND(ISNUMBER(B8), OR(B8&gt;10, B8&lt;0))</formula>
    </cfRule>
  </conditionalFormatting>
  <conditionalFormatting sqref="B8">
    <cfRule type="containsText" dxfId="1661" priority="1663" operator="containsText" text="NP">
      <formula>NOT(ISERROR(SEARCH("NP",B8)))</formula>
    </cfRule>
  </conditionalFormatting>
  <conditionalFormatting sqref="B8">
    <cfRule type="expression" dxfId="1660" priority="1660">
      <formula>ISBLANK(B8)</formula>
    </cfRule>
  </conditionalFormatting>
  <conditionalFormatting sqref="B8">
    <cfRule type="containsText" dxfId="1659" priority="1658" operator="containsText" text="Aprobado en otro curso">
      <formula>NOT(ISERROR(SEARCH("Aprobado en otro curso",B8)))</formula>
    </cfRule>
    <cfRule type="containsText" dxfId="1658" priority="1659" operator="containsText" text="Reconocimiento Créditos">
      <formula>NOT(ISERROR(SEARCH("Reconocimiento Créditos",B8)))</formula>
    </cfRule>
  </conditionalFormatting>
  <conditionalFormatting sqref="B8">
    <cfRule type="expression" dxfId="1657" priority="1657">
      <formula>AND(NOT(ISNUMBER(B8)), B8&lt;&gt;"NP", B8&lt;&gt;"Reconocimiento Créditos", B8&lt;&gt;"Aprobado en otro curso")</formula>
    </cfRule>
  </conditionalFormatting>
  <conditionalFormatting sqref="B8">
    <cfRule type="containsText" dxfId="1656" priority="1667" operator="containsText" text="Reconocimiento Créditos">
      <formula>NOT(ISERROR(SEARCH("Reconocimiento Créditos",B8)))</formula>
    </cfRule>
  </conditionalFormatting>
  <conditionalFormatting sqref="A9">
    <cfRule type="expression" dxfId="1655" priority="1655">
      <formula>AND(OR(ROW()=CELL("row"),COLUMN()=CELL("col")),NOT(ISBLANK($C9)),NOT(ISBLANK($B9)),ROW()&gt;2,COLUMN()&gt;1)</formula>
    </cfRule>
  </conditionalFormatting>
  <conditionalFormatting sqref="A9">
    <cfRule type="expression" dxfId="1654" priority="1654">
      <formula>SUM(--ISBLANK($B9:$J9))=COLUMNS($B9:$J9)</formula>
    </cfRule>
  </conditionalFormatting>
  <conditionalFormatting sqref="A9">
    <cfRule type="containsText" dxfId="1653" priority="1656" operator="containsText" text="NP">
      <formula>NOT(ISERROR(SEARCH("NP",A9)))</formula>
    </cfRule>
  </conditionalFormatting>
  <conditionalFormatting sqref="A9">
    <cfRule type="expression" dxfId="1652" priority="1653">
      <formula>ISBLANK(A9)</formula>
    </cfRule>
  </conditionalFormatting>
  <conditionalFormatting sqref="B9">
    <cfRule type="expression" dxfId="1651" priority="1651">
      <formula>SUM(--ISBLANK($B9:$J9))=COLUMNS($B9:$J9)</formula>
    </cfRule>
  </conditionalFormatting>
  <conditionalFormatting sqref="B9">
    <cfRule type="containsText" dxfId="1650" priority="1649" operator="containsText" text="NP">
      <formula>NOT(ISERROR(SEARCH("NP",B9)))</formula>
    </cfRule>
    <cfRule type="cellIs" dxfId="1649" priority="1650" operator="lessThan">
      <formula>5</formula>
    </cfRule>
  </conditionalFormatting>
  <conditionalFormatting sqref="B9">
    <cfRule type="expression" dxfId="1648" priority="1647">
      <formula>AND(OR(ROW()=CELL("row"),COLUMN()=CELL("col")),NOT(ISBLANK($C9)),NOT(ISBLANK($B9)),ROW()&gt;2,COLUMN()&gt;1)</formula>
    </cfRule>
  </conditionalFormatting>
  <conditionalFormatting sqref="B9">
    <cfRule type="expression" dxfId="1647" priority="1646">
      <formula>AND(ISNUMBER(B9), OR(B9&gt;10, B9&lt;0))</formula>
    </cfRule>
  </conditionalFormatting>
  <conditionalFormatting sqref="B9">
    <cfRule type="containsText" dxfId="1646" priority="1648" operator="containsText" text="NP">
      <formula>NOT(ISERROR(SEARCH("NP",B9)))</formula>
    </cfRule>
  </conditionalFormatting>
  <conditionalFormatting sqref="B9">
    <cfRule type="expression" dxfId="1645" priority="1645">
      <formula>ISBLANK(B9)</formula>
    </cfRule>
  </conditionalFormatting>
  <conditionalFormatting sqref="B9">
    <cfRule type="containsText" dxfId="1644" priority="1643" operator="containsText" text="Aprobado en otro curso">
      <formula>NOT(ISERROR(SEARCH("Aprobado en otro curso",B9)))</formula>
    </cfRule>
    <cfRule type="containsText" dxfId="1643" priority="1644" operator="containsText" text="Reconocimiento Créditos">
      <formula>NOT(ISERROR(SEARCH("Reconocimiento Créditos",B9)))</formula>
    </cfRule>
  </conditionalFormatting>
  <conditionalFormatting sqref="B9">
    <cfRule type="expression" dxfId="1642" priority="1642">
      <formula>AND(NOT(ISNUMBER(B9)), B9&lt;&gt;"NP", B9&lt;&gt;"Reconocimiento Créditos", B9&lt;&gt;"Aprobado en otro curso")</formula>
    </cfRule>
  </conditionalFormatting>
  <conditionalFormatting sqref="B9">
    <cfRule type="containsText" dxfId="1641" priority="1652" operator="containsText" text="Reconocimiento Créditos">
      <formula>NOT(ISERROR(SEARCH("Reconocimiento Créditos",B9)))</formula>
    </cfRule>
  </conditionalFormatting>
  <conditionalFormatting sqref="A10">
    <cfRule type="expression" dxfId="1640" priority="1640">
      <formula>AND(OR(ROW()=CELL("row"),COLUMN()=CELL("col")),NOT(ISBLANK($C10)),NOT(ISBLANK($B10)),ROW()&gt;2,COLUMN()&gt;1)</formula>
    </cfRule>
  </conditionalFormatting>
  <conditionalFormatting sqref="A10">
    <cfRule type="expression" dxfId="1639" priority="1639">
      <formula>SUM(--ISBLANK($B10:$J10))=COLUMNS($B10:$J10)</formula>
    </cfRule>
  </conditionalFormatting>
  <conditionalFormatting sqref="A10">
    <cfRule type="containsText" dxfId="1638" priority="1641" operator="containsText" text="NP">
      <formula>NOT(ISERROR(SEARCH("NP",A10)))</formula>
    </cfRule>
  </conditionalFormatting>
  <conditionalFormatting sqref="A10">
    <cfRule type="expression" dxfId="1637" priority="1638">
      <formula>ISBLANK(A10)</formula>
    </cfRule>
  </conditionalFormatting>
  <conditionalFormatting sqref="B10">
    <cfRule type="expression" dxfId="1636" priority="1636">
      <formula>SUM(--ISBLANK($B10:$J10))=COLUMNS($B10:$J10)</formula>
    </cfRule>
  </conditionalFormatting>
  <conditionalFormatting sqref="B10">
    <cfRule type="containsText" dxfId="1635" priority="1634" operator="containsText" text="NP">
      <formula>NOT(ISERROR(SEARCH("NP",B10)))</formula>
    </cfRule>
    <cfRule type="cellIs" dxfId="1634" priority="1635" operator="lessThan">
      <formula>5</formula>
    </cfRule>
  </conditionalFormatting>
  <conditionalFormatting sqref="B10">
    <cfRule type="expression" dxfId="1633" priority="1632">
      <formula>AND(OR(ROW()=CELL("row"),COLUMN()=CELL("col")),NOT(ISBLANK($C10)),NOT(ISBLANK($B10)),ROW()&gt;2,COLUMN()&gt;1)</formula>
    </cfRule>
  </conditionalFormatting>
  <conditionalFormatting sqref="B10">
    <cfRule type="expression" dxfId="1632" priority="1631">
      <formula>AND(ISNUMBER(B10), OR(B10&gt;10, B10&lt;0))</formula>
    </cfRule>
  </conditionalFormatting>
  <conditionalFormatting sqref="B10">
    <cfRule type="containsText" dxfId="1631" priority="1633" operator="containsText" text="NP">
      <formula>NOT(ISERROR(SEARCH("NP",B10)))</formula>
    </cfRule>
  </conditionalFormatting>
  <conditionalFormatting sqref="B10">
    <cfRule type="expression" dxfId="1630" priority="1630">
      <formula>ISBLANK(B10)</formula>
    </cfRule>
  </conditionalFormatting>
  <conditionalFormatting sqref="B10">
    <cfRule type="containsText" dxfId="1629" priority="1628" operator="containsText" text="Aprobado en otro curso">
      <formula>NOT(ISERROR(SEARCH("Aprobado en otro curso",B10)))</formula>
    </cfRule>
    <cfRule type="containsText" dxfId="1628" priority="1629" operator="containsText" text="Reconocimiento Créditos">
      <formula>NOT(ISERROR(SEARCH("Reconocimiento Créditos",B10)))</formula>
    </cfRule>
  </conditionalFormatting>
  <conditionalFormatting sqref="B10">
    <cfRule type="expression" dxfId="1627" priority="1627">
      <formula>AND(NOT(ISNUMBER(B10)), B10&lt;&gt;"NP", B10&lt;&gt;"Reconocimiento Créditos", B10&lt;&gt;"Aprobado en otro curso")</formula>
    </cfRule>
  </conditionalFormatting>
  <conditionalFormatting sqref="B10">
    <cfRule type="containsText" dxfId="1626" priority="1637" operator="containsText" text="Reconocimiento Créditos">
      <formula>NOT(ISERROR(SEARCH("Reconocimiento Créditos",B10)))</formula>
    </cfRule>
  </conditionalFormatting>
  <conditionalFormatting sqref="A11">
    <cfRule type="expression" dxfId="1625" priority="1625">
      <formula>AND(OR(ROW()=CELL("row"),COLUMN()=CELL("col")),NOT(ISBLANK($C11)),NOT(ISBLANK($B11)),ROW()&gt;2,COLUMN()&gt;1)</formula>
    </cfRule>
  </conditionalFormatting>
  <conditionalFormatting sqref="A11">
    <cfRule type="expression" dxfId="1624" priority="1624">
      <formula>SUM(--ISBLANK($B11:$J11))=COLUMNS($B11:$J11)</formula>
    </cfRule>
  </conditionalFormatting>
  <conditionalFormatting sqref="A11">
    <cfRule type="containsText" dxfId="1623" priority="1626" operator="containsText" text="NP">
      <formula>NOT(ISERROR(SEARCH("NP",A11)))</formula>
    </cfRule>
  </conditionalFormatting>
  <conditionalFormatting sqref="A11">
    <cfRule type="expression" dxfId="1622" priority="1623">
      <formula>ISBLANK(A11)</formula>
    </cfRule>
  </conditionalFormatting>
  <conditionalFormatting sqref="B11">
    <cfRule type="expression" dxfId="1621" priority="1621">
      <formula>SUM(--ISBLANK($B11:$J11))=COLUMNS($B11:$J11)</formula>
    </cfRule>
  </conditionalFormatting>
  <conditionalFormatting sqref="B11">
    <cfRule type="containsText" dxfId="1620" priority="1619" operator="containsText" text="NP">
      <formula>NOT(ISERROR(SEARCH("NP",B11)))</formula>
    </cfRule>
    <cfRule type="cellIs" dxfId="1619" priority="1620" operator="lessThan">
      <formula>5</formula>
    </cfRule>
  </conditionalFormatting>
  <conditionalFormatting sqref="B11">
    <cfRule type="expression" dxfId="1618" priority="1617">
      <formula>AND(OR(ROW()=CELL("row"),COLUMN()=CELL("col")),NOT(ISBLANK($C11)),NOT(ISBLANK($B11)),ROW()&gt;2,COLUMN()&gt;1)</formula>
    </cfRule>
  </conditionalFormatting>
  <conditionalFormatting sqref="B11">
    <cfRule type="expression" dxfId="1617" priority="1616">
      <formula>AND(ISNUMBER(B11), OR(B11&gt;10, B11&lt;0))</formula>
    </cfRule>
  </conditionalFormatting>
  <conditionalFormatting sqref="B11">
    <cfRule type="containsText" dxfId="1616" priority="1618" operator="containsText" text="NP">
      <formula>NOT(ISERROR(SEARCH("NP",B11)))</formula>
    </cfRule>
  </conditionalFormatting>
  <conditionalFormatting sqref="B11">
    <cfRule type="expression" dxfId="1615" priority="1615">
      <formula>ISBLANK(B11)</formula>
    </cfRule>
  </conditionalFormatting>
  <conditionalFormatting sqref="B11">
    <cfRule type="containsText" dxfId="1614" priority="1613" operator="containsText" text="Aprobado en otro curso">
      <formula>NOT(ISERROR(SEARCH("Aprobado en otro curso",B11)))</formula>
    </cfRule>
    <cfRule type="containsText" dxfId="1613" priority="1614" operator="containsText" text="Reconocimiento Créditos">
      <formula>NOT(ISERROR(SEARCH("Reconocimiento Créditos",B11)))</formula>
    </cfRule>
  </conditionalFormatting>
  <conditionalFormatting sqref="B11">
    <cfRule type="expression" dxfId="1612" priority="1612">
      <formula>AND(NOT(ISNUMBER(B11)), B11&lt;&gt;"NP", B11&lt;&gt;"Reconocimiento Créditos", B11&lt;&gt;"Aprobado en otro curso")</formula>
    </cfRule>
  </conditionalFormatting>
  <conditionalFormatting sqref="B11">
    <cfRule type="containsText" dxfId="1611" priority="1622" operator="containsText" text="Reconocimiento Créditos">
      <formula>NOT(ISERROR(SEARCH("Reconocimiento Créditos",B11)))</formula>
    </cfRule>
  </conditionalFormatting>
  <conditionalFormatting sqref="A12">
    <cfRule type="expression" dxfId="1610" priority="1610">
      <formula>AND(OR(ROW()=CELL("row"),COLUMN()=CELL("col")),NOT(ISBLANK($C12)),NOT(ISBLANK($B12)),ROW()&gt;2,COLUMN()&gt;1)</formula>
    </cfRule>
  </conditionalFormatting>
  <conditionalFormatting sqref="A12">
    <cfRule type="expression" dxfId="1609" priority="1609">
      <formula>SUM(--ISBLANK($B12:$J12))=COLUMNS($B12:$J12)</formula>
    </cfRule>
  </conditionalFormatting>
  <conditionalFormatting sqref="A12">
    <cfRule type="containsText" dxfId="1608" priority="1611" operator="containsText" text="NP">
      <formula>NOT(ISERROR(SEARCH("NP",A12)))</formula>
    </cfRule>
  </conditionalFormatting>
  <conditionalFormatting sqref="A12">
    <cfRule type="expression" dxfId="1607" priority="1608">
      <formula>ISBLANK(A12)</formula>
    </cfRule>
  </conditionalFormatting>
  <conditionalFormatting sqref="B12">
    <cfRule type="expression" dxfId="1606" priority="1606">
      <formula>SUM(--ISBLANK($B12:$J12))=COLUMNS($B12:$J12)</formula>
    </cfRule>
  </conditionalFormatting>
  <conditionalFormatting sqref="B12">
    <cfRule type="containsText" dxfId="1605" priority="1604" operator="containsText" text="NP">
      <formula>NOT(ISERROR(SEARCH("NP",B12)))</formula>
    </cfRule>
    <cfRule type="cellIs" dxfId="1604" priority="1605" operator="lessThan">
      <formula>5</formula>
    </cfRule>
  </conditionalFormatting>
  <conditionalFormatting sqref="B12">
    <cfRule type="expression" dxfId="1603" priority="1602">
      <formula>AND(OR(ROW()=CELL("row"),COLUMN()=CELL("col")),NOT(ISBLANK($C12)),NOT(ISBLANK($B12)),ROW()&gt;2,COLUMN()&gt;1)</formula>
    </cfRule>
  </conditionalFormatting>
  <conditionalFormatting sqref="B12">
    <cfRule type="expression" dxfId="1602" priority="1601">
      <formula>AND(ISNUMBER(B12), OR(B12&gt;10, B12&lt;0))</formula>
    </cfRule>
  </conditionalFormatting>
  <conditionalFormatting sqref="B12">
    <cfRule type="containsText" dxfId="1601" priority="1603" operator="containsText" text="NP">
      <formula>NOT(ISERROR(SEARCH("NP",B12)))</formula>
    </cfRule>
  </conditionalFormatting>
  <conditionalFormatting sqref="B12">
    <cfRule type="expression" dxfId="1600" priority="1600">
      <formula>ISBLANK(B12)</formula>
    </cfRule>
  </conditionalFormatting>
  <conditionalFormatting sqref="B12">
    <cfRule type="containsText" dxfId="1599" priority="1598" operator="containsText" text="Aprobado en otro curso">
      <formula>NOT(ISERROR(SEARCH("Aprobado en otro curso",B12)))</formula>
    </cfRule>
    <cfRule type="containsText" dxfId="1598" priority="1599" operator="containsText" text="Reconocimiento Créditos">
      <formula>NOT(ISERROR(SEARCH("Reconocimiento Créditos",B12)))</formula>
    </cfRule>
  </conditionalFormatting>
  <conditionalFormatting sqref="B12">
    <cfRule type="expression" dxfId="1597" priority="1597">
      <formula>AND(NOT(ISNUMBER(B12)), B12&lt;&gt;"NP", B12&lt;&gt;"Reconocimiento Créditos", B12&lt;&gt;"Aprobado en otro curso")</formula>
    </cfRule>
  </conditionalFormatting>
  <conditionalFormatting sqref="B12">
    <cfRule type="containsText" dxfId="1596" priority="1607" operator="containsText" text="Reconocimiento Créditos">
      <formula>NOT(ISERROR(SEARCH("Reconocimiento Créditos",B12)))</formula>
    </cfRule>
  </conditionalFormatting>
  <conditionalFormatting sqref="A13">
    <cfRule type="expression" dxfId="1595" priority="1595">
      <formula>AND(OR(ROW()=CELL("row"),COLUMN()=CELL("col")),NOT(ISBLANK($C13)),NOT(ISBLANK($B13)),ROW()&gt;2,COLUMN()&gt;1)</formula>
    </cfRule>
  </conditionalFormatting>
  <conditionalFormatting sqref="A13">
    <cfRule type="expression" dxfId="1594" priority="1594">
      <formula>SUM(--ISBLANK($B13:$J13))=COLUMNS($B13:$J13)</formula>
    </cfRule>
  </conditionalFormatting>
  <conditionalFormatting sqref="A13">
    <cfRule type="containsText" dxfId="1593" priority="1596" operator="containsText" text="NP">
      <formula>NOT(ISERROR(SEARCH("NP",A13)))</formula>
    </cfRule>
  </conditionalFormatting>
  <conditionalFormatting sqref="A13">
    <cfRule type="expression" dxfId="1592" priority="1593">
      <formula>ISBLANK(A13)</formula>
    </cfRule>
  </conditionalFormatting>
  <conditionalFormatting sqref="B13">
    <cfRule type="expression" dxfId="1591" priority="1591">
      <formula>SUM(--ISBLANK($B13:$J13))=COLUMNS($B13:$J13)</formula>
    </cfRule>
  </conditionalFormatting>
  <conditionalFormatting sqref="B13">
    <cfRule type="containsText" dxfId="1590" priority="1589" operator="containsText" text="NP">
      <formula>NOT(ISERROR(SEARCH("NP",B13)))</formula>
    </cfRule>
    <cfRule type="cellIs" dxfId="1589" priority="1590" operator="lessThan">
      <formula>5</formula>
    </cfRule>
  </conditionalFormatting>
  <conditionalFormatting sqref="B13">
    <cfRule type="expression" dxfId="1588" priority="1587">
      <formula>AND(OR(ROW()=CELL("row"),COLUMN()=CELL("col")),NOT(ISBLANK($C13)),NOT(ISBLANK($B13)),ROW()&gt;2,COLUMN()&gt;1)</formula>
    </cfRule>
  </conditionalFormatting>
  <conditionalFormatting sqref="B13">
    <cfRule type="expression" dxfId="1587" priority="1586">
      <formula>AND(ISNUMBER(B13), OR(B13&gt;10, B13&lt;0))</formula>
    </cfRule>
  </conditionalFormatting>
  <conditionalFormatting sqref="B13">
    <cfRule type="containsText" dxfId="1586" priority="1588" operator="containsText" text="NP">
      <formula>NOT(ISERROR(SEARCH("NP",B13)))</formula>
    </cfRule>
  </conditionalFormatting>
  <conditionalFormatting sqref="B13">
    <cfRule type="expression" dxfId="1585" priority="1585">
      <formula>ISBLANK(B13)</formula>
    </cfRule>
  </conditionalFormatting>
  <conditionalFormatting sqref="B13">
    <cfRule type="containsText" dxfId="1584" priority="1583" operator="containsText" text="Aprobado en otro curso">
      <formula>NOT(ISERROR(SEARCH("Aprobado en otro curso",B13)))</formula>
    </cfRule>
    <cfRule type="containsText" dxfId="1583" priority="1584" operator="containsText" text="Reconocimiento Créditos">
      <formula>NOT(ISERROR(SEARCH("Reconocimiento Créditos",B13)))</formula>
    </cfRule>
  </conditionalFormatting>
  <conditionalFormatting sqref="B13">
    <cfRule type="expression" dxfId="1582" priority="1582">
      <formula>AND(NOT(ISNUMBER(B13)), B13&lt;&gt;"NP", B13&lt;&gt;"Reconocimiento Créditos", B13&lt;&gt;"Aprobado en otro curso")</formula>
    </cfRule>
  </conditionalFormatting>
  <conditionalFormatting sqref="B13">
    <cfRule type="containsText" dxfId="1581" priority="1592" operator="containsText" text="Reconocimiento Créditos">
      <formula>NOT(ISERROR(SEARCH("Reconocimiento Créditos",B13)))</formula>
    </cfRule>
  </conditionalFormatting>
  <conditionalFormatting sqref="A14">
    <cfRule type="expression" dxfId="1580" priority="1580">
      <formula>AND(OR(ROW()=CELL("row"),COLUMN()=CELL("col")),NOT(ISBLANK($C14)),NOT(ISBLANK($B14)),ROW()&gt;2,COLUMN()&gt;1)</formula>
    </cfRule>
  </conditionalFormatting>
  <conditionalFormatting sqref="A14">
    <cfRule type="expression" dxfId="1579" priority="1579">
      <formula>SUM(--ISBLANK($B14:$J14))=COLUMNS($B14:$J14)</formula>
    </cfRule>
  </conditionalFormatting>
  <conditionalFormatting sqref="A14">
    <cfRule type="containsText" dxfId="1578" priority="1581" operator="containsText" text="NP">
      <formula>NOT(ISERROR(SEARCH("NP",A14)))</formula>
    </cfRule>
  </conditionalFormatting>
  <conditionalFormatting sqref="A14">
    <cfRule type="expression" dxfId="1577" priority="1578">
      <formula>ISBLANK(A14)</formula>
    </cfRule>
  </conditionalFormatting>
  <conditionalFormatting sqref="B14">
    <cfRule type="expression" dxfId="1576" priority="1576">
      <formula>SUM(--ISBLANK($B14:$J14))=COLUMNS($B14:$J14)</formula>
    </cfRule>
  </conditionalFormatting>
  <conditionalFormatting sqref="B14">
    <cfRule type="containsText" dxfId="1575" priority="1574" operator="containsText" text="NP">
      <formula>NOT(ISERROR(SEARCH("NP",B14)))</formula>
    </cfRule>
    <cfRule type="cellIs" dxfId="1574" priority="1575" operator="lessThan">
      <formula>5</formula>
    </cfRule>
  </conditionalFormatting>
  <conditionalFormatting sqref="B14">
    <cfRule type="expression" dxfId="1573" priority="1572">
      <formula>AND(OR(ROW()=CELL("row"),COLUMN()=CELL("col")),NOT(ISBLANK($C14)),NOT(ISBLANK($B14)),ROW()&gt;2,COLUMN()&gt;1)</formula>
    </cfRule>
  </conditionalFormatting>
  <conditionalFormatting sqref="B14">
    <cfRule type="expression" dxfId="1572" priority="1571">
      <formula>AND(ISNUMBER(B14), OR(B14&gt;10, B14&lt;0))</formula>
    </cfRule>
  </conditionalFormatting>
  <conditionalFormatting sqref="B14">
    <cfRule type="containsText" dxfId="1571" priority="1573" operator="containsText" text="NP">
      <formula>NOT(ISERROR(SEARCH("NP",B14)))</formula>
    </cfRule>
  </conditionalFormatting>
  <conditionalFormatting sqref="B14">
    <cfRule type="expression" dxfId="1570" priority="1570">
      <formula>ISBLANK(B14)</formula>
    </cfRule>
  </conditionalFormatting>
  <conditionalFormatting sqref="B14">
    <cfRule type="containsText" dxfId="1569" priority="1568" operator="containsText" text="Aprobado en otro curso">
      <formula>NOT(ISERROR(SEARCH("Aprobado en otro curso",B14)))</formula>
    </cfRule>
    <cfRule type="containsText" dxfId="1568" priority="1569" operator="containsText" text="Reconocimiento Créditos">
      <formula>NOT(ISERROR(SEARCH("Reconocimiento Créditos",B14)))</formula>
    </cfRule>
  </conditionalFormatting>
  <conditionalFormatting sqref="B14">
    <cfRule type="expression" dxfId="1567" priority="1567">
      <formula>AND(NOT(ISNUMBER(B14)), B14&lt;&gt;"NP", B14&lt;&gt;"Reconocimiento Créditos", B14&lt;&gt;"Aprobado en otro curso")</formula>
    </cfRule>
  </conditionalFormatting>
  <conditionalFormatting sqref="B14">
    <cfRule type="containsText" dxfId="1566" priority="1577" operator="containsText" text="Reconocimiento Créditos">
      <formula>NOT(ISERROR(SEARCH("Reconocimiento Créditos",B14)))</formula>
    </cfRule>
  </conditionalFormatting>
  <conditionalFormatting sqref="A15">
    <cfRule type="expression" dxfId="1565" priority="1565">
      <formula>AND(OR(ROW()=CELL("row"),COLUMN()=CELL("col")),NOT(ISBLANK($C15)),NOT(ISBLANK($B15)),ROW()&gt;2,COLUMN()&gt;1)</formula>
    </cfRule>
  </conditionalFormatting>
  <conditionalFormatting sqref="A15">
    <cfRule type="expression" dxfId="1564" priority="1564">
      <formula>SUM(--ISBLANK($B15:$J15))=COLUMNS($B15:$J15)</formula>
    </cfRule>
  </conditionalFormatting>
  <conditionalFormatting sqref="A15">
    <cfRule type="containsText" dxfId="1563" priority="1566" operator="containsText" text="NP">
      <formula>NOT(ISERROR(SEARCH("NP",A15)))</formula>
    </cfRule>
  </conditionalFormatting>
  <conditionalFormatting sqref="A15">
    <cfRule type="expression" dxfId="1562" priority="1563">
      <formula>ISBLANK(A15)</formula>
    </cfRule>
  </conditionalFormatting>
  <conditionalFormatting sqref="B15">
    <cfRule type="expression" dxfId="1561" priority="1561">
      <formula>SUM(--ISBLANK($B15:$J15))=COLUMNS($B15:$J15)</formula>
    </cfRule>
  </conditionalFormatting>
  <conditionalFormatting sqref="B15">
    <cfRule type="containsText" dxfId="1560" priority="1559" operator="containsText" text="NP">
      <formula>NOT(ISERROR(SEARCH("NP",B15)))</formula>
    </cfRule>
    <cfRule type="cellIs" dxfId="1559" priority="1560" operator="lessThan">
      <formula>5</formula>
    </cfRule>
  </conditionalFormatting>
  <conditionalFormatting sqref="B15">
    <cfRule type="expression" dxfId="1558" priority="1557">
      <formula>AND(OR(ROW()=CELL("row"),COLUMN()=CELL("col")),NOT(ISBLANK($C15)),NOT(ISBLANK($B15)),ROW()&gt;2,COLUMN()&gt;1)</formula>
    </cfRule>
  </conditionalFormatting>
  <conditionalFormatting sqref="B15">
    <cfRule type="expression" dxfId="1557" priority="1556">
      <formula>AND(ISNUMBER(B15), OR(B15&gt;10, B15&lt;0))</formula>
    </cfRule>
  </conditionalFormatting>
  <conditionalFormatting sqref="B15">
    <cfRule type="containsText" dxfId="1556" priority="1558" operator="containsText" text="NP">
      <formula>NOT(ISERROR(SEARCH("NP",B15)))</formula>
    </cfRule>
  </conditionalFormatting>
  <conditionalFormatting sqref="B15">
    <cfRule type="expression" dxfId="1555" priority="1555">
      <formula>ISBLANK(B15)</formula>
    </cfRule>
  </conditionalFormatting>
  <conditionalFormatting sqref="B15">
    <cfRule type="containsText" dxfId="1554" priority="1553" operator="containsText" text="Aprobado en otro curso">
      <formula>NOT(ISERROR(SEARCH("Aprobado en otro curso",B15)))</formula>
    </cfRule>
    <cfRule type="containsText" dxfId="1553" priority="1554" operator="containsText" text="Reconocimiento Créditos">
      <formula>NOT(ISERROR(SEARCH("Reconocimiento Créditos",B15)))</formula>
    </cfRule>
  </conditionalFormatting>
  <conditionalFormatting sqref="B15">
    <cfRule type="expression" dxfId="1552" priority="1552">
      <formula>AND(NOT(ISNUMBER(B15)), B15&lt;&gt;"NP", B15&lt;&gt;"Reconocimiento Créditos", B15&lt;&gt;"Aprobado en otro curso")</formula>
    </cfRule>
  </conditionalFormatting>
  <conditionalFormatting sqref="B15">
    <cfRule type="containsText" dxfId="1551" priority="1562" operator="containsText" text="Reconocimiento Créditos">
      <formula>NOT(ISERROR(SEARCH("Reconocimiento Créditos",B15)))</formula>
    </cfRule>
  </conditionalFormatting>
  <conditionalFormatting sqref="A16">
    <cfRule type="expression" dxfId="1550" priority="1550">
      <formula>AND(OR(ROW()=CELL("row"),COLUMN()=CELL("col")),NOT(ISBLANK($C16)),NOT(ISBLANK($B16)),ROW()&gt;2,COLUMN()&gt;1)</formula>
    </cfRule>
  </conditionalFormatting>
  <conditionalFormatting sqref="A16">
    <cfRule type="expression" dxfId="1549" priority="1549">
      <formula>SUM(--ISBLANK($B16:$J16))=COLUMNS($B16:$J16)</formula>
    </cfRule>
  </conditionalFormatting>
  <conditionalFormatting sqref="A16">
    <cfRule type="containsText" dxfId="1548" priority="1551" operator="containsText" text="NP">
      <formula>NOT(ISERROR(SEARCH("NP",A16)))</formula>
    </cfRule>
  </conditionalFormatting>
  <conditionalFormatting sqref="A16">
    <cfRule type="expression" dxfId="1547" priority="1548">
      <formula>ISBLANK(A16)</formula>
    </cfRule>
  </conditionalFormatting>
  <conditionalFormatting sqref="B16">
    <cfRule type="expression" dxfId="1546" priority="1546">
      <formula>SUM(--ISBLANK($B16:$J16))=COLUMNS($B16:$J16)</formula>
    </cfRule>
  </conditionalFormatting>
  <conditionalFormatting sqref="B16">
    <cfRule type="containsText" dxfId="1545" priority="1544" operator="containsText" text="NP">
      <formula>NOT(ISERROR(SEARCH("NP",B16)))</formula>
    </cfRule>
    <cfRule type="cellIs" dxfId="1544" priority="1545" operator="lessThan">
      <formula>5</formula>
    </cfRule>
  </conditionalFormatting>
  <conditionalFormatting sqref="B16">
    <cfRule type="expression" dxfId="1543" priority="1542">
      <formula>AND(OR(ROW()=CELL("row"),COLUMN()=CELL("col")),NOT(ISBLANK($C16)),NOT(ISBLANK($B16)),ROW()&gt;2,COLUMN()&gt;1)</formula>
    </cfRule>
  </conditionalFormatting>
  <conditionalFormatting sqref="B16">
    <cfRule type="expression" dxfId="1542" priority="1541">
      <formula>AND(ISNUMBER(B16), OR(B16&gt;10, B16&lt;0))</formula>
    </cfRule>
  </conditionalFormatting>
  <conditionalFormatting sqref="B16">
    <cfRule type="containsText" dxfId="1541" priority="1543" operator="containsText" text="NP">
      <formula>NOT(ISERROR(SEARCH("NP",B16)))</formula>
    </cfRule>
  </conditionalFormatting>
  <conditionalFormatting sqref="B16">
    <cfRule type="expression" dxfId="1540" priority="1540">
      <formula>ISBLANK(B16)</formula>
    </cfRule>
  </conditionalFormatting>
  <conditionalFormatting sqref="B16">
    <cfRule type="containsText" dxfId="1539" priority="1538" operator="containsText" text="Aprobado en otro curso">
      <formula>NOT(ISERROR(SEARCH("Aprobado en otro curso",B16)))</formula>
    </cfRule>
    <cfRule type="containsText" dxfId="1538" priority="1539" operator="containsText" text="Reconocimiento Créditos">
      <formula>NOT(ISERROR(SEARCH("Reconocimiento Créditos",B16)))</formula>
    </cfRule>
  </conditionalFormatting>
  <conditionalFormatting sqref="B16">
    <cfRule type="expression" dxfId="1537" priority="1537">
      <formula>AND(NOT(ISNUMBER(B16)), B16&lt;&gt;"NP", B16&lt;&gt;"Reconocimiento Créditos", B16&lt;&gt;"Aprobado en otro curso")</formula>
    </cfRule>
  </conditionalFormatting>
  <conditionalFormatting sqref="B16">
    <cfRule type="containsText" dxfId="1536" priority="1547" operator="containsText" text="Reconocimiento Créditos">
      <formula>NOT(ISERROR(SEARCH("Reconocimiento Créditos",B16)))</formula>
    </cfRule>
  </conditionalFormatting>
  <conditionalFormatting sqref="A17">
    <cfRule type="expression" dxfId="1535" priority="1535">
      <formula>AND(OR(ROW()=CELL("row"),COLUMN()=CELL("col")),NOT(ISBLANK($C17)),NOT(ISBLANK($B17)),ROW()&gt;2,COLUMN()&gt;1)</formula>
    </cfRule>
  </conditionalFormatting>
  <conditionalFormatting sqref="A17">
    <cfRule type="expression" dxfId="1534" priority="1534">
      <formula>SUM(--ISBLANK($B17:$J17))=COLUMNS($B17:$J17)</formula>
    </cfRule>
  </conditionalFormatting>
  <conditionalFormatting sqref="A17">
    <cfRule type="containsText" dxfId="1533" priority="1536" operator="containsText" text="NP">
      <formula>NOT(ISERROR(SEARCH("NP",A17)))</formula>
    </cfRule>
  </conditionalFormatting>
  <conditionalFormatting sqref="A17">
    <cfRule type="expression" dxfId="1532" priority="1533">
      <formula>ISBLANK(A17)</formula>
    </cfRule>
  </conditionalFormatting>
  <conditionalFormatting sqref="B17">
    <cfRule type="expression" dxfId="1531" priority="1532">
      <formula>SUM(--ISBLANK($B17:$J17))=COLUMNS($B17:$J17)</formula>
    </cfRule>
  </conditionalFormatting>
  <conditionalFormatting sqref="B17">
    <cfRule type="containsText" dxfId="1530" priority="1530" operator="containsText" text="NP">
      <formula>NOT(ISERROR(SEARCH("NP",B17)))</formula>
    </cfRule>
    <cfRule type="cellIs" dxfId="1529" priority="1531" operator="lessThan">
      <formula>5</formula>
    </cfRule>
  </conditionalFormatting>
  <conditionalFormatting sqref="B17">
    <cfRule type="expression" dxfId="1528" priority="1528">
      <formula>AND(OR(ROW()=CELL("row"),COLUMN()=CELL("col")),NOT(ISBLANK($C17)),NOT(ISBLANK($B17)),ROW()&gt;2,COLUMN()&gt;1)</formula>
    </cfRule>
  </conditionalFormatting>
  <conditionalFormatting sqref="B17">
    <cfRule type="containsText" dxfId="1527" priority="1529" operator="containsText" text="NP">
      <formula>NOT(ISERROR(SEARCH("NP",B17)))</formula>
    </cfRule>
  </conditionalFormatting>
  <conditionalFormatting sqref="B17">
    <cfRule type="expression" dxfId="1526" priority="1527">
      <formula>ISBLANK(B17)</formula>
    </cfRule>
  </conditionalFormatting>
  <conditionalFormatting sqref="B17">
    <cfRule type="containsText" dxfId="1525" priority="1525" operator="containsText" text="Aprobado en otro curso">
      <formula>NOT(ISERROR(SEARCH("Aprobado en otro curso",B17)))</formula>
    </cfRule>
  </conditionalFormatting>
  <conditionalFormatting sqref="B17">
    <cfRule type="expression" dxfId="1524" priority="1524">
      <formula>AND(ISNUMBER(B17), OR(B17&gt;10, B17&lt;0))</formula>
    </cfRule>
  </conditionalFormatting>
  <conditionalFormatting sqref="B17">
    <cfRule type="containsText" dxfId="1523" priority="1526" operator="containsText" text="Reconocimiento Créditos">
      <formula>NOT(ISERROR(SEARCH("Reconocimiento Créditos",B17)))</formula>
    </cfRule>
  </conditionalFormatting>
  <conditionalFormatting sqref="A18">
    <cfRule type="expression" dxfId="1522" priority="1522">
      <formula>AND(OR(ROW()=CELL("row"),COLUMN()=CELL("col")),NOT(ISBLANK($C18)),NOT(ISBLANK($B18)),ROW()&gt;2,COLUMN()&gt;1)</formula>
    </cfRule>
  </conditionalFormatting>
  <conditionalFormatting sqref="A18">
    <cfRule type="expression" dxfId="1521" priority="1521">
      <formula>SUM(--ISBLANK($B18:$J18))=COLUMNS($B18:$J18)</formula>
    </cfRule>
  </conditionalFormatting>
  <conditionalFormatting sqref="A18">
    <cfRule type="containsText" dxfId="1520" priority="1523" operator="containsText" text="NP">
      <formula>NOT(ISERROR(SEARCH("NP",A18)))</formula>
    </cfRule>
  </conditionalFormatting>
  <conditionalFormatting sqref="A18">
    <cfRule type="expression" dxfId="1519" priority="1520">
      <formula>ISBLANK(A18)</formula>
    </cfRule>
  </conditionalFormatting>
  <conditionalFormatting sqref="B18">
    <cfRule type="expression" dxfId="1518" priority="1518">
      <formula>SUM(--ISBLANK($B18:$J18))=COLUMNS($B18:$J18)</formula>
    </cfRule>
  </conditionalFormatting>
  <conditionalFormatting sqref="B18">
    <cfRule type="containsText" dxfId="1517" priority="1516" operator="containsText" text="NP">
      <formula>NOT(ISERROR(SEARCH("NP",B18)))</formula>
    </cfRule>
    <cfRule type="cellIs" dxfId="1516" priority="1517" operator="lessThan">
      <formula>5</formula>
    </cfRule>
  </conditionalFormatting>
  <conditionalFormatting sqref="B18">
    <cfRule type="expression" dxfId="1515" priority="1514">
      <formula>AND(OR(ROW()=CELL("row"),COLUMN()=CELL("col")),NOT(ISBLANK($C18)),NOT(ISBLANK($B18)),ROW()&gt;2,COLUMN()&gt;1)</formula>
    </cfRule>
  </conditionalFormatting>
  <conditionalFormatting sqref="B18">
    <cfRule type="containsText" dxfId="1514" priority="1515" operator="containsText" text="NP">
      <formula>NOT(ISERROR(SEARCH("NP",B18)))</formula>
    </cfRule>
  </conditionalFormatting>
  <conditionalFormatting sqref="B18">
    <cfRule type="expression" dxfId="1513" priority="1513">
      <formula>ISBLANK(B18)</formula>
    </cfRule>
  </conditionalFormatting>
  <conditionalFormatting sqref="B18">
    <cfRule type="containsText" dxfId="1512" priority="1511" operator="containsText" text="Aprobado en otro curso">
      <formula>NOT(ISERROR(SEARCH("Aprobado en otro curso",B18)))</formula>
    </cfRule>
  </conditionalFormatting>
  <conditionalFormatting sqref="B18">
    <cfRule type="expression" dxfId="1511" priority="1510">
      <formula>AND(ISNUMBER(B18), OR(B18&gt;10, B18&lt;0))</formula>
    </cfRule>
  </conditionalFormatting>
  <conditionalFormatting sqref="B18">
    <cfRule type="expression" dxfId="1510" priority="1509">
      <formula>AND(NOT(ISNUMBER(B18)), B18&lt;&gt;"NP", B18&lt;&gt;"Reconocimiento Créditos", B18&lt;&gt;"Aprobado en otro curso")</formula>
    </cfRule>
  </conditionalFormatting>
  <conditionalFormatting sqref="B18">
    <cfRule type="containsText" dxfId="1509" priority="1512" operator="containsText" text="Reconocimiento Créditos">
      <formula>NOT(ISERROR(SEARCH("Reconocimiento Créditos",B18)))</formula>
    </cfRule>
  </conditionalFormatting>
  <conditionalFormatting sqref="B18">
    <cfRule type="containsText" dxfId="1508" priority="1519" operator="containsText" text="Aprobado en otro curso">
      <formula>NOT(ISERROR(SEARCH("Aprobado en otro curso",B18)))</formula>
    </cfRule>
  </conditionalFormatting>
  <conditionalFormatting sqref="A19">
    <cfRule type="expression" dxfId="1507" priority="1507">
      <formula>AND(OR(ROW()=CELL("row"),COLUMN()=CELL("col")),NOT(ISBLANK($C19)),NOT(ISBLANK($B19)),ROW()&gt;2,COLUMN()&gt;1)</formula>
    </cfRule>
  </conditionalFormatting>
  <conditionalFormatting sqref="A19">
    <cfRule type="expression" dxfId="1506" priority="1506">
      <formula>SUM(--ISBLANK($B19:$J19))=COLUMNS($B19:$J19)</formula>
    </cfRule>
  </conditionalFormatting>
  <conditionalFormatting sqref="A19">
    <cfRule type="containsText" dxfId="1505" priority="1508" operator="containsText" text="NP">
      <formula>NOT(ISERROR(SEARCH("NP",A19)))</formula>
    </cfRule>
  </conditionalFormatting>
  <conditionalFormatting sqref="A19">
    <cfRule type="expression" dxfId="1504" priority="1505">
      <formula>ISBLANK(A19)</formula>
    </cfRule>
  </conditionalFormatting>
  <conditionalFormatting sqref="B19">
    <cfRule type="expression" dxfId="1503" priority="1503">
      <formula>SUM(--ISBLANK($B19:$J19))=COLUMNS($B19:$J19)</formula>
    </cfRule>
  </conditionalFormatting>
  <conditionalFormatting sqref="B19">
    <cfRule type="containsText" dxfId="1502" priority="1501" operator="containsText" text="NP">
      <formula>NOT(ISERROR(SEARCH("NP",B19)))</formula>
    </cfRule>
    <cfRule type="cellIs" dxfId="1501" priority="1502" operator="lessThan">
      <formula>5</formula>
    </cfRule>
  </conditionalFormatting>
  <conditionalFormatting sqref="B19">
    <cfRule type="expression" dxfId="1500" priority="1499">
      <formula>AND(OR(ROW()=CELL("row"),COLUMN()=CELL("col")),NOT(ISBLANK($C19)),NOT(ISBLANK($B19)),ROW()&gt;2,COLUMN()&gt;1)</formula>
    </cfRule>
  </conditionalFormatting>
  <conditionalFormatting sqref="B19">
    <cfRule type="containsText" dxfId="1499" priority="1500" operator="containsText" text="NP">
      <formula>NOT(ISERROR(SEARCH("NP",B19)))</formula>
    </cfRule>
  </conditionalFormatting>
  <conditionalFormatting sqref="B19">
    <cfRule type="expression" dxfId="1498" priority="1498">
      <formula>ISBLANK(B19)</formula>
    </cfRule>
  </conditionalFormatting>
  <conditionalFormatting sqref="B19">
    <cfRule type="containsText" dxfId="1497" priority="1496" operator="containsText" text="Aprobado en otro curso">
      <formula>NOT(ISERROR(SEARCH("Aprobado en otro curso",B19)))</formula>
    </cfRule>
  </conditionalFormatting>
  <conditionalFormatting sqref="B19">
    <cfRule type="expression" dxfId="1496" priority="1495">
      <formula>AND(ISNUMBER(B19), OR(B19&gt;10, B19&lt;0))</formula>
    </cfRule>
  </conditionalFormatting>
  <conditionalFormatting sqref="B19">
    <cfRule type="expression" dxfId="1495" priority="1494">
      <formula>AND(NOT(ISNUMBER(B19)), B19&lt;&gt;"NP", B19&lt;&gt;"Reconocimiento Créditos", B19&lt;&gt;"Aprobado en otro curso")</formula>
    </cfRule>
  </conditionalFormatting>
  <conditionalFormatting sqref="B19">
    <cfRule type="containsText" dxfId="1494" priority="1497" operator="containsText" text="Reconocimiento Créditos">
      <formula>NOT(ISERROR(SEARCH("Reconocimiento Créditos",B19)))</formula>
    </cfRule>
  </conditionalFormatting>
  <conditionalFormatting sqref="B19">
    <cfRule type="containsText" dxfId="1493" priority="1504" operator="containsText" text="Aprobado en otro curso">
      <formula>NOT(ISERROR(SEARCH("Aprobado en otro curso",B19)))</formula>
    </cfRule>
  </conditionalFormatting>
  <conditionalFormatting sqref="A20">
    <cfRule type="expression" dxfId="1492" priority="1492">
      <formula>AND(OR(ROW()=CELL("row"),COLUMN()=CELL("col")),NOT(ISBLANK($C20)),NOT(ISBLANK($B20)),ROW()&gt;2,COLUMN()&gt;1)</formula>
    </cfRule>
  </conditionalFormatting>
  <conditionalFormatting sqref="A20">
    <cfRule type="expression" dxfId="1491" priority="1491">
      <formula>SUM(--ISBLANK($B20:$J20))=COLUMNS($B20:$J20)</formula>
    </cfRule>
  </conditionalFormatting>
  <conditionalFormatting sqref="A20">
    <cfRule type="containsText" dxfId="1490" priority="1493" operator="containsText" text="NP">
      <formula>NOT(ISERROR(SEARCH("NP",A20)))</formula>
    </cfRule>
  </conditionalFormatting>
  <conditionalFormatting sqref="A20">
    <cfRule type="expression" dxfId="1489" priority="1490">
      <formula>ISBLANK(A20)</formula>
    </cfRule>
  </conditionalFormatting>
  <conditionalFormatting sqref="B20">
    <cfRule type="expression" dxfId="1488" priority="1488">
      <formula>SUM(--ISBLANK($B20:$J20))=COLUMNS($B20:$J20)</formula>
    </cfRule>
  </conditionalFormatting>
  <conditionalFormatting sqref="B20">
    <cfRule type="containsText" dxfId="1487" priority="1486" operator="containsText" text="NP">
      <formula>NOT(ISERROR(SEARCH("NP",B20)))</formula>
    </cfRule>
    <cfRule type="cellIs" dxfId="1486" priority="1487" operator="lessThan">
      <formula>5</formula>
    </cfRule>
  </conditionalFormatting>
  <conditionalFormatting sqref="B20">
    <cfRule type="expression" dxfId="1485" priority="1484">
      <formula>AND(OR(ROW()=CELL("row"),COLUMN()=CELL("col")),NOT(ISBLANK($C20)),NOT(ISBLANK($B20)),ROW()&gt;2,COLUMN()&gt;1)</formula>
    </cfRule>
  </conditionalFormatting>
  <conditionalFormatting sqref="B20">
    <cfRule type="containsText" dxfId="1484" priority="1485" operator="containsText" text="NP">
      <formula>NOT(ISERROR(SEARCH("NP",B20)))</formula>
    </cfRule>
  </conditionalFormatting>
  <conditionalFormatting sqref="B20">
    <cfRule type="expression" dxfId="1483" priority="1483">
      <formula>ISBLANK(B20)</formula>
    </cfRule>
  </conditionalFormatting>
  <conditionalFormatting sqref="B20">
    <cfRule type="containsText" dxfId="1482" priority="1481" operator="containsText" text="Aprobado en otro curso">
      <formula>NOT(ISERROR(SEARCH("Aprobado en otro curso",B20)))</formula>
    </cfRule>
  </conditionalFormatting>
  <conditionalFormatting sqref="B20">
    <cfRule type="expression" dxfId="1481" priority="1480">
      <formula>AND(ISNUMBER(B20), OR(B20&gt;10, B20&lt;0))</formula>
    </cfRule>
  </conditionalFormatting>
  <conditionalFormatting sqref="B20">
    <cfRule type="expression" dxfId="1480" priority="1479">
      <formula>AND(NOT(ISNUMBER(B20)), B20&lt;&gt;"NP", B20&lt;&gt;"Reconocimiento Créditos", B20&lt;&gt;"Aprobado en otro curso")</formula>
    </cfRule>
  </conditionalFormatting>
  <conditionalFormatting sqref="B20">
    <cfRule type="containsText" dxfId="1479" priority="1482" operator="containsText" text="Reconocimiento Créditos">
      <formula>NOT(ISERROR(SEARCH("Reconocimiento Créditos",B20)))</formula>
    </cfRule>
  </conditionalFormatting>
  <conditionalFormatting sqref="B20">
    <cfRule type="containsText" dxfId="1478" priority="1489" operator="containsText" text="Aprobado en otro curso">
      <formula>NOT(ISERROR(SEARCH("Aprobado en otro curso",B20)))</formula>
    </cfRule>
  </conditionalFormatting>
  <conditionalFormatting sqref="A21">
    <cfRule type="expression" dxfId="1477" priority="1477">
      <formula>AND(OR(ROW()=CELL("row"),COLUMN()=CELL("col")),NOT(ISBLANK($C21)),NOT(ISBLANK($B21)),ROW()&gt;2,COLUMN()&gt;1)</formula>
    </cfRule>
  </conditionalFormatting>
  <conditionalFormatting sqref="A21">
    <cfRule type="expression" dxfId="1476" priority="1476">
      <formula>SUM(--ISBLANK($B21:$J21))=COLUMNS($B21:$J21)</formula>
    </cfRule>
  </conditionalFormatting>
  <conditionalFormatting sqref="A21">
    <cfRule type="containsText" dxfId="1475" priority="1478" operator="containsText" text="NP">
      <formula>NOT(ISERROR(SEARCH("NP",A21)))</formula>
    </cfRule>
  </conditionalFormatting>
  <conditionalFormatting sqref="A21">
    <cfRule type="expression" dxfId="1474" priority="1475">
      <formula>ISBLANK(A21)</formula>
    </cfRule>
  </conditionalFormatting>
  <conditionalFormatting sqref="B21">
    <cfRule type="expression" dxfId="1473" priority="1473">
      <formula>SUM(--ISBLANK($B21:$J21))=COLUMNS($B21:$J21)</formula>
    </cfRule>
  </conditionalFormatting>
  <conditionalFormatting sqref="B21">
    <cfRule type="containsText" dxfId="1472" priority="1471" operator="containsText" text="NP">
      <formula>NOT(ISERROR(SEARCH("NP",B21)))</formula>
    </cfRule>
    <cfRule type="cellIs" dxfId="1471" priority="1472" operator="lessThan">
      <formula>5</formula>
    </cfRule>
  </conditionalFormatting>
  <conditionalFormatting sqref="B21">
    <cfRule type="expression" dxfId="1470" priority="1469">
      <formula>AND(OR(ROW()=CELL("row"),COLUMN()=CELL("col")),NOT(ISBLANK($C21)),NOT(ISBLANK($B21)),ROW()&gt;2,COLUMN()&gt;1)</formula>
    </cfRule>
  </conditionalFormatting>
  <conditionalFormatting sqref="B21">
    <cfRule type="containsText" dxfId="1469" priority="1470" operator="containsText" text="NP">
      <formula>NOT(ISERROR(SEARCH("NP",B21)))</formula>
    </cfRule>
  </conditionalFormatting>
  <conditionalFormatting sqref="B21">
    <cfRule type="expression" dxfId="1468" priority="1468">
      <formula>ISBLANK(B21)</formula>
    </cfRule>
  </conditionalFormatting>
  <conditionalFormatting sqref="B21">
    <cfRule type="containsText" dxfId="1467" priority="1466" operator="containsText" text="Aprobado en otro curso">
      <formula>NOT(ISERROR(SEARCH("Aprobado en otro curso",B21)))</formula>
    </cfRule>
  </conditionalFormatting>
  <conditionalFormatting sqref="B21">
    <cfRule type="expression" dxfId="1466" priority="1465">
      <formula>AND(ISNUMBER(B21), OR(B21&gt;10, B21&lt;0))</formula>
    </cfRule>
  </conditionalFormatting>
  <conditionalFormatting sqref="B21">
    <cfRule type="expression" dxfId="1465" priority="1464">
      <formula>AND(NOT(ISNUMBER(B21)), B21&lt;&gt;"NP", B21&lt;&gt;"Reconocimiento Créditos", B21&lt;&gt;"Aprobado en otro curso")</formula>
    </cfRule>
  </conditionalFormatting>
  <conditionalFormatting sqref="B21">
    <cfRule type="containsText" dxfId="1464" priority="1467" operator="containsText" text="Reconocimiento Créditos">
      <formula>NOT(ISERROR(SEARCH("Reconocimiento Créditos",B21)))</formula>
    </cfRule>
  </conditionalFormatting>
  <conditionalFormatting sqref="B21">
    <cfRule type="containsText" dxfId="1463" priority="1474" operator="containsText" text="Aprobado en otro curso">
      <formula>NOT(ISERROR(SEARCH("Aprobado en otro curso",B21)))</formula>
    </cfRule>
  </conditionalFormatting>
  <conditionalFormatting sqref="A22">
    <cfRule type="expression" dxfId="1462" priority="1462">
      <formula>AND(OR(ROW()=CELL("row"),COLUMN()=CELL("col")),NOT(ISBLANK($C22)),NOT(ISBLANK($B22)),ROW()&gt;2,COLUMN()&gt;1)</formula>
    </cfRule>
  </conditionalFormatting>
  <conditionalFormatting sqref="A22">
    <cfRule type="expression" dxfId="1461" priority="1461">
      <formula>SUM(--ISBLANK($B22:$J22))=COLUMNS($B22:$J22)</formula>
    </cfRule>
  </conditionalFormatting>
  <conditionalFormatting sqref="A22">
    <cfRule type="containsText" dxfId="1460" priority="1463" operator="containsText" text="NP">
      <formula>NOT(ISERROR(SEARCH("NP",A22)))</formula>
    </cfRule>
  </conditionalFormatting>
  <conditionalFormatting sqref="A22">
    <cfRule type="expression" dxfId="1459" priority="1460">
      <formula>ISBLANK(A22)</formula>
    </cfRule>
  </conditionalFormatting>
  <conditionalFormatting sqref="B22">
    <cfRule type="expression" dxfId="1458" priority="1458">
      <formula>SUM(--ISBLANK($B22:$J22))=COLUMNS($B22:$J22)</formula>
    </cfRule>
  </conditionalFormatting>
  <conditionalFormatting sqref="B22">
    <cfRule type="containsText" dxfId="1457" priority="1456" operator="containsText" text="NP">
      <formula>NOT(ISERROR(SEARCH("NP",B22)))</formula>
    </cfRule>
    <cfRule type="cellIs" dxfId="1456" priority="1457" operator="lessThan">
      <formula>5</formula>
    </cfRule>
  </conditionalFormatting>
  <conditionalFormatting sqref="B22">
    <cfRule type="expression" dxfId="1455" priority="1454">
      <formula>AND(OR(ROW()=CELL("row"),COLUMN()=CELL("col")),NOT(ISBLANK($C22)),NOT(ISBLANK($B22)),ROW()&gt;2,COLUMN()&gt;1)</formula>
    </cfRule>
  </conditionalFormatting>
  <conditionalFormatting sqref="B22">
    <cfRule type="containsText" dxfId="1454" priority="1455" operator="containsText" text="NP">
      <formula>NOT(ISERROR(SEARCH("NP",B22)))</formula>
    </cfRule>
  </conditionalFormatting>
  <conditionalFormatting sqref="B22">
    <cfRule type="expression" dxfId="1453" priority="1453">
      <formula>ISBLANK(B22)</formula>
    </cfRule>
  </conditionalFormatting>
  <conditionalFormatting sqref="B22">
    <cfRule type="containsText" dxfId="1452" priority="1451" operator="containsText" text="Aprobado en otro curso">
      <formula>NOT(ISERROR(SEARCH("Aprobado en otro curso",B22)))</formula>
    </cfRule>
  </conditionalFormatting>
  <conditionalFormatting sqref="B22">
    <cfRule type="expression" dxfId="1451" priority="1450">
      <formula>AND(ISNUMBER(B22), OR(B22&gt;10, B22&lt;0))</formula>
    </cfRule>
  </conditionalFormatting>
  <conditionalFormatting sqref="B22">
    <cfRule type="expression" dxfId="1450" priority="1449">
      <formula>AND(NOT(ISNUMBER(B22)), B22&lt;&gt;"NP", B22&lt;&gt;"Reconocimiento Créditos", B22&lt;&gt;"Aprobado en otro curso")</formula>
    </cfRule>
  </conditionalFormatting>
  <conditionalFormatting sqref="B22">
    <cfRule type="containsText" dxfId="1449" priority="1452" operator="containsText" text="Reconocimiento Créditos">
      <formula>NOT(ISERROR(SEARCH("Reconocimiento Créditos",B22)))</formula>
    </cfRule>
  </conditionalFormatting>
  <conditionalFormatting sqref="B22">
    <cfRule type="containsText" dxfId="1448" priority="1459" operator="containsText" text="Aprobado en otro curso">
      <formula>NOT(ISERROR(SEARCH("Aprobado en otro curso",B22)))</formula>
    </cfRule>
  </conditionalFormatting>
  <conditionalFormatting sqref="A23">
    <cfRule type="expression" dxfId="1447" priority="1447">
      <formula>AND(OR(ROW()=CELL("row"),COLUMN()=CELL("col")),NOT(ISBLANK($C23)),NOT(ISBLANK($B23)),ROW()&gt;2,COLUMN()&gt;1)</formula>
    </cfRule>
  </conditionalFormatting>
  <conditionalFormatting sqref="A23">
    <cfRule type="expression" dxfId="1446" priority="1446">
      <formula>SUM(--ISBLANK($B23:$J23))=COLUMNS($B23:$J23)</formula>
    </cfRule>
  </conditionalFormatting>
  <conditionalFormatting sqref="A23">
    <cfRule type="containsText" dxfId="1445" priority="1448" operator="containsText" text="NP">
      <formula>NOT(ISERROR(SEARCH("NP",A23)))</formula>
    </cfRule>
  </conditionalFormatting>
  <conditionalFormatting sqref="A23">
    <cfRule type="expression" dxfId="1444" priority="1445">
      <formula>ISBLANK(A23)</formula>
    </cfRule>
  </conditionalFormatting>
  <conditionalFormatting sqref="B23">
    <cfRule type="expression" dxfId="1443" priority="1443">
      <formula>SUM(--ISBLANK($B23:$J23))=COLUMNS($B23:$J23)</formula>
    </cfRule>
  </conditionalFormatting>
  <conditionalFormatting sqref="B23">
    <cfRule type="containsText" dxfId="1442" priority="1441" operator="containsText" text="NP">
      <formula>NOT(ISERROR(SEARCH("NP",B23)))</formula>
    </cfRule>
    <cfRule type="cellIs" dxfId="1441" priority="1442" operator="lessThan">
      <formula>5</formula>
    </cfRule>
  </conditionalFormatting>
  <conditionalFormatting sqref="B23">
    <cfRule type="expression" dxfId="1440" priority="1439">
      <formula>AND(OR(ROW()=CELL("row"),COLUMN()=CELL("col")),NOT(ISBLANK($C23)),NOT(ISBLANK($B23)),ROW()&gt;2,COLUMN()&gt;1)</formula>
    </cfRule>
  </conditionalFormatting>
  <conditionalFormatting sqref="B23">
    <cfRule type="containsText" dxfId="1439" priority="1440" operator="containsText" text="NP">
      <formula>NOT(ISERROR(SEARCH("NP",B23)))</formula>
    </cfRule>
  </conditionalFormatting>
  <conditionalFormatting sqref="B23">
    <cfRule type="expression" dxfId="1438" priority="1438">
      <formula>ISBLANK(B23)</formula>
    </cfRule>
  </conditionalFormatting>
  <conditionalFormatting sqref="B23">
    <cfRule type="containsText" dxfId="1437" priority="1436" operator="containsText" text="Aprobado en otro curso">
      <formula>NOT(ISERROR(SEARCH("Aprobado en otro curso",B23)))</formula>
    </cfRule>
  </conditionalFormatting>
  <conditionalFormatting sqref="B23">
    <cfRule type="expression" dxfId="1436" priority="1435">
      <formula>AND(ISNUMBER(B23), OR(B23&gt;10, B23&lt;0))</formula>
    </cfRule>
  </conditionalFormatting>
  <conditionalFormatting sqref="B23">
    <cfRule type="expression" dxfId="1435" priority="1434">
      <formula>AND(NOT(ISNUMBER(B23)), B23&lt;&gt;"NP", B23&lt;&gt;"Reconocimiento Créditos", B23&lt;&gt;"Aprobado en otro curso")</formula>
    </cfRule>
  </conditionalFormatting>
  <conditionalFormatting sqref="B23">
    <cfRule type="containsText" dxfId="1434" priority="1437" operator="containsText" text="Reconocimiento Créditos">
      <formula>NOT(ISERROR(SEARCH("Reconocimiento Créditos",B23)))</formula>
    </cfRule>
  </conditionalFormatting>
  <conditionalFormatting sqref="B23">
    <cfRule type="containsText" dxfId="1433" priority="1444" operator="containsText" text="Aprobado en otro curso">
      <formula>NOT(ISERROR(SEARCH("Aprobado en otro curso",B23)))</formula>
    </cfRule>
  </conditionalFormatting>
  <conditionalFormatting sqref="A24">
    <cfRule type="expression" dxfId="1432" priority="1432">
      <formula>AND(OR(ROW()=CELL("row"),COLUMN()=CELL("col")),NOT(ISBLANK($C24)),NOT(ISBLANK($B24)),ROW()&gt;2,COLUMN()&gt;1)</formula>
    </cfRule>
  </conditionalFormatting>
  <conditionalFormatting sqref="A24">
    <cfRule type="expression" dxfId="1431" priority="1431">
      <formula>SUM(--ISBLANK($B24:$J24))=COLUMNS($B24:$J24)</formula>
    </cfRule>
  </conditionalFormatting>
  <conditionalFormatting sqref="A24">
    <cfRule type="containsText" dxfId="1430" priority="1433" operator="containsText" text="NP">
      <formula>NOT(ISERROR(SEARCH("NP",A24)))</formula>
    </cfRule>
  </conditionalFormatting>
  <conditionalFormatting sqref="A24">
    <cfRule type="expression" dxfId="1429" priority="1430">
      <formula>ISBLANK(A24)</formula>
    </cfRule>
  </conditionalFormatting>
  <conditionalFormatting sqref="B24">
    <cfRule type="expression" dxfId="1428" priority="1428">
      <formula>SUM(--ISBLANK($B24:$J24))=COLUMNS($B24:$J24)</formula>
    </cfRule>
  </conditionalFormatting>
  <conditionalFormatting sqref="B24">
    <cfRule type="containsText" dxfId="1427" priority="1426" operator="containsText" text="NP">
      <formula>NOT(ISERROR(SEARCH("NP",B24)))</formula>
    </cfRule>
    <cfRule type="cellIs" dxfId="1426" priority="1427" operator="lessThan">
      <formula>5</formula>
    </cfRule>
  </conditionalFormatting>
  <conditionalFormatting sqref="B24">
    <cfRule type="expression" dxfId="1425" priority="1424">
      <formula>AND(OR(ROW()=CELL("row"),COLUMN()=CELL("col")),NOT(ISBLANK($C24)),NOT(ISBLANK($B24)),ROW()&gt;2,COLUMN()&gt;1)</formula>
    </cfRule>
  </conditionalFormatting>
  <conditionalFormatting sqref="B24">
    <cfRule type="containsText" dxfId="1424" priority="1425" operator="containsText" text="NP">
      <formula>NOT(ISERROR(SEARCH("NP",B24)))</formula>
    </cfRule>
  </conditionalFormatting>
  <conditionalFormatting sqref="B24">
    <cfRule type="expression" dxfId="1423" priority="1423">
      <formula>ISBLANK(B24)</formula>
    </cfRule>
  </conditionalFormatting>
  <conditionalFormatting sqref="B24">
    <cfRule type="containsText" dxfId="1422" priority="1421" operator="containsText" text="Aprobado en otro curso">
      <formula>NOT(ISERROR(SEARCH("Aprobado en otro curso",B24)))</formula>
    </cfRule>
  </conditionalFormatting>
  <conditionalFormatting sqref="B24">
    <cfRule type="expression" dxfId="1421" priority="1420">
      <formula>AND(ISNUMBER(B24), OR(B24&gt;10, B24&lt;0))</formula>
    </cfRule>
  </conditionalFormatting>
  <conditionalFormatting sqref="B24">
    <cfRule type="expression" dxfId="1420" priority="1419">
      <formula>AND(NOT(ISNUMBER(B24)), B24&lt;&gt;"NP", B24&lt;&gt;"Reconocimiento Créditos", B24&lt;&gt;"Aprobado en otro curso")</formula>
    </cfRule>
  </conditionalFormatting>
  <conditionalFormatting sqref="B24">
    <cfRule type="containsText" dxfId="1419" priority="1422" operator="containsText" text="Reconocimiento Créditos">
      <formula>NOT(ISERROR(SEARCH("Reconocimiento Créditos",B24)))</formula>
    </cfRule>
  </conditionalFormatting>
  <conditionalFormatting sqref="B24">
    <cfRule type="containsText" dxfId="1418" priority="1429" operator="containsText" text="Aprobado en otro curso">
      <formula>NOT(ISERROR(SEARCH("Aprobado en otro curso",B24)))</formula>
    </cfRule>
  </conditionalFormatting>
  <conditionalFormatting sqref="A25">
    <cfRule type="expression" dxfId="1417" priority="1417">
      <formula>AND(OR(ROW()=CELL("row"),COLUMN()=CELL("col")),NOT(ISBLANK($C25)),NOT(ISBLANK($B25)),ROW()&gt;2,COLUMN()&gt;1)</formula>
    </cfRule>
  </conditionalFormatting>
  <conditionalFormatting sqref="A25">
    <cfRule type="expression" dxfId="1416" priority="1416">
      <formula>SUM(--ISBLANK($B25:$J25))=COLUMNS($B25:$J25)</formula>
    </cfRule>
  </conditionalFormatting>
  <conditionalFormatting sqref="A25">
    <cfRule type="containsText" dxfId="1415" priority="1418" operator="containsText" text="NP">
      <formula>NOT(ISERROR(SEARCH("NP",A25)))</formula>
    </cfRule>
  </conditionalFormatting>
  <conditionalFormatting sqref="A25">
    <cfRule type="expression" dxfId="1414" priority="1415">
      <formula>ISBLANK(A25)</formula>
    </cfRule>
  </conditionalFormatting>
  <conditionalFormatting sqref="B25">
    <cfRule type="expression" dxfId="1413" priority="1413">
      <formula>SUM(--ISBLANK($B25:$J25))=COLUMNS($B25:$J25)</formula>
    </cfRule>
  </conditionalFormatting>
  <conditionalFormatting sqref="B25">
    <cfRule type="containsText" dxfId="1412" priority="1411" operator="containsText" text="NP">
      <formula>NOT(ISERROR(SEARCH("NP",B25)))</formula>
    </cfRule>
    <cfRule type="cellIs" dxfId="1411" priority="1412" operator="lessThan">
      <formula>5</formula>
    </cfRule>
  </conditionalFormatting>
  <conditionalFormatting sqref="B25">
    <cfRule type="expression" dxfId="1410" priority="1409">
      <formula>AND(OR(ROW()=CELL("row"),COLUMN()=CELL("col")),NOT(ISBLANK($C25)),NOT(ISBLANK($B25)),ROW()&gt;2,COLUMN()&gt;1)</formula>
    </cfRule>
  </conditionalFormatting>
  <conditionalFormatting sqref="B25">
    <cfRule type="containsText" dxfId="1409" priority="1410" operator="containsText" text="NP">
      <formula>NOT(ISERROR(SEARCH("NP",B25)))</formula>
    </cfRule>
  </conditionalFormatting>
  <conditionalFormatting sqref="B25">
    <cfRule type="expression" dxfId="1408" priority="1408">
      <formula>ISBLANK(B25)</formula>
    </cfRule>
  </conditionalFormatting>
  <conditionalFormatting sqref="B25">
    <cfRule type="containsText" dxfId="1407" priority="1406" operator="containsText" text="Aprobado en otro curso">
      <formula>NOT(ISERROR(SEARCH("Aprobado en otro curso",B25)))</formula>
    </cfRule>
  </conditionalFormatting>
  <conditionalFormatting sqref="B25">
    <cfRule type="expression" dxfId="1406" priority="1405">
      <formula>AND(ISNUMBER(B25), OR(B25&gt;10, B25&lt;0))</formula>
    </cfRule>
  </conditionalFormatting>
  <conditionalFormatting sqref="B25">
    <cfRule type="expression" dxfId="1405" priority="1404">
      <formula>AND(NOT(ISNUMBER(B25)), B25&lt;&gt;"NP", B25&lt;&gt;"Reconocimiento Créditos", B25&lt;&gt;"Aprobado en otro curso")</formula>
    </cfRule>
  </conditionalFormatting>
  <conditionalFormatting sqref="B25">
    <cfRule type="containsText" dxfId="1404" priority="1407" operator="containsText" text="Reconocimiento Créditos">
      <formula>NOT(ISERROR(SEARCH("Reconocimiento Créditos",B25)))</formula>
    </cfRule>
  </conditionalFormatting>
  <conditionalFormatting sqref="B25">
    <cfRule type="containsText" dxfId="1403" priority="1414" operator="containsText" text="Aprobado en otro curso">
      <formula>NOT(ISERROR(SEARCH("Aprobado en otro curso",B25)))</formula>
    </cfRule>
  </conditionalFormatting>
  <conditionalFormatting sqref="A26">
    <cfRule type="expression" dxfId="1402" priority="1402">
      <formula>AND(OR(ROW()=CELL("row"),COLUMN()=CELL("col")),NOT(ISBLANK($C26)),NOT(ISBLANK($B26)),ROW()&gt;2,COLUMN()&gt;1)</formula>
    </cfRule>
  </conditionalFormatting>
  <conditionalFormatting sqref="A26">
    <cfRule type="expression" dxfId="1401" priority="1401">
      <formula>SUM(--ISBLANK($B26:$J26))=COLUMNS($B26:$J26)</formula>
    </cfRule>
  </conditionalFormatting>
  <conditionalFormatting sqref="A26">
    <cfRule type="containsText" dxfId="1400" priority="1403" operator="containsText" text="NP">
      <formula>NOT(ISERROR(SEARCH("NP",A26)))</formula>
    </cfRule>
  </conditionalFormatting>
  <conditionalFormatting sqref="A26">
    <cfRule type="expression" dxfId="1399" priority="1400">
      <formula>ISBLANK(A26)</formula>
    </cfRule>
  </conditionalFormatting>
  <conditionalFormatting sqref="B26">
    <cfRule type="expression" dxfId="1398" priority="1398">
      <formula>SUM(--ISBLANK($B26:$J26))=COLUMNS($B26:$J26)</formula>
    </cfRule>
  </conditionalFormatting>
  <conditionalFormatting sqref="B26">
    <cfRule type="containsText" dxfId="1397" priority="1396" operator="containsText" text="NP">
      <formula>NOT(ISERROR(SEARCH("NP",B26)))</formula>
    </cfRule>
    <cfRule type="cellIs" dxfId="1396" priority="1397" operator="lessThan">
      <formula>5</formula>
    </cfRule>
  </conditionalFormatting>
  <conditionalFormatting sqref="B26">
    <cfRule type="expression" dxfId="1395" priority="1394">
      <formula>AND(OR(ROW()=CELL("row"),COLUMN()=CELL("col")),NOT(ISBLANK($C26)),NOT(ISBLANK($B26)),ROW()&gt;2,COLUMN()&gt;1)</formula>
    </cfRule>
  </conditionalFormatting>
  <conditionalFormatting sqref="B26">
    <cfRule type="containsText" dxfId="1394" priority="1395" operator="containsText" text="NP">
      <formula>NOT(ISERROR(SEARCH("NP",B26)))</formula>
    </cfRule>
  </conditionalFormatting>
  <conditionalFormatting sqref="B26">
    <cfRule type="expression" dxfId="1393" priority="1393">
      <formula>ISBLANK(B26)</formula>
    </cfRule>
  </conditionalFormatting>
  <conditionalFormatting sqref="B26">
    <cfRule type="containsText" dxfId="1392" priority="1391" operator="containsText" text="Aprobado en otro curso">
      <formula>NOT(ISERROR(SEARCH("Aprobado en otro curso",B26)))</formula>
    </cfRule>
  </conditionalFormatting>
  <conditionalFormatting sqref="B26">
    <cfRule type="expression" dxfId="1391" priority="1390">
      <formula>AND(ISNUMBER(B26), OR(B26&gt;10, B26&lt;0))</formula>
    </cfRule>
  </conditionalFormatting>
  <conditionalFormatting sqref="B26">
    <cfRule type="expression" dxfId="1390" priority="1389">
      <formula>AND(NOT(ISNUMBER(B26)), B26&lt;&gt;"NP", B26&lt;&gt;"Reconocimiento Créditos", B26&lt;&gt;"Aprobado en otro curso")</formula>
    </cfRule>
  </conditionalFormatting>
  <conditionalFormatting sqref="B26">
    <cfRule type="containsText" dxfId="1389" priority="1392" operator="containsText" text="Reconocimiento Créditos">
      <formula>NOT(ISERROR(SEARCH("Reconocimiento Créditos",B26)))</formula>
    </cfRule>
  </conditionalFormatting>
  <conditionalFormatting sqref="B26">
    <cfRule type="containsText" dxfId="1388" priority="1399" operator="containsText" text="Aprobado en otro curso">
      <formula>NOT(ISERROR(SEARCH("Aprobado en otro curso",B26)))</formula>
    </cfRule>
  </conditionalFormatting>
  <conditionalFormatting sqref="A27">
    <cfRule type="expression" dxfId="1387" priority="1387">
      <formula>AND(OR(ROW()=CELL("row"),COLUMN()=CELL("col")),NOT(ISBLANK($C27)),NOT(ISBLANK($B27)),ROW()&gt;2,COLUMN()&gt;1)</formula>
    </cfRule>
  </conditionalFormatting>
  <conditionalFormatting sqref="A27">
    <cfRule type="expression" dxfId="1386" priority="1386">
      <formula>SUM(--ISBLANK($B27:$J27))=COLUMNS($B27:$J27)</formula>
    </cfRule>
  </conditionalFormatting>
  <conditionalFormatting sqref="A27">
    <cfRule type="containsText" dxfId="1385" priority="1388" operator="containsText" text="NP">
      <formula>NOT(ISERROR(SEARCH("NP",A27)))</formula>
    </cfRule>
  </conditionalFormatting>
  <conditionalFormatting sqref="A27">
    <cfRule type="expression" dxfId="1384" priority="1385">
      <formula>ISBLANK(A27)</formula>
    </cfRule>
  </conditionalFormatting>
  <conditionalFormatting sqref="B27">
    <cfRule type="expression" dxfId="1383" priority="1383">
      <formula>SUM(--ISBLANK($B27:$J27))=COLUMNS($B27:$J27)</formula>
    </cfRule>
  </conditionalFormatting>
  <conditionalFormatting sqref="B27">
    <cfRule type="containsText" dxfId="1382" priority="1381" operator="containsText" text="NP">
      <formula>NOT(ISERROR(SEARCH("NP",B27)))</formula>
    </cfRule>
    <cfRule type="cellIs" dxfId="1381" priority="1382" operator="lessThan">
      <formula>5</formula>
    </cfRule>
  </conditionalFormatting>
  <conditionalFormatting sqref="B27">
    <cfRule type="expression" dxfId="1380" priority="1379">
      <formula>AND(OR(ROW()=CELL("row"),COLUMN()=CELL("col")),NOT(ISBLANK($C27)),NOT(ISBLANK($B27)),ROW()&gt;2,COLUMN()&gt;1)</formula>
    </cfRule>
  </conditionalFormatting>
  <conditionalFormatting sqref="B27">
    <cfRule type="containsText" dxfId="1379" priority="1380" operator="containsText" text="NP">
      <formula>NOT(ISERROR(SEARCH("NP",B27)))</formula>
    </cfRule>
  </conditionalFormatting>
  <conditionalFormatting sqref="B27">
    <cfRule type="expression" dxfId="1378" priority="1378">
      <formula>ISBLANK(B27)</formula>
    </cfRule>
  </conditionalFormatting>
  <conditionalFormatting sqref="B27">
    <cfRule type="containsText" dxfId="1377" priority="1376" operator="containsText" text="Aprobado en otro curso">
      <formula>NOT(ISERROR(SEARCH("Aprobado en otro curso",B27)))</formula>
    </cfRule>
  </conditionalFormatting>
  <conditionalFormatting sqref="B27">
    <cfRule type="expression" dxfId="1376" priority="1375">
      <formula>AND(ISNUMBER(B27), OR(B27&gt;10, B27&lt;0))</formula>
    </cfRule>
  </conditionalFormatting>
  <conditionalFormatting sqref="B27">
    <cfRule type="expression" dxfId="1375" priority="1374">
      <formula>AND(NOT(ISNUMBER(B27)), B27&lt;&gt;"NP", B27&lt;&gt;"Reconocimiento Créditos", B27&lt;&gt;"Aprobado en otro curso")</formula>
    </cfRule>
  </conditionalFormatting>
  <conditionalFormatting sqref="B27">
    <cfRule type="containsText" dxfId="1374" priority="1377" operator="containsText" text="Reconocimiento Créditos">
      <formula>NOT(ISERROR(SEARCH("Reconocimiento Créditos",B27)))</formula>
    </cfRule>
  </conditionalFormatting>
  <conditionalFormatting sqref="B27">
    <cfRule type="containsText" dxfId="1373" priority="1384" operator="containsText" text="Aprobado en otro curso">
      <formula>NOT(ISERROR(SEARCH("Aprobado en otro curso",B27)))</formula>
    </cfRule>
  </conditionalFormatting>
  <conditionalFormatting sqref="A28">
    <cfRule type="expression" dxfId="1372" priority="1372">
      <formula>AND(OR(ROW()=CELL("row"),COLUMN()=CELL("col")),NOT(ISBLANK($C28)),NOT(ISBLANK($B28)),ROW()&gt;2,COLUMN()&gt;1)</formula>
    </cfRule>
  </conditionalFormatting>
  <conditionalFormatting sqref="A28">
    <cfRule type="expression" dxfId="1371" priority="1371">
      <formula>SUM(--ISBLANK($B28:$J28))=COLUMNS($B28:$J28)</formula>
    </cfRule>
  </conditionalFormatting>
  <conditionalFormatting sqref="A28">
    <cfRule type="containsText" dxfId="1370" priority="1373" operator="containsText" text="NP">
      <formula>NOT(ISERROR(SEARCH("NP",A28)))</formula>
    </cfRule>
  </conditionalFormatting>
  <conditionalFormatting sqref="A28">
    <cfRule type="expression" dxfId="1369" priority="1370">
      <formula>ISBLANK(A28)</formula>
    </cfRule>
  </conditionalFormatting>
  <conditionalFormatting sqref="B28">
    <cfRule type="expression" dxfId="1368" priority="1368">
      <formula>SUM(--ISBLANK($B28:$J28))=COLUMNS($B28:$J28)</formula>
    </cfRule>
  </conditionalFormatting>
  <conditionalFormatting sqref="B28">
    <cfRule type="containsText" dxfId="1367" priority="1366" operator="containsText" text="NP">
      <formula>NOT(ISERROR(SEARCH("NP",B28)))</formula>
    </cfRule>
    <cfRule type="cellIs" dxfId="1366" priority="1367" operator="lessThan">
      <formula>5</formula>
    </cfRule>
  </conditionalFormatting>
  <conditionalFormatting sqref="B28">
    <cfRule type="expression" dxfId="1365" priority="1364">
      <formula>AND(OR(ROW()=CELL("row"),COLUMN()=CELL("col")),NOT(ISBLANK($C28)),NOT(ISBLANK($B28)),ROW()&gt;2,COLUMN()&gt;1)</formula>
    </cfRule>
  </conditionalFormatting>
  <conditionalFormatting sqref="B28">
    <cfRule type="containsText" dxfId="1364" priority="1365" operator="containsText" text="NP">
      <formula>NOT(ISERROR(SEARCH("NP",B28)))</formula>
    </cfRule>
  </conditionalFormatting>
  <conditionalFormatting sqref="B28">
    <cfRule type="expression" dxfId="1363" priority="1363">
      <formula>ISBLANK(B28)</formula>
    </cfRule>
  </conditionalFormatting>
  <conditionalFormatting sqref="B28">
    <cfRule type="containsText" dxfId="1362" priority="1361" operator="containsText" text="Aprobado en otro curso">
      <formula>NOT(ISERROR(SEARCH("Aprobado en otro curso",B28)))</formula>
    </cfRule>
  </conditionalFormatting>
  <conditionalFormatting sqref="B28">
    <cfRule type="expression" dxfId="1361" priority="1360">
      <formula>AND(ISNUMBER(B28), OR(B28&gt;10, B28&lt;0))</formula>
    </cfRule>
  </conditionalFormatting>
  <conditionalFormatting sqref="B28">
    <cfRule type="expression" dxfId="1360" priority="1359">
      <formula>AND(NOT(ISNUMBER(B28)), B28&lt;&gt;"NP", B28&lt;&gt;"Reconocimiento Créditos", B28&lt;&gt;"Aprobado en otro curso")</formula>
    </cfRule>
  </conditionalFormatting>
  <conditionalFormatting sqref="B28">
    <cfRule type="containsText" dxfId="1359" priority="1362" operator="containsText" text="Reconocimiento Créditos">
      <formula>NOT(ISERROR(SEARCH("Reconocimiento Créditos",B28)))</formula>
    </cfRule>
  </conditionalFormatting>
  <conditionalFormatting sqref="B28">
    <cfRule type="containsText" dxfId="1358" priority="1369" operator="containsText" text="Aprobado en otro curso">
      <formula>NOT(ISERROR(SEARCH("Aprobado en otro curso",B28)))</formula>
    </cfRule>
  </conditionalFormatting>
  <conditionalFormatting sqref="A29">
    <cfRule type="expression" dxfId="1357" priority="1357">
      <formula>AND(OR(ROW()=CELL("row"),COLUMN()=CELL("col")),NOT(ISBLANK($C29)),NOT(ISBLANK($B29)),ROW()&gt;2,COLUMN()&gt;1)</formula>
    </cfRule>
  </conditionalFormatting>
  <conditionalFormatting sqref="A29">
    <cfRule type="expression" dxfId="1356" priority="1356">
      <formula>SUM(--ISBLANK($B29:$J29))=COLUMNS($B29:$J29)</formula>
    </cfRule>
  </conditionalFormatting>
  <conditionalFormatting sqref="A29">
    <cfRule type="containsText" dxfId="1355" priority="1358" operator="containsText" text="NP">
      <formula>NOT(ISERROR(SEARCH("NP",A29)))</formula>
    </cfRule>
  </conditionalFormatting>
  <conditionalFormatting sqref="A29">
    <cfRule type="expression" dxfId="1354" priority="1355">
      <formula>ISBLANK(A29)</formula>
    </cfRule>
  </conditionalFormatting>
  <conditionalFormatting sqref="B29">
    <cfRule type="expression" dxfId="1353" priority="1353">
      <formula>SUM(--ISBLANK($B29:$J29))=COLUMNS($B29:$J29)</formula>
    </cfRule>
  </conditionalFormatting>
  <conditionalFormatting sqref="B29">
    <cfRule type="containsText" dxfId="1352" priority="1351" operator="containsText" text="NP">
      <formula>NOT(ISERROR(SEARCH("NP",B29)))</formula>
    </cfRule>
    <cfRule type="cellIs" dxfId="1351" priority="1352" operator="lessThan">
      <formula>5</formula>
    </cfRule>
  </conditionalFormatting>
  <conditionalFormatting sqref="B29">
    <cfRule type="expression" dxfId="1350" priority="1349">
      <formula>AND(OR(ROW()=CELL("row"),COLUMN()=CELL("col")),NOT(ISBLANK($C29)),NOT(ISBLANK($B29)),ROW()&gt;2,COLUMN()&gt;1)</formula>
    </cfRule>
  </conditionalFormatting>
  <conditionalFormatting sqref="B29">
    <cfRule type="containsText" dxfId="1349" priority="1350" operator="containsText" text="NP">
      <formula>NOT(ISERROR(SEARCH("NP",B29)))</formula>
    </cfRule>
  </conditionalFormatting>
  <conditionalFormatting sqref="B29">
    <cfRule type="expression" dxfId="1348" priority="1348">
      <formula>ISBLANK(B29)</formula>
    </cfRule>
  </conditionalFormatting>
  <conditionalFormatting sqref="B29">
    <cfRule type="containsText" dxfId="1347" priority="1346" operator="containsText" text="Aprobado en otro curso">
      <formula>NOT(ISERROR(SEARCH("Aprobado en otro curso",B29)))</formula>
    </cfRule>
  </conditionalFormatting>
  <conditionalFormatting sqref="B29">
    <cfRule type="expression" dxfId="1346" priority="1345">
      <formula>AND(ISNUMBER(B29), OR(B29&gt;10, B29&lt;0))</formula>
    </cfRule>
  </conditionalFormatting>
  <conditionalFormatting sqref="B29">
    <cfRule type="expression" dxfId="1345" priority="1344">
      <formula>AND(NOT(ISNUMBER(B29)), B29&lt;&gt;"NP", B29&lt;&gt;"Reconocimiento Créditos", B29&lt;&gt;"Aprobado en otro curso")</formula>
    </cfRule>
  </conditionalFormatting>
  <conditionalFormatting sqref="B29">
    <cfRule type="containsText" dxfId="1344" priority="1347" operator="containsText" text="Reconocimiento Créditos">
      <formula>NOT(ISERROR(SEARCH("Reconocimiento Créditos",B29)))</formula>
    </cfRule>
  </conditionalFormatting>
  <conditionalFormatting sqref="B29">
    <cfRule type="containsText" dxfId="1343" priority="1354" operator="containsText" text="Aprobado en otro curso">
      <formula>NOT(ISERROR(SEARCH("Aprobado en otro curso",B29)))</formula>
    </cfRule>
  </conditionalFormatting>
  <conditionalFormatting sqref="A30">
    <cfRule type="expression" dxfId="1342" priority="1342">
      <formula>AND(OR(ROW()=CELL("row"),COLUMN()=CELL("col")),NOT(ISBLANK($C30)),NOT(ISBLANK($B30)),ROW()&gt;2,COLUMN()&gt;1)</formula>
    </cfRule>
  </conditionalFormatting>
  <conditionalFormatting sqref="A30">
    <cfRule type="expression" dxfId="1341" priority="1341">
      <formula>SUM(--ISBLANK($B30:$J30))=COLUMNS($B30:$J30)</formula>
    </cfRule>
  </conditionalFormatting>
  <conditionalFormatting sqref="A30">
    <cfRule type="containsText" dxfId="1340" priority="1343" operator="containsText" text="NP">
      <formula>NOT(ISERROR(SEARCH("NP",A30)))</formula>
    </cfRule>
  </conditionalFormatting>
  <conditionalFormatting sqref="A30">
    <cfRule type="expression" dxfId="1339" priority="1340">
      <formula>ISBLANK(A30)</formula>
    </cfRule>
  </conditionalFormatting>
  <conditionalFormatting sqref="B30">
    <cfRule type="expression" dxfId="1338" priority="1338">
      <formula>SUM(--ISBLANK($B30:$J30))=COLUMNS($B30:$J30)</formula>
    </cfRule>
  </conditionalFormatting>
  <conditionalFormatting sqref="B30">
    <cfRule type="containsText" dxfId="1337" priority="1336" operator="containsText" text="NP">
      <formula>NOT(ISERROR(SEARCH("NP",B30)))</formula>
    </cfRule>
    <cfRule type="cellIs" dxfId="1336" priority="1337" operator="lessThan">
      <formula>5</formula>
    </cfRule>
  </conditionalFormatting>
  <conditionalFormatting sqref="B30">
    <cfRule type="expression" dxfId="1335" priority="1334">
      <formula>AND(OR(ROW()=CELL("row"),COLUMN()=CELL("col")),NOT(ISBLANK($C30)),NOT(ISBLANK($B30)),ROW()&gt;2,COLUMN()&gt;1)</formula>
    </cfRule>
  </conditionalFormatting>
  <conditionalFormatting sqref="B30">
    <cfRule type="containsText" dxfId="1334" priority="1335" operator="containsText" text="NP">
      <formula>NOT(ISERROR(SEARCH("NP",B30)))</formula>
    </cfRule>
  </conditionalFormatting>
  <conditionalFormatting sqref="B30">
    <cfRule type="expression" dxfId="1333" priority="1333">
      <formula>ISBLANK(B30)</formula>
    </cfRule>
  </conditionalFormatting>
  <conditionalFormatting sqref="B30">
    <cfRule type="containsText" dxfId="1332" priority="1331" operator="containsText" text="Aprobado en otro curso">
      <formula>NOT(ISERROR(SEARCH("Aprobado en otro curso",B30)))</formula>
    </cfRule>
  </conditionalFormatting>
  <conditionalFormatting sqref="B30">
    <cfRule type="expression" dxfId="1331" priority="1330">
      <formula>AND(ISNUMBER(B30), OR(B30&gt;10, B30&lt;0))</formula>
    </cfRule>
  </conditionalFormatting>
  <conditionalFormatting sqref="B30">
    <cfRule type="containsText" dxfId="1330" priority="1332" operator="containsText" text="Reconocimiento Créditos">
      <formula>NOT(ISERROR(SEARCH("Reconocimiento Créditos",B30)))</formula>
    </cfRule>
  </conditionalFormatting>
  <conditionalFormatting sqref="B30">
    <cfRule type="containsText" dxfId="1329" priority="1339" operator="containsText" text="Aprobado en otro curso">
      <formula>NOT(ISERROR(SEARCH("Aprobado en otro curso",B30)))</formula>
    </cfRule>
  </conditionalFormatting>
  <conditionalFormatting sqref="A31">
    <cfRule type="expression" dxfId="1328" priority="1328">
      <formula>AND(OR(ROW()=CELL("row"),COLUMN()=CELL("col")),NOT(ISBLANK($C31)),NOT(ISBLANK($B31)),ROW()&gt;2,COLUMN()&gt;1)</formula>
    </cfRule>
  </conditionalFormatting>
  <conditionalFormatting sqref="A31">
    <cfRule type="expression" dxfId="1327" priority="1327">
      <formula>SUM(--ISBLANK($B31:$J31))=COLUMNS($B31:$J31)</formula>
    </cfRule>
  </conditionalFormatting>
  <conditionalFormatting sqref="A31">
    <cfRule type="containsText" dxfId="1326" priority="1329" operator="containsText" text="NP">
      <formula>NOT(ISERROR(SEARCH("NP",A31)))</formula>
    </cfRule>
  </conditionalFormatting>
  <conditionalFormatting sqref="A31">
    <cfRule type="expression" dxfId="1325" priority="1326">
      <formula>ISBLANK(A31)</formula>
    </cfRule>
  </conditionalFormatting>
  <conditionalFormatting sqref="B31">
    <cfRule type="expression" dxfId="1324" priority="1324">
      <formula>SUM(--ISBLANK($B31:$J31))=COLUMNS($B31:$J31)</formula>
    </cfRule>
  </conditionalFormatting>
  <conditionalFormatting sqref="B31">
    <cfRule type="containsText" dxfId="1323" priority="1322" operator="containsText" text="NP">
      <formula>NOT(ISERROR(SEARCH("NP",B31)))</formula>
    </cfRule>
    <cfRule type="cellIs" dxfId="1322" priority="1323" operator="lessThan">
      <formula>5</formula>
    </cfRule>
  </conditionalFormatting>
  <conditionalFormatting sqref="B31">
    <cfRule type="expression" dxfId="1321" priority="1320">
      <formula>AND(OR(ROW()=CELL("row"),COLUMN()=CELL("col")),NOT(ISBLANK($C31)),NOT(ISBLANK($B31)),ROW()&gt;2,COLUMN()&gt;1)</formula>
    </cfRule>
  </conditionalFormatting>
  <conditionalFormatting sqref="B31">
    <cfRule type="containsText" dxfId="1320" priority="1321" operator="containsText" text="NP">
      <formula>NOT(ISERROR(SEARCH("NP",B31)))</formula>
    </cfRule>
  </conditionalFormatting>
  <conditionalFormatting sqref="B31">
    <cfRule type="expression" dxfId="1319" priority="1319">
      <formula>ISBLANK(B31)</formula>
    </cfRule>
  </conditionalFormatting>
  <conditionalFormatting sqref="B31">
    <cfRule type="containsText" dxfId="1318" priority="1317" operator="containsText" text="Aprobado en otro curso">
      <formula>NOT(ISERROR(SEARCH("Aprobado en otro curso",B31)))</formula>
    </cfRule>
  </conditionalFormatting>
  <conditionalFormatting sqref="B31">
    <cfRule type="expression" dxfId="1317" priority="1316">
      <formula>AND(ISNUMBER(B31), OR(B31&gt;10, B31&lt;0))</formula>
    </cfRule>
  </conditionalFormatting>
  <conditionalFormatting sqref="B31">
    <cfRule type="expression" dxfId="1316" priority="1315">
      <formula>AND(NOT(ISNUMBER(B31)), B31&lt;&gt;"NP", B31&lt;&gt;"Reconocimiento Créditos", B31&lt;&gt;"Aprobado en otro curso")</formula>
    </cfRule>
  </conditionalFormatting>
  <conditionalFormatting sqref="B31">
    <cfRule type="containsText" dxfId="1315" priority="1318" operator="containsText" text="Reconocimiento Créditos">
      <formula>NOT(ISERROR(SEARCH("Reconocimiento Créditos",B31)))</formula>
    </cfRule>
  </conditionalFormatting>
  <conditionalFormatting sqref="B31">
    <cfRule type="containsText" dxfId="1314" priority="1325" operator="containsText" text="Aprobado en otro curso">
      <formula>NOT(ISERROR(SEARCH("Aprobado en otro curso",B31)))</formula>
    </cfRule>
  </conditionalFormatting>
  <conditionalFormatting sqref="A32">
    <cfRule type="expression" dxfId="1313" priority="1313">
      <formula>AND(OR(ROW()=CELL("row"),COLUMN()=CELL("col")),NOT(ISBLANK($C32)),NOT(ISBLANK($B32)),ROW()&gt;2,COLUMN()&gt;1)</formula>
    </cfRule>
  </conditionalFormatting>
  <conditionalFormatting sqref="A32">
    <cfRule type="expression" dxfId="1312" priority="1312">
      <formula>SUM(--ISBLANK($B32:$J32))=COLUMNS($B32:$J32)</formula>
    </cfRule>
  </conditionalFormatting>
  <conditionalFormatting sqref="A32">
    <cfRule type="containsText" dxfId="1311" priority="1314" operator="containsText" text="NP">
      <formula>NOT(ISERROR(SEARCH("NP",A32)))</formula>
    </cfRule>
  </conditionalFormatting>
  <conditionalFormatting sqref="A32">
    <cfRule type="expression" dxfId="1310" priority="1311">
      <formula>ISBLANK(A32)</formula>
    </cfRule>
  </conditionalFormatting>
  <conditionalFormatting sqref="B32">
    <cfRule type="expression" dxfId="1309" priority="1309">
      <formula>SUM(--ISBLANK($B32:$J32))=COLUMNS($B32:$J32)</formula>
    </cfRule>
  </conditionalFormatting>
  <conditionalFormatting sqref="B32">
    <cfRule type="containsText" dxfId="1308" priority="1307" operator="containsText" text="NP">
      <formula>NOT(ISERROR(SEARCH("NP",B32)))</formula>
    </cfRule>
    <cfRule type="cellIs" dxfId="1307" priority="1308" operator="lessThan">
      <formula>5</formula>
    </cfRule>
  </conditionalFormatting>
  <conditionalFormatting sqref="B32">
    <cfRule type="expression" dxfId="1306" priority="1305">
      <formula>AND(OR(ROW()=CELL("row"),COLUMN()=CELL("col")),NOT(ISBLANK($C32)),NOT(ISBLANK($B32)),ROW()&gt;2,COLUMN()&gt;1)</formula>
    </cfRule>
  </conditionalFormatting>
  <conditionalFormatting sqref="B32">
    <cfRule type="containsText" dxfId="1305" priority="1306" operator="containsText" text="NP">
      <formula>NOT(ISERROR(SEARCH("NP",B32)))</formula>
    </cfRule>
  </conditionalFormatting>
  <conditionalFormatting sqref="B32">
    <cfRule type="expression" dxfId="1304" priority="1304">
      <formula>ISBLANK(B32)</formula>
    </cfRule>
  </conditionalFormatting>
  <conditionalFormatting sqref="B32">
    <cfRule type="containsText" dxfId="1303" priority="1302" operator="containsText" text="Aprobado en otro curso">
      <formula>NOT(ISERROR(SEARCH("Aprobado en otro curso",B32)))</formula>
    </cfRule>
  </conditionalFormatting>
  <conditionalFormatting sqref="B32">
    <cfRule type="expression" dxfId="1302" priority="1301">
      <formula>AND(ISNUMBER(B32), OR(B32&gt;10, B32&lt;0))</formula>
    </cfRule>
  </conditionalFormatting>
  <conditionalFormatting sqref="B32">
    <cfRule type="expression" dxfId="1301" priority="1300">
      <formula>AND(NOT(ISNUMBER(B32)), B32&lt;&gt;"NP", B32&lt;&gt;"Reconocimiento Créditos", B32&lt;&gt;"Aprobado en otro curso")</formula>
    </cfRule>
  </conditionalFormatting>
  <conditionalFormatting sqref="B32">
    <cfRule type="containsText" dxfId="1300" priority="1303" operator="containsText" text="Reconocimiento Créditos">
      <formula>NOT(ISERROR(SEARCH("Reconocimiento Créditos",B32)))</formula>
    </cfRule>
  </conditionalFormatting>
  <conditionalFormatting sqref="B32">
    <cfRule type="containsText" dxfId="1299" priority="1310" operator="containsText" text="Aprobado en otro curso">
      <formula>NOT(ISERROR(SEARCH("Aprobado en otro curso",B32)))</formula>
    </cfRule>
  </conditionalFormatting>
  <conditionalFormatting sqref="A33">
    <cfRule type="expression" dxfId="1298" priority="1298">
      <formula>AND(OR(ROW()=CELL("row"),COLUMN()=CELL("col")),NOT(ISBLANK($C33)),NOT(ISBLANK($B33)),ROW()&gt;2,COLUMN()&gt;1)</formula>
    </cfRule>
  </conditionalFormatting>
  <conditionalFormatting sqref="A33">
    <cfRule type="expression" dxfId="1297" priority="1297">
      <formula>SUM(--ISBLANK($B33:$J33))=COLUMNS($B33:$J33)</formula>
    </cfRule>
  </conditionalFormatting>
  <conditionalFormatting sqref="A33">
    <cfRule type="containsText" dxfId="1296" priority="1299" operator="containsText" text="NP">
      <formula>NOT(ISERROR(SEARCH("NP",A33)))</formula>
    </cfRule>
  </conditionalFormatting>
  <conditionalFormatting sqref="A33">
    <cfRule type="expression" dxfId="1295" priority="1296">
      <formula>ISBLANK(A33)</formula>
    </cfRule>
  </conditionalFormatting>
  <conditionalFormatting sqref="B33">
    <cfRule type="expression" dxfId="1294" priority="1294">
      <formula>SUM(--ISBLANK($B33:$J33))=COLUMNS($B33:$J33)</formula>
    </cfRule>
  </conditionalFormatting>
  <conditionalFormatting sqref="B33">
    <cfRule type="containsText" dxfId="1293" priority="1292" operator="containsText" text="NP">
      <formula>NOT(ISERROR(SEARCH("NP",B33)))</formula>
    </cfRule>
    <cfRule type="cellIs" dxfId="1292" priority="1293" operator="lessThan">
      <formula>5</formula>
    </cfRule>
  </conditionalFormatting>
  <conditionalFormatting sqref="B33">
    <cfRule type="expression" dxfId="1291" priority="1290">
      <formula>AND(OR(ROW()=CELL("row"),COLUMN()=CELL("col")),NOT(ISBLANK($C33)),NOT(ISBLANK($B33)),ROW()&gt;2,COLUMN()&gt;1)</formula>
    </cfRule>
  </conditionalFormatting>
  <conditionalFormatting sqref="B33">
    <cfRule type="containsText" dxfId="1290" priority="1291" operator="containsText" text="NP">
      <formula>NOT(ISERROR(SEARCH("NP",B33)))</formula>
    </cfRule>
  </conditionalFormatting>
  <conditionalFormatting sqref="B33">
    <cfRule type="expression" dxfId="1289" priority="1289">
      <formula>ISBLANK(B33)</formula>
    </cfRule>
  </conditionalFormatting>
  <conditionalFormatting sqref="B33">
    <cfRule type="containsText" dxfId="1288" priority="1287" operator="containsText" text="Aprobado en otro curso">
      <formula>NOT(ISERROR(SEARCH("Aprobado en otro curso",B33)))</formula>
    </cfRule>
  </conditionalFormatting>
  <conditionalFormatting sqref="B33">
    <cfRule type="expression" dxfId="1287" priority="1286">
      <formula>AND(ISNUMBER(B33), OR(B33&gt;10, B33&lt;0))</formula>
    </cfRule>
  </conditionalFormatting>
  <conditionalFormatting sqref="B33">
    <cfRule type="expression" dxfId="1286" priority="1285">
      <formula>AND(NOT(ISNUMBER(B33)), B33&lt;&gt;"NP", B33&lt;&gt;"Reconocimiento Créditos", B33&lt;&gt;"Aprobado en otro curso")</formula>
    </cfRule>
  </conditionalFormatting>
  <conditionalFormatting sqref="B33">
    <cfRule type="containsText" dxfId="1285" priority="1288" operator="containsText" text="Reconocimiento Créditos">
      <formula>NOT(ISERROR(SEARCH("Reconocimiento Créditos",B33)))</formula>
    </cfRule>
  </conditionalFormatting>
  <conditionalFormatting sqref="B33">
    <cfRule type="containsText" dxfId="1284" priority="1295" operator="containsText" text="Aprobado en otro curso">
      <formula>NOT(ISERROR(SEARCH("Aprobado en otro curso",B33)))</formula>
    </cfRule>
  </conditionalFormatting>
  <conditionalFormatting sqref="A34">
    <cfRule type="expression" dxfId="1283" priority="1283">
      <formula>AND(OR(ROW()=CELL("row"),COLUMN()=CELL("col")),NOT(ISBLANK($C34)),NOT(ISBLANK($B34)),ROW()&gt;2,COLUMN()&gt;1)</formula>
    </cfRule>
  </conditionalFormatting>
  <conditionalFormatting sqref="A34">
    <cfRule type="expression" dxfId="1282" priority="1282">
      <formula>SUM(--ISBLANK($B34:$J34))=COLUMNS($B34:$J34)</formula>
    </cfRule>
  </conditionalFormatting>
  <conditionalFormatting sqref="A34">
    <cfRule type="containsText" dxfId="1281" priority="1284" operator="containsText" text="NP">
      <formula>NOT(ISERROR(SEARCH("NP",A34)))</formula>
    </cfRule>
  </conditionalFormatting>
  <conditionalFormatting sqref="A34">
    <cfRule type="expression" dxfId="1280" priority="1281">
      <formula>ISBLANK(A34)</formula>
    </cfRule>
  </conditionalFormatting>
  <conditionalFormatting sqref="B34">
    <cfRule type="expression" dxfId="1279" priority="1279">
      <formula>SUM(--ISBLANK($B34:$J34))=COLUMNS($B34:$J34)</formula>
    </cfRule>
  </conditionalFormatting>
  <conditionalFormatting sqref="B34">
    <cfRule type="containsText" dxfId="1278" priority="1277" operator="containsText" text="NP">
      <formula>NOT(ISERROR(SEARCH("NP",B34)))</formula>
    </cfRule>
    <cfRule type="cellIs" dxfId="1277" priority="1278" operator="lessThan">
      <formula>5</formula>
    </cfRule>
  </conditionalFormatting>
  <conditionalFormatting sqref="B34">
    <cfRule type="expression" dxfId="1276" priority="1275">
      <formula>AND(OR(ROW()=CELL("row"),COLUMN()=CELL("col")),NOT(ISBLANK($C34)),NOT(ISBLANK($B34)),ROW()&gt;2,COLUMN()&gt;1)</formula>
    </cfRule>
  </conditionalFormatting>
  <conditionalFormatting sqref="B34">
    <cfRule type="containsText" dxfId="1275" priority="1276" operator="containsText" text="NP">
      <formula>NOT(ISERROR(SEARCH("NP",B34)))</formula>
    </cfRule>
  </conditionalFormatting>
  <conditionalFormatting sqref="B34">
    <cfRule type="expression" dxfId="1274" priority="1274">
      <formula>ISBLANK(B34)</formula>
    </cfRule>
  </conditionalFormatting>
  <conditionalFormatting sqref="B34">
    <cfRule type="containsText" dxfId="1273" priority="1272" operator="containsText" text="Aprobado en otro curso">
      <formula>NOT(ISERROR(SEARCH("Aprobado en otro curso",B34)))</formula>
    </cfRule>
  </conditionalFormatting>
  <conditionalFormatting sqref="B34">
    <cfRule type="expression" dxfId="1272" priority="1271">
      <formula>AND(ISNUMBER(B34), OR(B34&gt;10, B34&lt;0))</formula>
    </cfRule>
  </conditionalFormatting>
  <conditionalFormatting sqref="B34">
    <cfRule type="expression" dxfId="1271" priority="1270">
      <formula>AND(NOT(ISNUMBER(B34)), B34&lt;&gt;"NP", B34&lt;&gt;"Reconocimiento Créditos", B34&lt;&gt;"Aprobado en otro curso")</formula>
    </cfRule>
  </conditionalFormatting>
  <conditionalFormatting sqref="B34">
    <cfRule type="containsText" dxfId="1270" priority="1273" operator="containsText" text="Reconocimiento Créditos">
      <formula>NOT(ISERROR(SEARCH("Reconocimiento Créditos",B34)))</formula>
    </cfRule>
  </conditionalFormatting>
  <conditionalFormatting sqref="B34">
    <cfRule type="containsText" dxfId="1269" priority="1280" operator="containsText" text="Aprobado en otro curso">
      <formula>NOT(ISERROR(SEARCH("Aprobado en otro curso",B34)))</formula>
    </cfRule>
  </conditionalFormatting>
  <conditionalFormatting sqref="A35">
    <cfRule type="expression" dxfId="1268" priority="1268">
      <formula>AND(OR(ROW()=CELL("row"),COLUMN()=CELL("col")),NOT(ISBLANK($C35)),NOT(ISBLANK($B35)),ROW()&gt;2,COLUMN()&gt;1)</formula>
    </cfRule>
  </conditionalFormatting>
  <conditionalFormatting sqref="A35">
    <cfRule type="expression" dxfId="1267" priority="1267">
      <formula>SUM(--ISBLANK($B35:$J35))=COLUMNS($B35:$J35)</formula>
    </cfRule>
  </conditionalFormatting>
  <conditionalFormatting sqref="A35">
    <cfRule type="containsText" dxfId="1266" priority="1269" operator="containsText" text="NP">
      <formula>NOT(ISERROR(SEARCH("NP",A35)))</formula>
    </cfRule>
  </conditionalFormatting>
  <conditionalFormatting sqref="A35">
    <cfRule type="expression" dxfId="1265" priority="1266">
      <formula>ISBLANK(A35)</formula>
    </cfRule>
  </conditionalFormatting>
  <conditionalFormatting sqref="B35">
    <cfRule type="expression" dxfId="1264" priority="1264">
      <formula>SUM(--ISBLANK($B35:$J35))=COLUMNS($B35:$J35)</formula>
    </cfRule>
  </conditionalFormatting>
  <conditionalFormatting sqref="B35">
    <cfRule type="containsText" dxfId="1263" priority="1262" operator="containsText" text="NP">
      <formula>NOT(ISERROR(SEARCH("NP",B35)))</formula>
    </cfRule>
    <cfRule type="cellIs" dxfId="1262" priority="1263" operator="lessThan">
      <formula>5</formula>
    </cfRule>
  </conditionalFormatting>
  <conditionalFormatting sqref="B35">
    <cfRule type="expression" dxfId="1261" priority="1260">
      <formula>AND(OR(ROW()=CELL("row"),COLUMN()=CELL("col")),NOT(ISBLANK($C35)),NOT(ISBLANK($B35)),ROW()&gt;2,COLUMN()&gt;1)</formula>
    </cfRule>
  </conditionalFormatting>
  <conditionalFormatting sqref="B35">
    <cfRule type="containsText" dxfId="1260" priority="1261" operator="containsText" text="NP">
      <formula>NOT(ISERROR(SEARCH("NP",B35)))</formula>
    </cfRule>
  </conditionalFormatting>
  <conditionalFormatting sqref="B35">
    <cfRule type="expression" dxfId="1259" priority="1259">
      <formula>ISBLANK(B35)</formula>
    </cfRule>
  </conditionalFormatting>
  <conditionalFormatting sqref="B35">
    <cfRule type="containsText" dxfId="1258" priority="1257" operator="containsText" text="Aprobado en otro curso">
      <formula>NOT(ISERROR(SEARCH("Aprobado en otro curso",B35)))</formula>
    </cfRule>
  </conditionalFormatting>
  <conditionalFormatting sqref="B35">
    <cfRule type="expression" dxfId="1257" priority="1256">
      <formula>AND(ISNUMBER(B35), OR(B35&gt;10, B35&lt;0))</formula>
    </cfRule>
  </conditionalFormatting>
  <conditionalFormatting sqref="B35">
    <cfRule type="expression" dxfId="1256" priority="1255">
      <formula>AND(NOT(ISNUMBER(B35)), B35&lt;&gt;"NP", B35&lt;&gt;"Reconocimiento Créditos", B35&lt;&gt;"Aprobado en otro curso")</formula>
    </cfRule>
  </conditionalFormatting>
  <conditionalFormatting sqref="B35">
    <cfRule type="containsText" dxfId="1255" priority="1258" operator="containsText" text="Reconocimiento Créditos">
      <formula>NOT(ISERROR(SEARCH("Reconocimiento Créditos",B35)))</formula>
    </cfRule>
  </conditionalFormatting>
  <conditionalFormatting sqref="B35">
    <cfRule type="containsText" dxfId="1254" priority="1265" operator="containsText" text="Aprobado en otro curso">
      <formula>NOT(ISERROR(SEARCH("Aprobado en otro curso",B35)))</formula>
    </cfRule>
  </conditionalFormatting>
  <conditionalFormatting sqref="A36">
    <cfRule type="expression" dxfId="1253" priority="1253">
      <formula>AND(OR(ROW()=CELL("row"),COLUMN()=CELL("col")),NOT(ISBLANK($C36)),NOT(ISBLANK($B36)),ROW()&gt;2,COLUMN()&gt;1)</formula>
    </cfRule>
  </conditionalFormatting>
  <conditionalFormatting sqref="A36">
    <cfRule type="expression" dxfId="1252" priority="1252">
      <formula>SUM(--ISBLANK($B36:$J36))=COLUMNS($B36:$J36)</formula>
    </cfRule>
  </conditionalFormatting>
  <conditionalFormatting sqref="A36">
    <cfRule type="containsText" dxfId="1251" priority="1254" operator="containsText" text="NP">
      <formula>NOT(ISERROR(SEARCH("NP",A36)))</formula>
    </cfRule>
  </conditionalFormatting>
  <conditionalFormatting sqref="A36">
    <cfRule type="expression" dxfId="1250" priority="1251">
      <formula>ISBLANK(A36)</formula>
    </cfRule>
  </conditionalFormatting>
  <conditionalFormatting sqref="B36">
    <cfRule type="expression" dxfId="1249" priority="1249">
      <formula>SUM(--ISBLANK($B36:$J36))=COLUMNS($B36:$J36)</formula>
    </cfRule>
  </conditionalFormatting>
  <conditionalFormatting sqref="B36">
    <cfRule type="containsText" dxfId="1248" priority="1247" operator="containsText" text="NP">
      <formula>NOT(ISERROR(SEARCH("NP",B36)))</formula>
    </cfRule>
    <cfRule type="cellIs" dxfId="1247" priority="1248" operator="lessThan">
      <formula>5</formula>
    </cfRule>
  </conditionalFormatting>
  <conditionalFormatting sqref="B36">
    <cfRule type="expression" dxfId="1246" priority="1245">
      <formula>AND(OR(ROW()=CELL("row"),COLUMN()=CELL("col")),NOT(ISBLANK($C36)),NOT(ISBLANK($B36)),ROW()&gt;2,COLUMN()&gt;1)</formula>
    </cfRule>
  </conditionalFormatting>
  <conditionalFormatting sqref="B36">
    <cfRule type="containsText" dxfId="1245" priority="1246" operator="containsText" text="NP">
      <formula>NOT(ISERROR(SEARCH("NP",B36)))</formula>
    </cfRule>
  </conditionalFormatting>
  <conditionalFormatting sqref="B36">
    <cfRule type="expression" dxfId="1244" priority="1244">
      <formula>ISBLANK(B36)</formula>
    </cfRule>
  </conditionalFormatting>
  <conditionalFormatting sqref="B36">
    <cfRule type="containsText" dxfId="1243" priority="1242" operator="containsText" text="Aprobado en otro curso">
      <formula>NOT(ISERROR(SEARCH("Aprobado en otro curso",B36)))</formula>
    </cfRule>
  </conditionalFormatting>
  <conditionalFormatting sqref="B36">
    <cfRule type="expression" dxfId="1242" priority="1241">
      <formula>AND(ISNUMBER(B36), OR(B36&gt;10, B36&lt;0))</formula>
    </cfRule>
  </conditionalFormatting>
  <conditionalFormatting sqref="B36">
    <cfRule type="expression" dxfId="1241" priority="1240">
      <formula>AND(NOT(ISNUMBER(B36)), B36&lt;&gt;"NP", B36&lt;&gt;"Reconocimiento Créditos", B36&lt;&gt;"Aprobado en otro curso")</formula>
    </cfRule>
  </conditionalFormatting>
  <conditionalFormatting sqref="B36">
    <cfRule type="containsText" dxfId="1240" priority="1243" operator="containsText" text="Reconocimiento Créditos">
      <formula>NOT(ISERROR(SEARCH("Reconocimiento Créditos",B36)))</formula>
    </cfRule>
  </conditionalFormatting>
  <conditionalFormatting sqref="B36">
    <cfRule type="containsText" dxfId="1239" priority="1250" operator="containsText" text="Aprobado en otro curso">
      <formula>NOT(ISERROR(SEARCH("Aprobado en otro curso",B36)))</formula>
    </cfRule>
  </conditionalFormatting>
  <conditionalFormatting sqref="A37">
    <cfRule type="expression" dxfId="1238" priority="1238">
      <formula>AND(OR(ROW()=CELL("row"),COLUMN()=CELL("col")),NOT(ISBLANK($C37)),NOT(ISBLANK($B37)),ROW()&gt;2,COLUMN()&gt;1)</formula>
    </cfRule>
  </conditionalFormatting>
  <conditionalFormatting sqref="A37">
    <cfRule type="expression" dxfId="1237" priority="1237">
      <formula>SUM(--ISBLANK($B37:$J37))=COLUMNS($B37:$J37)</formula>
    </cfRule>
  </conditionalFormatting>
  <conditionalFormatting sqref="A37">
    <cfRule type="containsText" dxfId="1236" priority="1239" operator="containsText" text="NP">
      <formula>NOT(ISERROR(SEARCH("NP",A37)))</formula>
    </cfRule>
  </conditionalFormatting>
  <conditionalFormatting sqref="A37">
    <cfRule type="expression" dxfId="1235" priority="1236">
      <formula>ISBLANK(A37)</formula>
    </cfRule>
  </conditionalFormatting>
  <conditionalFormatting sqref="B37">
    <cfRule type="expression" dxfId="1234" priority="1234">
      <formula>SUM(--ISBLANK($B37:$J37))=COLUMNS($B37:$J37)</formula>
    </cfRule>
  </conditionalFormatting>
  <conditionalFormatting sqref="B37">
    <cfRule type="containsText" dxfId="1233" priority="1232" operator="containsText" text="NP">
      <formula>NOT(ISERROR(SEARCH("NP",B37)))</formula>
    </cfRule>
    <cfRule type="cellIs" dxfId="1232" priority="1233" operator="lessThan">
      <formula>5</formula>
    </cfRule>
  </conditionalFormatting>
  <conditionalFormatting sqref="B37">
    <cfRule type="expression" dxfId="1231" priority="1230">
      <formula>AND(OR(ROW()=CELL("row"),COLUMN()=CELL("col")),NOT(ISBLANK($C37)),NOT(ISBLANK($B37)),ROW()&gt;2,COLUMN()&gt;1)</formula>
    </cfRule>
  </conditionalFormatting>
  <conditionalFormatting sqref="B37">
    <cfRule type="containsText" dxfId="1230" priority="1231" operator="containsText" text="NP">
      <formula>NOT(ISERROR(SEARCH("NP",B37)))</formula>
    </cfRule>
  </conditionalFormatting>
  <conditionalFormatting sqref="B37">
    <cfRule type="expression" dxfId="1229" priority="1229">
      <formula>ISBLANK(B37)</formula>
    </cfRule>
  </conditionalFormatting>
  <conditionalFormatting sqref="B37">
    <cfRule type="containsText" dxfId="1228" priority="1227" operator="containsText" text="Aprobado en otro curso">
      <formula>NOT(ISERROR(SEARCH("Aprobado en otro curso",B37)))</formula>
    </cfRule>
  </conditionalFormatting>
  <conditionalFormatting sqref="B37">
    <cfRule type="expression" dxfId="1227" priority="1226">
      <formula>AND(ISNUMBER(B37), OR(B37&gt;10, B37&lt;0))</formula>
    </cfRule>
  </conditionalFormatting>
  <conditionalFormatting sqref="B37">
    <cfRule type="expression" dxfId="1226" priority="1225">
      <formula>AND(NOT(ISNUMBER(B37)), B37&lt;&gt;"NP", B37&lt;&gt;"Reconocimiento Créditos", B37&lt;&gt;"Aprobado en otro curso")</formula>
    </cfRule>
  </conditionalFormatting>
  <conditionalFormatting sqref="B37">
    <cfRule type="containsText" dxfId="1225" priority="1228" operator="containsText" text="Reconocimiento Créditos">
      <formula>NOT(ISERROR(SEARCH("Reconocimiento Créditos",B37)))</formula>
    </cfRule>
  </conditionalFormatting>
  <conditionalFormatting sqref="B37">
    <cfRule type="containsText" dxfId="1224" priority="1235" operator="containsText" text="Aprobado en otro curso">
      <formula>NOT(ISERROR(SEARCH("Aprobado en otro curso",B37)))</formula>
    </cfRule>
  </conditionalFormatting>
  <conditionalFormatting sqref="A38">
    <cfRule type="expression" dxfId="1223" priority="1223">
      <formula>AND(OR(ROW()=CELL("row"),COLUMN()=CELL("col")),NOT(ISBLANK($C38)),NOT(ISBLANK($B38)),ROW()&gt;2,COLUMN()&gt;1)</formula>
    </cfRule>
  </conditionalFormatting>
  <conditionalFormatting sqref="A38">
    <cfRule type="expression" dxfId="1222" priority="1222">
      <formula>SUM(--ISBLANK($B38:$J38))=COLUMNS($B38:$J38)</formula>
    </cfRule>
  </conditionalFormatting>
  <conditionalFormatting sqref="A38">
    <cfRule type="containsText" dxfId="1221" priority="1224" operator="containsText" text="NP">
      <formula>NOT(ISERROR(SEARCH("NP",A38)))</formula>
    </cfRule>
  </conditionalFormatting>
  <conditionalFormatting sqref="A38">
    <cfRule type="expression" dxfId="1220" priority="1221">
      <formula>ISBLANK(A38)</formula>
    </cfRule>
  </conditionalFormatting>
  <conditionalFormatting sqref="B38">
    <cfRule type="expression" dxfId="1219" priority="1219">
      <formula>SUM(--ISBLANK($B38:$J38))=COLUMNS($B38:$J38)</formula>
    </cfRule>
  </conditionalFormatting>
  <conditionalFormatting sqref="B38">
    <cfRule type="containsText" dxfId="1218" priority="1217" operator="containsText" text="NP">
      <formula>NOT(ISERROR(SEARCH("NP",B38)))</formula>
    </cfRule>
    <cfRule type="cellIs" dxfId="1217" priority="1218" operator="lessThan">
      <formula>5</formula>
    </cfRule>
  </conditionalFormatting>
  <conditionalFormatting sqref="B38">
    <cfRule type="expression" dxfId="1216" priority="1215">
      <formula>AND(OR(ROW()=CELL("row"),COLUMN()=CELL("col")),NOT(ISBLANK($C38)),NOT(ISBLANK($B38)),ROW()&gt;2,COLUMN()&gt;1)</formula>
    </cfRule>
  </conditionalFormatting>
  <conditionalFormatting sqref="B38">
    <cfRule type="containsText" dxfId="1215" priority="1216" operator="containsText" text="NP">
      <formula>NOT(ISERROR(SEARCH("NP",B38)))</formula>
    </cfRule>
  </conditionalFormatting>
  <conditionalFormatting sqref="B38">
    <cfRule type="expression" dxfId="1214" priority="1214">
      <formula>ISBLANK(B38)</formula>
    </cfRule>
  </conditionalFormatting>
  <conditionalFormatting sqref="B38">
    <cfRule type="containsText" dxfId="1213" priority="1212" operator="containsText" text="Aprobado en otro curso">
      <formula>NOT(ISERROR(SEARCH("Aprobado en otro curso",B38)))</formula>
    </cfRule>
  </conditionalFormatting>
  <conditionalFormatting sqref="B38">
    <cfRule type="expression" dxfId="1212" priority="1211">
      <formula>AND(ISNUMBER(B38), OR(B38&gt;10, B38&lt;0))</formula>
    </cfRule>
  </conditionalFormatting>
  <conditionalFormatting sqref="B38">
    <cfRule type="expression" dxfId="1211" priority="1210">
      <formula>AND(NOT(ISNUMBER(B38)), B38&lt;&gt;"NP", B38&lt;&gt;"Reconocimiento Créditos", B38&lt;&gt;"Aprobado en otro curso")</formula>
    </cfRule>
  </conditionalFormatting>
  <conditionalFormatting sqref="B38">
    <cfRule type="containsText" dxfId="1210" priority="1213" operator="containsText" text="Reconocimiento Créditos">
      <formula>NOT(ISERROR(SEARCH("Reconocimiento Créditos",B38)))</formula>
    </cfRule>
  </conditionalFormatting>
  <conditionalFormatting sqref="B38">
    <cfRule type="containsText" dxfId="1209" priority="1220" operator="containsText" text="Aprobado en otro curso">
      <formula>NOT(ISERROR(SEARCH("Aprobado en otro curso",B38)))</formula>
    </cfRule>
  </conditionalFormatting>
  <conditionalFormatting sqref="A39">
    <cfRule type="expression" dxfId="1208" priority="1208">
      <formula>AND(OR(ROW()=CELL("row"),COLUMN()=CELL("col")),NOT(ISBLANK($C39)),NOT(ISBLANK($B39)),ROW()&gt;2,COLUMN()&gt;1)</formula>
    </cfRule>
  </conditionalFormatting>
  <conditionalFormatting sqref="A39">
    <cfRule type="expression" dxfId="1207" priority="1207">
      <formula>SUM(--ISBLANK($B39:$J39))=COLUMNS($B39:$J39)</formula>
    </cfRule>
  </conditionalFormatting>
  <conditionalFormatting sqref="A39">
    <cfRule type="containsText" dxfId="1206" priority="1209" operator="containsText" text="NP">
      <formula>NOT(ISERROR(SEARCH("NP",A39)))</formula>
    </cfRule>
  </conditionalFormatting>
  <conditionalFormatting sqref="A39">
    <cfRule type="expression" dxfId="1205" priority="1206">
      <formula>ISBLANK(A39)</formula>
    </cfRule>
  </conditionalFormatting>
  <conditionalFormatting sqref="B39">
    <cfRule type="expression" dxfId="1204" priority="1204">
      <formula>SUM(--ISBLANK($B39:$J39))=COLUMNS($B39:$J39)</formula>
    </cfRule>
  </conditionalFormatting>
  <conditionalFormatting sqref="B39">
    <cfRule type="containsText" dxfId="1203" priority="1202" operator="containsText" text="NP">
      <formula>NOT(ISERROR(SEARCH("NP",B39)))</formula>
    </cfRule>
    <cfRule type="cellIs" dxfId="1202" priority="1203" operator="lessThan">
      <formula>5</formula>
    </cfRule>
  </conditionalFormatting>
  <conditionalFormatting sqref="B39">
    <cfRule type="expression" dxfId="1201" priority="1200">
      <formula>AND(OR(ROW()=CELL("row"),COLUMN()=CELL("col")),NOT(ISBLANK($C39)),NOT(ISBLANK($B39)),ROW()&gt;2,COLUMN()&gt;1)</formula>
    </cfRule>
  </conditionalFormatting>
  <conditionalFormatting sqref="B39">
    <cfRule type="containsText" dxfId="1200" priority="1201" operator="containsText" text="NP">
      <formula>NOT(ISERROR(SEARCH("NP",B39)))</formula>
    </cfRule>
  </conditionalFormatting>
  <conditionalFormatting sqref="B39">
    <cfRule type="expression" dxfId="1199" priority="1199">
      <formula>ISBLANK(B39)</formula>
    </cfRule>
  </conditionalFormatting>
  <conditionalFormatting sqref="B39">
    <cfRule type="containsText" dxfId="1198" priority="1197" operator="containsText" text="Aprobado en otro curso">
      <formula>NOT(ISERROR(SEARCH("Aprobado en otro curso",B39)))</formula>
    </cfRule>
  </conditionalFormatting>
  <conditionalFormatting sqref="B39">
    <cfRule type="expression" dxfId="1197" priority="1196">
      <formula>AND(ISNUMBER(B39), OR(B39&gt;10, B39&lt;0))</formula>
    </cfRule>
  </conditionalFormatting>
  <conditionalFormatting sqref="B39">
    <cfRule type="expression" dxfId="1196" priority="1195">
      <formula>AND(NOT(ISNUMBER(B39)), B39&lt;&gt;"NP", B39&lt;&gt;"Reconocimiento Créditos", B39&lt;&gt;"Aprobado en otro curso")</formula>
    </cfRule>
  </conditionalFormatting>
  <conditionalFormatting sqref="B39">
    <cfRule type="containsText" dxfId="1195" priority="1198" operator="containsText" text="Reconocimiento Créditos">
      <formula>NOT(ISERROR(SEARCH("Reconocimiento Créditos",B39)))</formula>
    </cfRule>
  </conditionalFormatting>
  <conditionalFormatting sqref="B39">
    <cfRule type="containsText" dxfId="1194" priority="1205" operator="containsText" text="Aprobado en otro curso">
      <formula>NOT(ISERROR(SEARCH("Aprobado en otro curso",B39)))</formula>
    </cfRule>
  </conditionalFormatting>
  <conditionalFormatting sqref="A40">
    <cfRule type="expression" dxfId="1193" priority="1193">
      <formula>AND(OR(ROW()=CELL("row"),COLUMN()=CELL("col")),NOT(ISBLANK($C40)),NOT(ISBLANK($B40)),ROW()&gt;2,COLUMN()&gt;1)</formula>
    </cfRule>
  </conditionalFormatting>
  <conditionalFormatting sqref="A40">
    <cfRule type="expression" dxfId="1192" priority="1192">
      <formula>SUM(--ISBLANK($B40:$J40))=COLUMNS($B40:$J40)</formula>
    </cfRule>
  </conditionalFormatting>
  <conditionalFormatting sqref="A40">
    <cfRule type="containsText" dxfId="1191" priority="1194" operator="containsText" text="NP">
      <formula>NOT(ISERROR(SEARCH("NP",A40)))</formula>
    </cfRule>
  </conditionalFormatting>
  <conditionalFormatting sqref="A40">
    <cfRule type="expression" dxfId="1190" priority="1191">
      <formula>ISBLANK(A40)</formula>
    </cfRule>
  </conditionalFormatting>
  <conditionalFormatting sqref="B40">
    <cfRule type="expression" dxfId="1189" priority="1189">
      <formula>SUM(--ISBLANK($B40:$J40))=COLUMNS($B40:$J40)</formula>
    </cfRule>
  </conditionalFormatting>
  <conditionalFormatting sqref="B40">
    <cfRule type="containsText" dxfId="1188" priority="1187" operator="containsText" text="NP">
      <formula>NOT(ISERROR(SEARCH("NP",B40)))</formula>
    </cfRule>
    <cfRule type="cellIs" dxfId="1187" priority="1188" operator="lessThan">
      <formula>5</formula>
    </cfRule>
  </conditionalFormatting>
  <conditionalFormatting sqref="B40">
    <cfRule type="expression" dxfId="1186" priority="1185">
      <formula>AND(OR(ROW()=CELL("row"),COLUMN()=CELL("col")),NOT(ISBLANK($C40)),NOT(ISBLANK($B40)),ROW()&gt;2,COLUMN()&gt;1)</formula>
    </cfRule>
  </conditionalFormatting>
  <conditionalFormatting sqref="B40">
    <cfRule type="containsText" dxfId="1185" priority="1186" operator="containsText" text="NP">
      <formula>NOT(ISERROR(SEARCH("NP",B40)))</formula>
    </cfRule>
  </conditionalFormatting>
  <conditionalFormatting sqref="B40">
    <cfRule type="expression" dxfId="1184" priority="1184">
      <formula>ISBLANK(B40)</formula>
    </cfRule>
  </conditionalFormatting>
  <conditionalFormatting sqref="B40">
    <cfRule type="containsText" dxfId="1183" priority="1182" operator="containsText" text="Aprobado en otro curso">
      <formula>NOT(ISERROR(SEARCH("Aprobado en otro curso",B40)))</formula>
    </cfRule>
  </conditionalFormatting>
  <conditionalFormatting sqref="B40">
    <cfRule type="expression" dxfId="1182" priority="1181">
      <formula>AND(ISNUMBER(B40), OR(B40&gt;10, B40&lt;0))</formula>
    </cfRule>
  </conditionalFormatting>
  <conditionalFormatting sqref="B40">
    <cfRule type="expression" dxfId="1181" priority="1180">
      <formula>AND(NOT(ISNUMBER(B40)), B40&lt;&gt;"NP", B40&lt;&gt;"Reconocimiento Créditos", B40&lt;&gt;"Aprobado en otro curso")</formula>
    </cfRule>
  </conditionalFormatting>
  <conditionalFormatting sqref="B40">
    <cfRule type="containsText" dxfId="1180" priority="1183" operator="containsText" text="Reconocimiento Créditos">
      <formula>NOT(ISERROR(SEARCH("Reconocimiento Créditos",B40)))</formula>
    </cfRule>
  </conditionalFormatting>
  <conditionalFormatting sqref="B40">
    <cfRule type="containsText" dxfId="1179" priority="1190" operator="containsText" text="Aprobado en otro curso">
      <formula>NOT(ISERROR(SEARCH("Aprobado en otro curso",B40)))</formula>
    </cfRule>
  </conditionalFormatting>
  <conditionalFormatting sqref="A41">
    <cfRule type="expression" dxfId="1178" priority="1178">
      <formula>AND(OR(ROW()=CELL("row"),COLUMN()=CELL("col")),NOT(ISBLANK($C41)),NOT(ISBLANK($B41)),ROW()&gt;2,COLUMN()&gt;1)</formula>
    </cfRule>
  </conditionalFormatting>
  <conditionalFormatting sqref="A41">
    <cfRule type="expression" dxfId="1177" priority="1177">
      <formula>SUM(--ISBLANK($B41:$J41))=COLUMNS($B41:$J41)</formula>
    </cfRule>
  </conditionalFormatting>
  <conditionalFormatting sqref="A41">
    <cfRule type="containsText" dxfId="1176" priority="1179" operator="containsText" text="NP">
      <formula>NOT(ISERROR(SEARCH("NP",A41)))</formula>
    </cfRule>
  </conditionalFormatting>
  <conditionalFormatting sqref="A41">
    <cfRule type="expression" dxfId="1175" priority="1176">
      <formula>ISBLANK(A41)</formula>
    </cfRule>
  </conditionalFormatting>
  <conditionalFormatting sqref="B41">
    <cfRule type="expression" dxfId="1174" priority="1174">
      <formula>SUM(--ISBLANK($B41:$J41))=COLUMNS($B41:$J41)</formula>
    </cfRule>
  </conditionalFormatting>
  <conditionalFormatting sqref="B41">
    <cfRule type="containsText" dxfId="1173" priority="1172" operator="containsText" text="NP">
      <formula>NOT(ISERROR(SEARCH("NP",B41)))</formula>
    </cfRule>
    <cfRule type="cellIs" dxfId="1172" priority="1173" operator="lessThan">
      <formula>5</formula>
    </cfRule>
  </conditionalFormatting>
  <conditionalFormatting sqref="B41">
    <cfRule type="expression" dxfId="1171" priority="1170">
      <formula>AND(OR(ROW()=CELL("row"),COLUMN()=CELL("col")),NOT(ISBLANK($C41)),NOT(ISBLANK($B41)),ROW()&gt;2,COLUMN()&gt;1)</formula>
    </cfRule>
  </conditionalFormatting>
  <conditionalFormatting sqref="B41">
    <cfRule type="containsText" dxfId="1170" priority="1171" operator="containsText" text="NP">
      <formula>NOT(ISERROR(SEARCH("NP",B41)))</formula>
    </cfRule>
  </conditionalFormatting>
  <conditionalFormatting sqref="B41">
    <cfRule type="expression" dxfId="1169" priority="1169">
      <formula>ISBLANK(B41)</formula>
    </cfRule>
  </conditionalFormatting>
  <conditionalFormatting sqref="B41">
    <cfRule type="containsText" dxfId="1168" priority="1167" operator="containsText" text="Aprobado en otro curso">
      <formula>NOT(ISERROR(SEARCH("Aprobado en otro curso",B41)))</formula>
    </cfRule>
  </conditionalFormatting>
  <conditionalFormatting sqref="B41">
    <cfRule type="expression" dxfId="1167" priority="1166">
      <formula>AND(ISNUMBER(B41), OR(B41&gt;10, B41&lt;0))</formula>
    </cfRule>
  </conditionalFormatting>
  <conditionalFormatting sqref="B41">
    <cfRule type="expression" dxfId="1166" priority="1165">
      <formula>AND(NOT(ISNUMBER(B41)), B41&lt;&gt;"NP", B41&lt;&gt;"Reconocimiento Créditos", B41&lt;&gt;"Aprobado en otro curso")</formula>
    </cfRule>
  </conditionalFormatting>
  <conditionalFormatting sqref="B41">
    <cfRule type="containsText" dxfId="1165" priority="1168" operator="containsText" text="Reconocimiento Créditos">
      <formula>NOT(ISERROR(SEARCH("Reconocimiento Créditos",B41)))</formula>
    </cfRule>
  </conditionalFormatting>
  <conditionalFormatting sqref="B41">
    <cfRule type="containsText" dxfId="1164" priority="1175" operator="containsText" text="Aprobado en otro curso">
      <formula>NOT(ISERROR(SEARCH("Aprobado en otro curso",B41)))</formula>
    </cfRule>
  </conditionalFormatting>
  <conditionalFormatting sqref="A42">
    <cfRule type="expression" dxfId="1163" priority="1163">
      <formula>AND(OR(ROW()=CELL("row"),COLUMN()=CELL("col")),NOT(ISBLANK($C42)),NOT(ISBLANK($B42)),ROW()&gt;2,COLUMN()&gt;1)</formula>
    </cfRule>
  </conditionalFormatting>
  <conditionalFormatting sqref="A42">
    <cfRule type="expression" dxfId="1162" priority="1162">
      <formula>SUM(--ISBLANK($B42:$J42))=COLUMNS($B42:$J42)</formula>
    </cfRule>
  </conditionalFormatting>
  <conditionalFormatting sqref="A42">
    <cfRule type="containsText" dxfId="1161" priority="1164" operator="containsText" text="NP">
      <formula>NOT(ISERROR(SEARCH("NP",A42)))</formula>
    </cfRule>
  </conditionalFormatting>
  <conditionalFormatting sqref="A42">
    <cfRule type="expression" dxfId="1160" priority="1161">
      <formula>ISBLANK(A42)</formula>
    </cfRule>
  </conditionalFormatting>
  <conditionalFormatting sqref="B42">
    <cfRule type="expression" dxfId="1159" priority="1159">
      <formula>SUM(--ISBLANK($B42:$J42))=COLUMNS($B42:$J42)</formula>
    </cfRule>
  </conditionalFormatting>
  <conditionalFormatting sqref="B42">
    <cfRule type="containsText" dxfId="1158" priority="1157" operator="containsText" text="NP">
      <formula>NOT(ISERROR(SEARCH("NP",B42)))</formula>
    </cfRule>
    <cfRule type="cellIs" dxfId="1157" priority="1158" operator="lessThan">
      <formula>5</formula>
    </cfRule>
  </conditionalFormatting>
  <conditionalFormatting sqref="B42">
    <cfRule type="expression" dxfId="1156" priority="1155">
      <formula>AND(OR(ROW()=CELL("row"),COLUMN()=CELL("col")),NOT(ISBLANK($C42)),NOT(ISBLANK($B42)),ROW()&gt;2,COLUMN()&gt;1)</formula>
    </cfRule>
  </conditionalFormatting>
  <conditionalFormatting sqref="B42">
    <cfRule type="containsText" dxfId="1155" priority="1156" operator="containsText" text="NP">
      <formula>NOT(ISERROR(SEARCH("NP",B42)))</formula>
    </cfRule>
  </conditionalFormatting>
  <conditionalFormatting sqref="B42">
    <cfRule type="expression" dxfId="1154" priority="1154">
      <formula>ISBLANK(B42)</formula>
    </cfRule>
  </conditionalFormatting>
  <conditionalFormatting sqref="B42">
    <cfRule type="containsText" dxfId="1153" priority="1152" operator="containsText" text="Aprobado en otro curso">
      <formula>NOT(ISERROR(SEARCH("Aprobado en otro curso",B42)))</formula>
    </cfRule>
  </conditionalFormatting>
  <conditionalFormatting sqref="B42">
    <cfRule type="expression" dxfId="1152" priority="1151">
      <formula>AND(ISNUMBER(B42), OR(B42&gt;10, B42&lt;0))</formula>
    </cfRule>
  </conditionalFormatting>
  <conditionalFormatting sqref="B42">
    <cfRule type="expression" dxfId="1151" priority="1150">
      <formula>AND(NOT(ISNUMBER(B42)), B42&lt;&gt;"NP", B42&lt;&gt;"Reconocimiento Créditos", B42&lt;&gt;"Aprobado en otro curso")</formula>
    </cfRule>
  </conditionalFormatting>
  <conditionalFormatting sqref="B42">
    <cfRule type="containsText" dxfId="1150" priority="1153" operator="containsText" text="Reconocimiento Créditos">
      <formula>NOT(ISERROR(SEARCH("Reconocimiento Créditos",B42)))</formula>
    </cfRule>
  </conditionalFormatting>
  <conditionalFormatting sqref="B42">
    <cfRule type="containsText" dxfId="1149" priority="1160" operator="containsText" text="Aprobado en otro curso">
      <formula>NOT(ISERROR(SEARCH("Aprobado en otro curso",B42)))</formula>
    </cfRule>
  </conditionalFormatting>
  <conditionalFormatting sqref="A43">
    <cfRule type="expression" dxfId="1148" priority="1148">
      <formula>AND(OR(ROW()=CELL("row"),COLUMN()=CELL("col")),NOT(ISBLANK($C43)),NOT(ISBLANK($B43)),ROW()&gt;2,COLUMN()&gt;1)</formula>
    </cfRule>
  </conditionalFormatting>
  <conditionalFormatting sqref="A43">
    <cfRule type="expression" dxfId="1147" priority="1147">
      <formula>SUM(--ISBLANK($B43:$J43))=COLUMNS($B43:$J43)</formula>
    </cfRule>
  </conditionalFormatting>
  <conditionalFormatting sqref="A43">
    <cfRule type="containsText" dxfId="1146" priority="1149" operator="containsText" text="NP">
      <formula>NOT(ISERROR(SEARCH("NP",A43)))</formula>
    </cfRule>
  </conditionalFormatting>
  <conditionalFormatting sqref="A43">
    <cfRule type="expression" dxfId="1145" priority="1146">
      <formula>ISBLANK(A43)</formula>
    </cfRule>
  </conditionalFormatting>
  <conditionalFormatting sqref="B43">
    <cfRule type="expression" dxfId="1144" priority="1144">
      <formula>SUM(--ISBLANK($B43:$J43))=COLUMNS($B43:$J43)</formula>
    </cfRule>
  </conditionalFormatting>
  <conditionalFormatting sqref="B43">
    <cfRule type="containsText" dxfId="1143" priority="1142" operator="containsText" text="NP">
      <formula>NOT(ISERROR(SEARCH("NP",B43)))</formula>
    </cfRule>
    <cfRule type="cellIs" dxfId="1142" priority="1143" operator="lessThan">
      <formula>5</formula>
    </cfRule>
  </conditionalFormatting>
  <conditionalFormatting sqref="B43">
    <cfRule type="expression" dxfId="1141" priority="1140">
      <formula>AND(OR(ROW()=CELL("row"),COLUMN()=CELL("col")),NOT(ISBLANK($C43)),NOT(ISBLANK($B43)),ROW()&gt;2,COLUMN()&gt;1)</formula>
    </cfRule>
  </conditionalFormatting>
  <conditionalFormatting sqref="B43">
    <cfRule type="containsText" dxfId="1140" priority="1141" operator="containsText" text="NP">
      <formula>NOT(ISERROR(SEARCH("NP",B43)))</formula>
    </cfRule>
  </conditionalFormatting>
  <conditionalFormatting sqref="B43">
    <cfRule type="expression" dxfId="1139" priority="1139">
      <formula>ISBLANK(B43)</formula>
    </cfRule>
  </conditionalFormatting>
  <conditionalFormatting sqref="B43">
    <cfRule type="containsText" dxfId="1138" priority="1137" operator="containsText" text="Aprobado en otro curso">
      <formula>NOT(ISERROR(SEARCH("Aprobado en otro curso",B43)))</formula>
    </cfRule>
  </conditionalFormatting>
  <conditionalFormatting sqref="B43">
    <cfRule type="expression" dxfId="1137" priority="1136">
      <formula>AND(ISNUMBER(B43), OR(B43&gt;10, B43&lt;0))</formula>
    </cfRule>
  </conditionalFormatting>
  <conditionalFormatting sqref="B43">
    <cfRule type="expression" dxfId="1136" priority="1135">
      <formula>AND(NOT(ISNUMBER(B43)), B43&lt;&gt;"NP", B43&lt;&gt;"Reconocimiento Créditos", B43&lt;&gt;"Aprobado en otro curso")</formula>
    </cfRule>
  </conditionalFormatting>
  <conditionalFormatting sqref="B43">
    <cfRule type="containsText" dxfId="1135" priority="1138" operator="containsText" text="Reconocimiento Créditos">
      <formula>NOT(ISERROR(SEARCH("Reconocimiento Créditos",B43)))</formula>
    </cfRule>
  </conditionalFormatting>
  <conditionalFormatting sqref="B43">
    <cfRule type="containsText" dxfId="1134" priority="1145" operator="containsText" text="Aprobado en otro curso">
      <formula>NOT(ISERROR(SEARCH("Aprobado en otro curso",B43)))</formula>
    </cfRule>
  </conditionalFormatting>
  <conditionalFormatting sqref="A44">
    <cfRule type="expression" dxfId="1133" priority="1133">
      <formula>AND(OR(ROW()=CELL("row"),COLUMN()=CELL("col")),NOT(ISBLANK($C44)),NOT(ISBLANK($B44)),ROW()&gt;2,COLUMN()&gt;1)</formula>
    </cfRule>
  </conditionalFormatting>
  <conditionalFormatting sqref="A44">
    <cfRule type="expression" dxfId="1132" priority="1132">
      <formula>SUM(--ISBLANK($B44:$J44))=COLUMNS($B44:$J44)</formula>
    </cfRule>
  </conditionalFormatting>
  <conditionalFormatting sqref="A44">
    <cfRule type="containsText" dxfId="1131" priority="1134" operator="containsText" text="NP">
      <formula>NOT(ISERROR(SEARCH("NP",A44)))</formula>
    </cfRule>
  </conditionalFormatting>
  <conditionalFormatting sqref="A44">
    <cfRule type="expression" dxfId="1130" priority="1131">
      <formula>ISBLANK(A44)</formula>
    </cfRule>
  </conditionalFormatting>
  <conditionalFormatting sqref="B44">
    <cfRule type="expression" dxfId="1129" priority="1130">
      <formula>SUM(--ISBLANK($B44:$J44))=COLUMNS($B44:$J44)</formula>
    </cfRule>
  </conditionalFormatting>
  <conditionalFormatting sqref="B44">
    <cfRule type="containsText" dxfId="1128" priority="1128" operator="containsText" text="NP">
      <formula>NOT(ISERROR(SEARCH("NP",B44)))</formula>
    </cfRule>
    <cfRule type="cellIs" dxfId="1127" priority="1129" operator="lessThan">
      <formula>5</formula>
    </cfRule>
  </conditionalFormatting>
  <conditionalFormatting sqref="B44">
    <cfRule type="expression" dxfId="1126" priority="1126">
      <formula>AND(OR(ROW()=CELL("row"),COLUMN()=CELL("col")),NOT(ISBLANK($C44)),NOT(ISBLANK($B44)),ROW()&gt;2,COLUMN()&gt;1)</formula>
    </cfRule>
  </conditionalFormatting>
  <conditionalFormatting sqref="B44">
    <cfRule type="containsText" dxfId="1125" priority="1127" operator="containsText" text="NP">
      <formula>NOT(ISERROR(SEARCH("NP",B44)))</formula>
    </cfRule>
  </conditionalFormatting>
  <conditionalFormatting sqref="B44">
    <cfRule type="expression" dxfId="1124" priority="1125">
      <formula>ISBLANK(B44)</formula>
    </cfRule>
  </conditionalFormatting>
  <conditionalFormatting sqref="B44">
    <cfRule type="containsText" dxfId="1123" priority="1124" operator="containsText" text="Reconocimiento Créditos">
      <formula>NOT(ISERROR(SEARCH("Reconocimiento Créditos",B44)))</formula>
    </cfRule>
  </conditionalFormatting>
  <conditionalFormatting sqref="B44">
    <cfRule type="expression" dxfId="1122" priority="1122">
      <formula>AND(ISNUMBER(B44), OR(B44&gt;10, B44&lt;0))</formula>
    </cfRule>
  </conditionalFormatting>
  <conditionalFormatting sqref="B44">
    <cfRule type="containsText" dxfId="1121" priority="1121" operator="containsText" text="Reconocimiento Créditos">
      <formula>NOT(ISERROR(SEARCH("Reconocimiento Créditos",B44)))</formula>
    </cfRule>
  </conditionalFormatting>
  <conditionalFormatting sqref="B44">
    <cfRule type="containsText" dxfId="1120" priority="1123" operator="containsText" text="Aprobado en otro curso">
      <formula>NOT(ISERROR(SEARCH("Aprobado en otro curso",B44)))</formula>
    </cfRule>
  </conditionalFormatting>
  <conditionalFormatting sqref="A45">
    <cfRule type="expression" dxfId="1119" priority="1119">
      <formula>AND(OR(ROW()=CELL("row"),COLUMN()=CELL("col")),NOT(ISBLANK($C45)),NOT(ISBLANK($B45)),ROW()&gt;2,COLUMN()&gt;1)</formula>
    </cfRule>
  </conditionalFormatting>
  <conditionalFormatting sqref="A45">
    <cfRule type="expression" dxfId="1118" priority="1118">
      <formula>SUM(--ISBLANK($B45:$J45))=COLUMNS($B45:$J45)</formula>
    </cfRule>
  </conditionalFormatting>
  <conditionalFormatting sqref="A45">
    <cfRule type="containsText" dxfId="1117" priority="1120" operator="containsText" text="NP">
      <formula>NOT(ISERROR(SEARCH("NP",A45)))</formula>
    </cfRule>
  </conditionalFormatting>
  <conditionalFormatting sqref="A45">
    <cfRule type="expression" dxfId="1116" priority="1117">
      <formula>ISBLANK(A45)</formula>
    </cfRule>
  </conditionalFormatting>
  <conditionalFormatting sqref="B45">
    <cfRule type="expression" dxfId="1115" priority="1116">
      <formula>SUM(--ISBLANK($B45:$J45))=COLUMNS($B45:$J45)</formula>
    </cfRule>
  </conditionalFormatting>
  <conditionalFormatting sqref="B45">
    <cfRule type="containsText" dxfId="1114" priority="1114" operator="containsText" text="NP">
      <formula>NOT(ISERROR(SEARCH("NP",B45)))</formula>
    </cfRule>
    <cfRule type="cellIs" dxfId="1113" priority="1115" operator="lessThan">
      <formula>5</formula>
    </cfRule>
  </conditionalFormatting>
  <conditionalFormatting sqref="B45">
    <cfRule type="expression" dxfId="1112" priority="1112">
      <formula>AND(OR(ROW()=CELL("row"),COLUMN()=CELL("col")),NOT(ISBLANK($C45)),NOT(ISBLANK($B45)),ROW()&gt;2,COLUMN()&gt;1)</formula>
    </cfRule>
  </conditionalFormatting>
  <conditionalFormatting sqref="B45">
    <cfRule type="containsText" dxfId="1111" priority="1113" operator="containsText" text="NP">
      <formula>NOT(ISERROR(SEARCH("NP",B45)))</formula>
    </cfRule>
  </conditionalFormatting>
  <conditionalFormatting sqref="B45">
    <cfRule type="expression" dxfId="1110" priority="1111">
      <formula>ISBLANK(B45)</formula>
    </cfRule>
  </conditionalFormatting>
  <conditionalFormatting sqref="B45">
    <cfRule type="containsText" dxfId="1109" priority="1110" operator="containsText" text="Reconocimiento Créditos">
      <formula>NOT(ISERROR(SEARCH("Reconocimiento Créditos",B45)))</formula>
    </cfRule>
  </conditionalFormatting>
  <conditionalFormatting sqref="B45">
    <cfRule type="expression" dxfId="1108" priority="1108">
      <formula>AND(ISNUMBER(B45), OR(B45&gt;10, B45&lt;0))</formula>
    </cfRule>
  </conditionalFormatting>
  <conditionalFormatting sqref="B45">
    <cfRule type="expression" dxfId="1107" priority="1107">
      <formula>AND(NOT(ISNUMBER(B45)), B45&lt;&gt;"NP", B45&lt;&gt;"Reconocimiento Créditos", B45&lt;&gt;"Aprobado en otro curso")</formula>
    </cfRule>
  </conditionalFormatting>
  <conditionalFormatting sqref="B45">
    <cfRule type="containsText" dxfId="1106" priority="1106" operator="containsText" text="Reconocimiento Créditos">
      <formula>NOT(ISERROR(SEARCH("Reconocimiento Créditos",B45)))</formula>
    </cfRule>
  </conditionalFormatting>
  <conditionalFormatting sqref="B45">
    <cfRule type="containsText" dxfId="1105" priority="1109" operator="containsText" text="Aprobado en otro curso">
      <formula>NOT(ISERROR(SEARCH("Aprobado en otro curso",B45)))</formula>
    </cfRule>
  </conditionalFormatting>
  <conditionalFormatting sqref="A46">
    <cfRule type="expression" dxfId="1104" priority="1104">
      <formula>AND(OR(ROW()=CELL("row"),COLUMN()=CELL("col")),NOT(ISBLANK($C46)),NOT(ISBLANK($B46)),ROW()&gt;2,COLUMN()&gt;1)</formula>
    </cfRule>
  </conditionalFormatting>
  <conditionalFormatting sqref="A46">
    <cfRule type="expression" dxfId="1103" priority="1103">
      <formula>SUM(--ISBLANK($B46:$J46))=COLUMNS($B46:$J46)</formula>
    </cfRule>
  </conditionalFormatting>
  <conditionalFormatting sqref="A46">
    <cfRule type="containsText" dxfId="1102" priority="1105" operator="containsText" text="NP">
      <formula>NOT(ISERROR(SEARCH("NP",A46)))</formula>
    </cfRule>
  </conditionalFormatting>
  <conditionalFormatting sqref="A46">
    <cfRule type="expression" dxfId="1101" priority="1102">
      <formula>ISBLANK(A46)</formula>
    </cfRule>
  </conditionalFormatting>
  <conditionalFormatting sqref="B46">
    <cfRule type="expression" dxfId="1100" priority="1101">
      <formula>SUM(--ISBLANK($B46:$J46))=COLUMNS($B46:$J46)</formula>
    </cfRule>
  </conditionalFormatting>
  <conditionalFormatting sqref="B46">
    <cfRule type="containsText" dxfId="1099" priority="1099" operator="containsText" text="NP">
      <formula>NOT(ISERROR(SEARCH("NP",B46)))</formula>
    </cfRule>
    <cfRule type="cellIs" dxfId="1098" priority="1100" operator="lessThan">
      <formula>5</formula>
    </cfRule>
  </conditionalFormatting>
  <conditionalFormatting sqref="B46">
    <cfRule type="expression" dxfId="1097" priority="1097">
      <formula>AND(OR(ROW()=CELL("row"),COLUMN()=CELL("col")),NOT(ISBLANK($C46)),NOT(ISBLANK($B46)),ROW()&gt;2,COLUMN()&gt;1)</formula>
    </cfRule>
  </conditionalFormatting>
  <conditionalFormatting sqref="B46">
    <cfRule type="containsText" dxfId="1096" priority="1098" operator="containsText" text="NP">
      <formula>NOT(ISERROR(SEARCH("NP",B46)))</formula>
    </cfRule>
  </conditionalFormatting>
  <conditionalFormatting sqref="B46">
    <cfRule type="expression" dxfId="1095" priority="1096">
      <formula>ISBLANK(B46)</formula>
    </cfRule>
  </conditionalFormatting>
  <conditionalFormatting sqref="B46">
    <cfRule type="containsText" dxfId="1094" priority="1095" operator="containsText" text="Reconocimiento Créditos">
      <formula>NOT(ISERROR(SEARCH("Reconocimiento Créditos",B46)))</formula>
    </cfRule>
  </conditionalFormatting>
  <conditionalFormatting sqref="B46">
    <cfRule type="expression" dxfId="1093" priority="1093">
      <formula>AND(ISNUMBER(B46), OR(B46&gt;10, B46&lt;0))</formula>
    </cfRule>
  </conditionalFormatting>
  <conditionalFormatting sqref="B46">
    <cfRule type="expression" dxfId="1092" priority="1092">
      <formula>AND(NOT(ISNUMBER(B46)), B46&lt;&gt;"NP", B46&lt;&gt;"Reconocimiento Créditos", B46&lt;&gt;"Aprobado en otro curso")</formula>
    </cfRule>
  </conditionalFormatting>
  <conditionalFormatting sqref="B46">
    <cfRule type="containsText" dxfId="1091" priority="1091" operator="containsText" text="Reconocimiento Créditos">
      <formula>NOT(ISERROR(SEARCH("Reconocimiento Créditos",B46)))</formula>
    </cfRule>
  </conditionalFormatting>
  <conditionalFormatting sqref="B46">
    <cfRule type="containsText" dxfId="1090" priority="1094" operator="containsText" text="Aprobado en otro curso">
      <formula>NOT(ISERROR(SEARCH("Aprobado en otro curso",B46)))</formula>
    </cfRule>
  </conditionalFormatting>
  <conditionalFormatting sqref="A47">
    <cfRule type="expression" dxfId="1089" priority="1089">
      <formula>AND(OR(ROW()=CELL("row"),COLUMN()=CELL("col")),NOT(ISBLANK($C47)),NOT(ISBLANK($B47)),ROW()&gt;2,COLUMN()&gt;1)</formula>
    </cfRule>
  </conditionalFormatting>
  <conditionalFormatting sqref="A47">
    <cfRule type="expression" dxfId="1088" priority="1088">
      <formula>SUM(--ISBLANK($B47:$J47))=COLUMNS($B47:$J47)</formula>
    </cfRule>
  </conditionalFormatting>
  <conditionalFormatting sqref="A47">
    <cfRule type="containsText" dxfId="1087" priority="1090" operator="containsText" text="NP">
      <formula>NOT(ISERROR(SEARCH("NP",A47)))</formula>
    </cfRule>
  </conditionalFormatting>
  <conditionalFormatting sqref="A47">
    <cfRule type="expression" dxfId="1086" priority="1087">
      <formula>ISBLANK(A47)</formula>
    </cfRule>
  </conditionalFormatting>
  <conditionalFormatting sqref="B47">
    <cfRule type="expression" dxfId="1085" priority="1086">
      <formula>SUM(--ISBLANK($B47:$J47))=COLUMNS($B47:$J47)</formula>
    </cfRule>
  </conditionalFormatting>
  <conditionalFormatting sqref="B47">
    <cfRule type="containsText" dxfId="1084" priority="1084" operator="containsText" text="NP">
      <formula>NOT(ISERROR(SEARCH("NP",B47)))</formula>
    </cfRule>
    <cfRule type="cellIs" dxfId="1083" priority="1085" operator="lessThan">
      <formula>5</formula>
    </cfRule>
  </conditionalFormatting>
  <conditionalFormatting sqref="B47">
    <cfRule type="expression" dxfId="1082" priority="1082">
      <formula>AND(OR(ROW()=CELL("row"),COLUMN()=CELL("col")),NOT(ISBLANK($C47)),NOT(ISBLANK($B47)),ROW()&gt;2,COLUMN()&gt;1)</formula>
    </cfRule>
  </conditionalFormatting>
  <conditionalFormatting sqref="B47">
    <cfRule type="containsText" dxfId="1081" priority="1083" operator="containsText" text="NP">
      <formula>NOT(ISERROR(SEARCH("NP",B47)))</formula>
    </cfRule>
  </conditionalFormatting>
  <conditionalFormatting sqref="B47">
    <cfRule type="expression" dxfId="1080" priority="1081">
      <formula>ISBLANK(B47)</formula>
    </cfRule>
  </conditionalFormatting>
  <conditionalFormatting sqref="B47">
    <cfRule type="containsText" dxfId="1079" priority="1080" operator="containsText" text="Reconocimiento Créditos">
      <formula>NOT(ISERROR(SEARCH("Reconocimiento Créditos",B47)))</formula>
    </cfRule>
  </conditionalFormatting>
  <conditionalFormatting sqref="B47">
    <cfRule type="expression" dxfId="1078" priority="1078">
      <formula>AND(ISNUMBER(B47), OR(B47&gt;10, B47&lt;0))</formula>
    </cfRule>
  </conditionalFormatting>
  <conditionalFormatting sqref="B47">
    <cfRule type="expression" dxfId="1077" priority="1077">
      <formula>AND(NOT(ISNUMBER(B47)), B47&lt;&gt;"NP", B47&lt;&gt;"Reconocimiento Créditos", B47&lt;&gt;"Aprobado en otro curso")</formula>
    </cfRule>
  </conditionalFormatting>
  <conditionalFormatting sqref="B47">
    <cfRule type="containsText" dxfId="1076" priority="1076" operator="containsText" text="Reconocimiento Créditos">
      <formula>NOT(ISERROR(SEARCH("Reconocimiento Créditos",B47)))</formula>
    </cfRule>
  </conditionalFormatting>
  <conditionalFormatting sqref="B47">
    <cfRule type="containsText" dxfId="1075" priority="1079" operator="containsText" text="Aprobado en otro curso">
      <formula>NOT(ISERROR(SEARCH("Aprobado en otro curso",B47)))</formula>
    </cfRule>
  </conditionalFormatting>
  <conditionalFormatting sqref="A48">
    <cfRule type="expression" dxfId="1074" priority="1074">
      <formula>AND(OR(ROW()=CELL("row"),COLUMN()=CELL("col")),NOT(ISBLANK($C48)),NOT(ISBLANK($B48)),ROW()&gt;2,COLUMN()&gt;1)</formula>
    </cfRule>
  </conditionalFormatting>
  <conditionalFormatting sqref="A48">
    <cfRule type="expression" dxfId="1073" priority="1073">
      <formula>SUM(--ISBLANK($B48:$J48))=COLUMNS($B48:$J48)</formula>
    </cfRule>
  </conditionalFormatting>
  <conditionalFormatting sqref="A48">
    <cfRule type="containsText" dxfId="1072" priority="1075" operator="containsText" text="NP">
      <formula>NOT(ISERROR(SEARCH("NP",A48)))</formula>
    </cfRule>
  </conditionalFormatting>
  <conditionalFormatting sqref="A48">
    <cfRule type="expression" dxfId="1071" priority="1072">
      <formula>ISBLANK(A48)</formula>
    </cfRule>
  </conditionalFormatting>
  <conditionalFormatting sqref="B48">
    <cfRule type="expression" dxfId="1070" priority="1071">
      <formula>SUM(--ISBLANK($B48:$J48))=COLUMNS($B48:$J48)</formula>
    </cfRule>
  </conditionalFormatting>
  <conditionalFormatting sqref="B48">
    <cfRule type="containsText" dxfId="1069" priority="1069" operator="containsText" text="NP">
      <formula>NOT(ISERROR(SEARCH("NP",B48)))</formula>
    </cfRule>
    <cfRule type="cellIs" dxfId="1068" priority="1070" operator="lessThan">
      <formula>5</formula>
    </cfRule>
  </conditionalFormatting>
  <conditionalFormatting sqref="B48">
    <cfRule type="expression" dxfId="1067" priority="1067">
      <formula>AND(OR(ROW()=CELL("row"),COLUMN()=CELL("col")),NOT(ISBLANK($C48)),NOT(ISBLANK($B48)),ROW()&gt;2,COLUMN()&gt;1)</formula>
    </cfRule>
  </conditionalFormatting>
  <conditionalFormatting sqref="B48">
    <cfRule type="containsText" dxfId="1066" priority="1068" operator="containsText" text="NP">
      <formula>NOT(ISERROR(SEARCH("NP",B48)))</formula>
    </cfRule>
  </conditionalFormatting>
  <conditionalFormatting sqref="B48">
    <cfRule type="expression" dxfId="1065" priority="1066">
      <formula>ISBLANK(B48)</formula>
    </cfRule>
  </conditionalFormatting>
  <conditionalFormatting sqref="B48">
    <cfRule type="containsText" dxfId="1064" priority="1065" operator="containsText" text="Reconocimiento Créditos">
      <formula>NOT(ISERROR(SEARCH("Reconocimiento Créditos",B48)))</formula>
    </cfRule>
  </conditionalFormatting>
  <conditionalFormatting sqref="B48">
    <cfRule type="expression" dxfId="1063" priority="1063">
      <formula>AND(ISNUMBER(B48), OR(B48&gt;10, B48&lt;0))</formula>
    </cfRule>
  </conditionalFormatting>
  <conditionalFormatting sqref="B48">
    <cfRule type="expression" dxfId="1062" priority="1062">
      <formula>AND(NOT(ISNUMBER(B48)), B48&lt;&gt;"NP", B48&lt;&gt;"Reconocimiento Créditos", B48&lt;&gt;"Aprobado en otro curso")</formula>
    </cfRule>
  </conditionalFormatting>
  <conditionalFormatting sqref="B48">
    <cfRule type="containsText" dxfId="1061" priority="1061" operator="containsText" text="Reconocimiento Créditos">
      <formula>NOT(ISERROR(SEARCH("Reconocimiento Créditos",B48)))</formula>
    </cfRule>
  </conditionalFormatting>
  <conditionalFormatting sqref="B48">
    <cfRule type="containsText" dxfId="1060" priority="1064" operator="containsText" text="Aprobado en otro curso">
      <formula>NOT(ISERROR(SEARCH("Aprobado en otro curso",B48)))</formula>
    </cfRule>
  </conditionalFormatting>
  <conditionalFormatting sqref="A49">
    <cfRule type="expression" dxfId="1059" priority="1059">
      <formula>AND(OR(ROW()=CELL("row"),COLUMN()=CELL("col")),NOT(ISBLANK($C49)),NOT(ISBLANK($B49)),ROW()&gt;2,COLUMN()&gt;1)</formula>
    </cfRule>
  </conditionalFormatting>
  <conditionalFormatting sqref="A49">
    <cfRule type="expression" dxfId="1058" priority="1058">
      <formula>SUM(--ISBLANK($B49:$J49))=COLUMNS($B49:$J49)</formula>
    </cfRule>
  </conditionalFormatting>
  <conditionalFormatting sqref="A49">
    <cfRule type="containsText" dxfId="1057" priority="1060" operator="containsText" text="NP">
      <formula>NOT(ISERROR(SEARCH("NP",A49)))</formula>
    </cfRule>
  </conditionalFormatting>
  <conditionalFormatting sqref="A49">
    <cfRule type="expression" dxfId="1056" priority="1057">
      <formula>ISBLANK(A49)</formula>
    </cfRule>
  </conditionalFormatting>
  <conditionalFormatting sqref="B49">
    <cfRule type="expression" dxfId="1055" priority="1056">
      <formula>SUM(--ISBLANK($B49:$J49))=COLUMNS($B49:$J49)</formula>
    </cfRule>
  </conditionalFormatting>
  <conditionalFormatting sqref="B49">
    <cfRule type="containsText" dxfId="1054" priority="1054" operator="containsText" text="NP">
      <formula>NOT(ISERROR(SEARCH("NP",B49)))</formula>
    </cfRule>
    <cfRule type="cellIs" dxfId="1053" priority="1055" operator="lessThan">
      <formula>5</formula>
    </cfRule>
  </conditionalFormatting>
  <conditionalFormatting sqref="B49">
    <cfRule type="expression" dxfId="1052" priority="1052">
      <formula>AND(OR(ROW()=CELL("row"),COLUMN()=CELL("col")),NOT(ISBLANK($C49)),NOT(ISBLANK($B49)),ROW()&gt;2,COLUMN()&gt;1)</formula>
    </cfRule>
  </conditionalFormatting>
  <conditionalFormatting sqref="B49">
    <cfRule type="containsText" dxfId="1051" priority="1053" operator="containsText" text="NP">
      <formula>NOT(ISERROR(SEARCH("NP",B49)))</formula>
    </cfRule>
  </conditionalFormatting>
  <conditionalFormatting sqref="B49">
    <cfRule type="expression" dxfId="1050" priority="1051">
      <formula>ISBLANK(B49)</formula>
    </cfRule>
  </conditionalFormatting>
  <conditionalFormatting sqref="B49">
    <cfRule type="containsText" dxfId="1049" priority="1050" operator="containsText" text="Reconocimiento Créditos">
      <formula>NOT(ISERROR(SEARCH("Reconocimiento Créditos",B49)))</formula>
    </cfRule>
  </conditionalFormatting>
  <conditionalFormatting sqref="B49">
    <cfRule type="expression" dxfId="1048" priority="1048">
      <formula>AND(ISNUMBER(B49), OR(B49&gt;10, B49&lt;0))</formula>
    </cfRule>
  </conditionalFormatting>
  <conditionalFormatting sqref="B49">
    <cfRule type="expression" dxfId="1047" priority="1047">
      <formula>AND(NOT(ISNUMBER(B49)), B49&lt;&gt;"NP", B49&lt;&gt;"Reconocimiento Créditos", B49&lt;&gt;"Aprobado en otro curso")</formula>
    </cfRule>
  </conditionalFormatting>
  <conditionalFormatting sqref="B49">
    <cfRule type="containsText" dxfId="1046" priority="1046" operator="containsText" text="Reconocimiento Créditos">
      <formula>NOT(ISERROR(SEARCH("Reconocimiento Créditos",B49)))</formula>
    </cfRule>
  </conditionalFormatting>
  <conditionalFormatting sqref="B49">
    <cfRule type="containsText" dxfId="1045" priority="1049" operator="containsText" text="Aprobado en otro curso">
      <formula>NOT(ISERROR(SEARCH("Aprobado en otro curso",B49)))</formula>
    </cfRule>
  </conditionalFormatting>
  <conditionalFormatting sqref="A50">
    <cfRule type="expression" dxfId="1044" priority="1044">
      <formula>AND(OR(ROW()=CELL("row"),COLUMN()=CELL("col")),NOT(ISBLANK($C50)),NOT(ISBLANK($B50)),ROW()&gt;2,COLUMN()&gt;1)</formula>
    </cfRule>
  </conditionalFormatting>
  <conditionalFormatting sqref="A50">
    <cfRule type="expression" dxfId="1043" priority="1043">
      <formula>SUM(--ISBLANK($B50:$J50))=COLUMNS($B50:$J50)</formula>
    </cfRule>
  </conditionalFormatting>
  <conditionalFormatting sqref="A50">
    <cfRule type="containsText" dxfId="1042" priority="1045" operator="containsText" text="NP">
      <formula>NOT(ISERROR(SEARCH("NP",A50)))</formula>
    </cfRule>
  </conditionalFormatting>
  <conditionalFormatting sqref="A50">
    <cfRule type="expression" dxfId="1041" priority="1042">
      <formula>ISBLANK(A50)</formula>
    </cfRule>
  </conditionalFormatting>
  <conditionalFormatting sqref="B50">
    <cfRule type="expression" dxfId="1040" priority="1041">
      <formula>SUM(--ISBLANK($B50:$J50))=COLUMNS($B50:$J50)</formula>
    </cfRule>
  </conditionalFormatting>
  <conditionalFormatting sqref="B50">
    <cfRule type="containsText" dxfId="1039" priority="1039" operator="containsText" text="NP">
      <formula>NOT(ISERROR(SEARCH("NP",B50)))</formula>
    </cfRule>
    <cfRule type="cellIs" dxfId="1038" priority="1040" operator="lessThan">
      <formula>5</formula>
    </cfRule>
  </conditionalFormatting>
  <conditionalFormatting sqref="B50">
    <cfRule type="expression" dxfId="1037" priority="1037">
      <formula>AND(OR(ROW()=CELL("row"),COLUMN()=CELL("col")),NOT(ISBLANK($C50)),NOT(ISBLANK($B50)),ROW()&gt;2,COLUMN()&gt;1)</formula>
    </cfRule>
  </conditionalFormatting>
  <conditionalFormatting sqref="B50">
    <cfRule type="containsText" dxfId="1036" priority="1038" operator="containsText" text="NP">
      <formula>NOT(ISERROR(SEARCH("NP",B50)))</formula>
    </cfRule>
  </conditionalFormatting>
  <conditionalFormatting sqref="B50">
    <cfRule type="expression" dxfId="1035" priority="1036">
      <formula>ISBLANK(B50)</formula>
    </cfRule>
  </conditionalFormatting>
  <conditionalFormatting sqref="B50">
    <cfRule type="containsText" dxfId="1034" priority="1035" operator="containsText" text="Reconocimiento Créditos">
      <formula>NOT(ISERROR(SEARCH("Reconocimiento Créditos",B50)))</formula>
    </cfRule>
  </conditionalFormatting>
  <conditionalFormatting sqref="B50">
    <cfRule type="expression" dxfId="1033" priority="1033">
      <formula>AND(ISNUMBER(B50), OR(B50&gt;10, B50&lt;0))</formula>
    </cfRule>
  </conditionalFormatting>
  <conditionalFormatting sqref="B50">
    <cfRule type="expression" dxfId="1032" priority="1032">
      <formula>AND(NOT(ISNUMBER(B50)), B50&lt;&gt;"NP", B50&lt;&gt;"Reconocimiento Créditos", B50&lt;&gt;"Aprobado en otro curso")</formula>
    </cfRule>
  </conditionalFormatting>
  <conditionalFormatting sqref="B50">
    <cfRule type="containsText" dxfId="1031" priority="1031" operator="containsText" text="Reconocimiento Créditos">
      <formula>NOT(ISERROR(SEARCH("Reconocimiento Créditos",B50)))</formula>
    </cfRule>
  </conditionalFormatting>
  <conditionalFormatting sqref="B50">
    <cfRule type="containsText" dxfId="1030" priority="1034" operator="containsText" text="Aprobado en otro curso">
      <formula>NOT(ISERROR(SEARCH("Aprobado en otro curso",B50)))</formula>
    </cfRule>
  </conditionalFormatting>
  <conditionalFormatting sqref="A51">
    <cfRule type="expression" dxfId="1029" priority="1029">
      <formula>AND(OR(ROW()=CELL("row"),COLUMN()=CELL("col")),NOT(ISBLANK($C51)),NOT(ISBLANK($B51)),ROW()&gt;2,COLUMN()&gt;1)</formula>
    </cfRule>
  </conditionalFormatting>
  <conditionalFormatting sqref="A51">
    <cfRule type="expression" dxfId="1028" priority="1028">
      <formula>SUM(--ISBLANK($B51:$J51))=COLUMNS($B51:$J51)</formula>
    </cfRule>
  </conditionalFormatting>
  <conditionalFormatting sqref="A51">
    <cfRule type="containsText" dxfId="1027" priority="1030" operator="containsText" text="NP">
      <formula>NOT(ISERROR(SEARCH("NP",A51)))</formula>
    </cfRule>
  </conditionalFormatting>
  <conditionalFormatting sqref="A51">
    <cfRule type="expression" dxfId="1026" priority="1027">
      <formula>ISBLANK(A51)</formula>
    </cfRule>
  </conditionalFormatting>
  <conditionalFormatting sqref="B51">
    <cfRule type="expression" dxfId="1025" priority="1026">
      <formula>SUM(--ISBLANK($B51:$J51))=COLUMNS($B51:$J51)</formula>
    </cfRule>
  </conditionalFormatting>
  <conditionalFormatting sqref="B51">
    <cfRule type="containsText" dxfId="1024" priority="1024" operator="containsText" text="NP">
      <formula>NOT(ISERROR(SEARCH("NP",B51)))</formula>
    </cfRule>
    <cfRule type="cellIs" dxfId="1023" priority="1025" operator="lessThan">
      <formula>5</formula>
    </cfRule>
  </conditionalFormatting>
  <conditionalFormatting sqref="B51">
    <cfRule type="expression" dxfId="1022" priority="1022">
      <formula>AND(OR(ROW()=CELL("row"),COLUMN()=CELL("col")),NOT(ISBLANK($C51)),NOT(ISBLANK($B51)),ROW()&gt;2,COLUMN()&gt;1)</formula>
    </cfRule>
  </conditionalFormatting>
  <conditionalFormatting sqref="B51">
    <cfRule type="containsText" dxfId="1021" priority="1023" operator="containsText" text="NP">
      <formula>NOT(ISERROR(SEARCH("NP",B51)))</formula>
    </cfRule>
  </conditionalFormatting>
  <conditionalFormatting sqref="B51">
    <cfRule type="expression" dxfId="1020" priority="1021">
      <formula>ISBLANK(B51)</formula>
    </cfRule>
  </conditionalFormatting>
  <conditionalFormatting sqref="B51">
    <cfRule type="containsText" dxfId="1019" priority="1020" operator="containsText" text="Reconocimiento Créditos">
      <formula>NOT(ISERROR(SEARCH("Reconocimiento Créditos",B51)))</formula>
    </cfRule>
  </conditionalFormatting>
  <conditionalFormatting sqref="B51">
    <cfRule type="expression" dxfId="1018" priority="1018">
      <formula>AND(ISNUMBER(B51), OR(B51&gt;10, B51&lt;0))</formula>
    </cfRule>
  </conditionalFormatting>
  <conditionalFormatting sqref="B51">
    <cfRule type="expression" dxfId="1017" priority="1017">
      <formula>AND(NOT(ISNUMBER(B51)), B51&lt;&gt;"NP", B51&lt;&gt;"Reconocimiento Créditos", B51&lt;&gt;"Aprobado en otro curso")</formula>
    </cfRule>
  </conditionalFormatting>
  <conditionalFormatting sqref="B51">
    <cfRule type="containsText" dxfId="1016" priority="1016" operator="containsText" text="Reconocimiento Créditos">
      <formula>NOT(ISERROR(SEARCH("Reconocimiento Créditos",B51)))</formula>
    </cfRule>
  </conditionalFormatting>
  <conditionalFormatting sqref="B51">
    <cfRule type="containsText" dxfId="1015" priority="1019" operator="containsText" text="Aprobado en otro curso">
      <formula>NOT(ISERROR(SEARCH("Aprobado en otro curso",B51)))</formula>
    </cfRule>
  </conditionalFormatting>
  <conditionalFormatting sqref="A52">
    <cfRule type="expression" dxfId="1014" priority="1014">
      <formula>AND(OR(ROW()=CELL("row"),COLUMN()=CELL("col")),NOT(ISBLANK($C52)),NOT(ISBLANK($B52)),ROW()&gt;2,COLUMN()&gt;1)</formula>
    </cfRule>
  </conditionalFormatting>
  <conditionalFormatting sqref="A52">
    <cfRule type="expression" dxfId="1013" priority="1013">
      <formula>SUM(--ISBLANK($B52:$J52))=COLUMNS($B52:$J52)</formula>
    </cfRule>
  </conditionalFormatting>
  <conditionalFormatting sqref="A52">
    <cfRule type="containsText" dxfId="1012" priority="1015" operator="containsText" text="NP">
      <formula>NOT(ISERROR(SEARCH("NP",A52)))</formula>
    </cfRule>
  </conditionalFormatting>
  <conditionalFormatting sqref="A52">
    <cfRule type="expression" dxfId="1011" priority="1012">
      <formula>ISBLANK(A52)</formula>
    </cfRule>
  </conditionalFormatting>
  <conditionalFormatting sqref="B52">
    <cfRule type="expression" dxfId="1010" priority="1011">
      <formula>SUM(--ISBLANK($B52:$J52))=COLUMNS($B52:$J52)</formula>
    </cfRule>
  </conditionalFormatting>
  <conditionalFormatting sqref="B52">
    <cfRule type="containsText" dxfId="1009" priority="1009" operator="containsText" text="NP">
      <formula>NOT(ISERROR(SEARCH("NP",B52)))</formula>
    </cfRule>
    <cfRule type="cellIs" dxfId="1008" priority="1010" operator="lessThan">
      <formula>5</formula>
    </cfRule>
  </conditionalFormatting>
  <conditionalFormatting sqref="B52">
    <cfRule type="expression" dxfId="1007" priority="1007">
      <formula>AND(OR(ROW()=CELL("row"),COLUMN()=CELL("col")),NOT(ISBLANK($C52)),NOT(ISBLANK($B52)),ROW()&gt;2,COLUMN()&gt;1)</formula>
    </cfRule>
  </conditionalFormatting>
  <conditionalFormatting sqref="B52">
    <cfRule type="containsText" dxfId="1006" priority="1008" operator="containsText" text="NP">
      <formula>NOT(ISERROR(SEARCH("NP",B52)))</formula>
    </cfRule>
  </conditionalFormatting>
  <conditionalFormatting sqref="B52">
    <cfRule type="expression" dxfId="1005" priority="1006">
      <formula>ISBLANK(B52)</formula>
    </cfRule>
  </conditionalFormatting>
  <conditionalFormatting sqref="B52">
    <cfRule type="containsText" dxfId="1004" priority="1005" operator="containsText" text="Reconocimiento Créditos">
      <formula>NOT(ISERROR(SEARCH("Reconocimiento Créditos",B52)))</formula>
    </cfRule>
  </conditionalFormatting>
  <conditionalFormatting sqref="B52">
    <cfRule type="expression" dxfId="1003" priority="1003">
      <formula>AND(ISNUMBER(B52), OR(B52&gt;10, B52&lt;0))</formula>
    </cfRule>
  </conditionalFormatting>
  <conditionalFormatting sqref="B52">
    <cfRule type="expression" dxfId="1002" priority="1002">
      <formula>AND(NOT(ISNUMBER(B52)), B52&lt;&gt;"NP", B52&lt;&gt;"Reconocimiento Créditos", B52&lt;&gt;"Aprobado en otro curso")</formula>
    </cfRule>
  </conditionalFormatting>
  <conditionalFormatting sqref="B52">
    <cfRule type="containsText" dxfId="1001" priority="1001" operator="containsText" text="Reconocimiento Créditos">
      <formula>NOT(ISERROR(SEARCH("Reconocimiento Créditos",B52)))</formula>
    </cfRule>
  </conditionalFormatting>
  <conditionalFormatting sqref="B52">
    <cfRule type="containsText" dxfId="1000" priority="1004" operator="containsText" text="Aprobado en otro curso">
      <formula>NOT(ISERROR(SEARCH("Aprobado en otro curso",B52)))</formula>
    </cfRule>
  </conditionalFormatting>
  <conditionalFormatting sqref="A53">
    <cfRule type="expression" dxfId="999" priority="999">
      <formula>AND(OR(ROW()=CELL("row"),COLUMN()=CELL("col")),NOT(ISBLANK($C53)),NOT(ISBLANK($B53)),ROW()&gt;2,COLUMN()&gt;1)</formula>
    </cfRule>
  </conditionalFormatting>
  <conditionalFormatting sqref="A53">
    <cfRule type="expression" dxfId="998" priority="998">
      <formula>SUM(--ISBLANK($B53:$J53))=COLUMNS($B53:$J53)</formula>
    </cfRule>
  </conditionalFormatting>
  <conditionalFormatting sqref="A53">
    <cfRule type="containsText" dxfId="997" priority="1000" operator="containsText" text="NP">
      <formula>NOT(ISERROR(SEARCH("NP",A53)))</formula>
    </cfRule>
  </conditionalFormatting>
  <conditionalFormatting sqref="A53">
    <cfRule type="expression" dxfId="996" priority="997">
      <formula>ISBLANK(A53)</formula>
    </cfRule>
  </conditionalFormatting>
  <conditionalFormatting sqref="B53">
    <cfRule type="expression" dxfId="995" priority="996">
      <formula>SUM(--ISBLANK($B53:$J53))=COLUMNS($B53:$J53)</formula>
    </cfRule>
  </conditionalFormatting>
  <conditionalFormatting sqref="B53">
    <cfRule type="containsText" dxfId="994" priority="994" operator="containsText" text="NP">
      <formula>NOT(ISERROR(SEARCH("NP",B53)))</formula>
    </cfRule>
    <cfRule type="cellIs" dxfId="993" priority="995" operator="lessThan">
      <formula>5</formula>
    </cfRule>
  </conditionalFormatting>
  <conditionalFormatting sqref="B53">
    <cfRule type="expression" dxfId="992" priority="992">
      <formula>AND(OR(ROW()=CELL("row"),COLUMN()=CELL("col")),NOT(ISBLANK($C53)),NOT(ISBLANK($B53)),ROW()&gt;2,COLUMN()&gt;1)</formula>
    </cfRule>
  </conditionalFormatting>
  <conditionalFormatting sqref="B53">
    <cfRule type="containsText" dxfId="991" priority="993" operator="containsText" text="NP">
      <formula>NOT(ISERROR(SEARCH("NP",B53)))</formula>
    </cfRule>
  </conditionalFormatting>
  <conditionalFormatting sqref="B53">
    <cfRule type="expression" dxfId="990" priority="991">
      <formula>ISBLANK(B53)</formula>
    </cfRule>
  </conditionalFormatting>
  <conditionalFormatting sqref="B53">
    <cfRule type="containsText" dxfId="989" priority="990" operator="containsText" text="Reconocimiento Créditos">
      <formula>NOT(ISERROR(SEARCH("Reconocimiento Créditos",B53)))</formula>
    </cfRule>
  </conditionalFormatting>
  <conditionalFormatting sqref="B53">
    <cfRule type="expression" dxfId="988" priority="988">
      <formula>AND(ISNUMBER(B53), OR(B53&gt;10, B53&lt;0))</formula>
    </cfRule>
  </conditionalFormatting>
  <conditionalFormatting sqref="B53">
    <cfRule type="expression" dxfId="987" priority="987">
      <formula>AND(NOT(ISNUMBER(B53)), B53&lt;&gt;"NP", B53&lt;&gt;"Reconocimiento Créditos", B53&lt;&gt;"Aprobado en otro curso")</formula>
    </cfRule>
  </conditionalFormatting>
  <conditionalFormatting sqref="B53">
    <cfRule type="containsText" dxfId="986" priority="986" operator="containsText" text="Reconocimiento Créditos">
      <formula>NOT(ISERROR(SEARCH("Reconocimiento Créditos",B53)))</formula>
    </cfRule>
  </conditionalFormatting>
  <conditionalFormatting sqref="B53">
    <cfRule type="containsText" dxfId="985" priority="989" operator="containsText" text="Aprobado en otro curso">
      <formula>NOT(ISERROR(SEARCH("Aprobado en otro curso",B53)))</formula>
    </cfRule>
  </conditionalFormatting>
  <conditionalFormatting sqref="A54">
    <cfRule type="expression" dxfId="984" priority="984">
      <formula>AND(OR(ROW()=CELL("row"),COLUMN()=CELL("col")),NOT(ISBLANK($C54)),NOT(ISBLANK($B54)),ROW()&gt;2,COLUMN()&gt;1)</formula>
    </cfRule>
  </conditionalFormatting>
  <conditionalFormatting sqref="A54">
    <cfRule type="expression" dxfId="983" priority="983">
      <formula>SUM(--ISBLANK($B54:$J54))=COLUMNS($B54:$J54)</formula>
    </cfRule>
  </conditionalFormatting>
  <conditionalFormatting sqref="A54">
    <cfRule type="containsText" dxfId="982" priority="985" operator="containsText" text="NP">
      <formula>NOT(ISERROR(SEARCH("NP",A54)))</formula>
    </cfRule>
  </conditionalFormatting>
  <conditionalFormatting sqref="A54">
    <cfRule type="expression" dxfId="981" priority="982">
      <formula>ISBLANK(A54)</formula>
    </cfRule>
  </conditionalFormatting>
  <conditionalFormatting sqref="B54">
    <cfRule type="expression" dxfId="980" priority="981">
      <formula>SUM(--ISBLANK($B54:$J54))=COLUMNS($B54:$J54)</formula>
    </cfRule>
  </conditionalFormatting>
  <conditionalFormatting sqref="B54">
    <cfRule type="containsText" dxfId="979" priority="979" operator="containsText" text="NP">
      <formula>NOT(ISERROR(SEARCH("NP",B54)))</formula>
    </cfRule>
    <cfRule type="cellIs" dxfId="978" priority="980" operator="lessThan">
      <formula>5</formula>
    </cfRule>
  </conditionalFormatting>
  <conditionalFormatting sqref="B54">
    <cfRule type="expression" dxfId="977" priority="977">
      <formula>AND(OR(ROW()=CELL("row"),COLUMN()=CELL("col")),NOT(ISBLANK($C54)),NOT(ISBLANK($B54)),ROW()&gt;2,COLUMN()&gt;1)</formula>
    </cfRule>
  </conditionalFormatting>
  <conditionalFormatting sqref="B54">
    <cfRule type="containsText" dxfId="976" priority="978" operator="containsText" text="NP">
      <formula>NOT(ISERROR(SEARCH("NP",B54)))</formula>
    </cfRule>
  </conditionalFormatting>
  <conditionalFormatting sqref="B54">
    <cfRule type="expression" dxfId="975" priority="976">
      <formula>ISBLANK(B54)</formula>
    </cfRule>
  </conditionalFormatting>
  <conditionalFormatting sqref="B54">
    <cfRule type="containsText" dxfId="974" priority="975" operator="containsText" text="Reconocimiento Créditos">
      <formula>NOT(ISERROR(SEARCH("Reconocimiento Créditos",B54)))</formula>
    </cfRule>
  </conditionalFormatting>
  <conditionalFormatting sqref="B54">
    <cfRule type="expression" dxfId="973" priority="973">
      <formula>AND(ISNUMBER(B54), OR(B54&gt;10, B54&lt;0))</formula>
    </cfRule>
  </conditionalFormatting>
  <conditionalFormatting sqref="B54">
    <cfRule type="expression" dxfId="972" priority="972">
      <formula>AND(NOT(ISNUMBER(B54)), B54&lt;&gt;"NP", B54&lt;&gt;"Reconocimiento Créditos", B54&lt;&gt;"Aprobado en otro curso")</formula>
    </cfRule>
  </conditionalFormatting>
  <conditionalFormatting sqref="B54">
    <cfRule type="containsText" dxfId="971" priority="971" operator="containsText" text="Reconocimiento Créditos">
      <formula>NOT(ISERROR(SEARCH("Reconocimiento Créditos",B54)))</formula>
    </cfRule>
  </conditionalFormatting>
  <conditionalFormatting sqref="B54">
    <cfRule type="containsText" dxfId="970" priority="974" operator="containsText" text="Aprobado en otro curso">
      <formula>NOT(ISERROR(SEARCH("Aprobado en otro curso",B54)))</formula>
    </cfRule>
  </conditionalFormatting>
  <conditionalFormatting sqref="A55">
    <cfRule type="expression" dxfId="969" priority="969">
      <formula>AND(OR(ROW()=CELL("row"),COLUMN()=CELL("col")),NOT(ISBLANK($C55)),NOT(ISBLANK($B55)),ROW()&gt;2,COLUMN()&gt;1)</formula>
    </cfRule>
  </conditionalFormatting>
  <conditionalFormatting sqref="A55">
    <cfRule type="expression" dxfId="968" priority="968">
      <formula>SUM(--ISBLANK($B55:$J55))=COLUMNS($B55:$J55)</formula>
    </cfRule>
  </conditionalFormatting>
  <conditionalFormatting sqref="A55">
    <cfRule type="containsText" dxfId="967" priority="970" operator="containsText" text="NP">
      <formula>NOT(ISERROR(SEARCH("NP",A55)))</formula>
    </cfRule>
  </conditionalFormatting>
  <conditionalFormatting sqref="A55">
    <cfRule type="expression" dxfId="966" priority="967">
      <formula>ISBLANK(A55)</formula>
    </cfRule>
  </conditionalFormatting>
  <conditionalFormatting sqref="B55">
    <cfRule type="expression" dxfId="965" priority="966">
      <formula>SUM(--ISBLANK($B55:$J55))=COLUMNS($B55:$J55)</formula>
    </cfRule>
  </conditionalFormatting>
  <conditionalFormatting sqref="B55">
    <cfRule type="containsText" dxfId="964" priority="964" operator="containsText" text="NP">
      <formula>NOT(ISERROR(SEARCH("NP",B55)))</formula>
    </cfRule>
    <cfRule type="cellIs" dxfId="963" priority="965" operator="lessThan">
      <formula>5</formula>
    </cfRule>
  </conditionalFormatting>
  <conditionalFormatting sqref="B55">
    <cfRule type="expression" dxfId="962" priority="962">
      <formula>AND(OR(ROW()=CELL("row"),COLUMN()=CELL("col")),NOT(ISBLANK($C55)),NOT(ISBLANK($B55)),ROW()&gt;2,COLUMN()&gt;1)</formula>
    </cfRule>
  </conditionalFormatting>
  <conditionalFormatting sqref="B55">
    <cfRule type="containsText" dxfId="961" priority="963" operator="containsText" text="NP">
      <formula>NOT(ISERROR(SEARCH("NP",B55)))</formula>
    </cfRule>
  </conditionalFormatting>
  <conditionalFormatting sqref="B55">
    <cfRule type="expression" dxfId="960" priority="961">
      <formula>ISBLANK(B55)</formula>
    </cfRule>
  </conditionalFormatting>
  <conditionalFormatting sqref="B55">
    <cfRule type="containsText" dxfId="959" priority="960" operator="containsText" text="Reconocimiento Créditos">
      <formula>NOT(ISERROR(SEARCH("Reconocimiento Créditos",B55)))</formula>
    </cfRule>
  </conditionalFormatting>
  <conditionalFormatting sqref="B55">
    <cfRule type="expression" dxfId="958" priority="958">
      <formula>AND(ISNUMBER(B55), OR(B55&gt;10, B55&lt;0))</formula>
    </cfRule>
  </conditionalFormatting>
  <conditionalFormatting sqref="B55">
    <cfRule type="expression" dxfId="957" priority="957">
      <formula>AND(NOT(ISNUMBER(B55)), B55&lt;&gt;"NP", B55&lt;&gt;"Reconocimiento Créditos", B55&lt;&gt;"Aprobado en otro curso")</formula>
    </cfRule>
  </conditionalFormatting>
  <conditionalFormatting sqref="B55">
    <cfRule type="containsText" dxfId="956" priority="956" operator="containsText" text="Reconocimiento Créditos">
      <formula>NOT(ISERROR(SEARCH("Reconocimiento Créditos",B55)))</formula>
    </cfRule>
  </conditionalFormatting>
  <conditionalFormatting sqref="B55">
    <cfRule type="containsText" dxfId="955" priority="959" operator="containsText" text="Aprobado en otro curso">
      <formula>NOT(ISERROR(SEARCH("Aprobado en otro curso",B55)))</formula>
    </cfRule>
  </conditionalFormatting>
  <conditionalFormatting sqref="A56">
    <cfRule type="expression" dxfId="954" priority="954">
      <formula>AND(OR(ROW()=CELL("row"),COLUMN()=CELL("col")),NOT(ISBLANK($C56)),NOT(ISBLANK($B56)),ROW()&gt;2,COLUMN()&gt;1)</formula>
    </cfRule>
  </conditionalFormatting>
  <conditionalFormatting sqref="A56">
    <cfRule type="expression" dxfId="953" priority="953">
      <formula>SUM(--ISBLANK($B56:$J56))=COLUMNS($B56:$J56)</formula>
    </cfRule>
  </conditionalFormatting>
  <conditionalFormatting sqref="A56">
    <cfRule type="containsText" dxfId="952" priority="955" operator="containsText" text="NP">
      <formula>NOT(ISERROR(SEARCH("NP",A56)))</formula>
    </cfRule>
  </conditionalFormatting>
  <conditionalFormatting sqref="A56">
    <cfRule type="expression" dxfId="951" priority="952">
      <formula>ISBLANK(A56)</formula>
    </cfRule>
  </conditionalFormatting>
  <conditionalFormatting sqref="B56">
    <cfRule type="expression" dxfId="950" priority="951">
      <formula>SUM(--ISBLANK($B56:$J56))=COLUMNS($B56:$J56)</formula>
    </cfRule>
  </conditionalFormatting>
  <conditionalFormatting sqref="B56">
    <cfRule type="containsText" dxfId="949" priority="949" operator="containsText" text="NP">
      <formula>NOT(ISERROR(SEARCH("NP",B56)))</formula>
    </cfRule>
    <cfRule type="cellIs" dxfId="948" priority="950" operator="lessThan">
      <formula>5</formula>
    </cfRule>
  </conditionalFormatting>
  <conditionalFormatting sqref="B56">
    <cfRule type="expression" dxfId="947" priority="947">
      <formula>AND(OR(ROW()=CELL("row"),COLUMN()=CELL("col")),NOT(ISBLANK($C56)),NOT(ISBLANK($B56)),ROW()&gt;2,COLUMN()&gt;1)</formula>
    </cfRule>
  </conditionalFormatting>
  <conditionalFormatting sqref="B56">
    <cfRule type="containsText" dxfId="946" priority="948" operator="containsText" text="NP">
      <formula>NOT(ISERROR(SEARCH("NP",B56)))</formula>
    </cfRule>
  </conditionalFormatting>
  <conditionalFormatting sqref="B56">
    <cfRule type="expression" dxfId="945" priority="946">
      <formula>ISBLANK(B56)</formula>
    </cfRule>
  </conditionalFormatting>
  <conditionalFormatting sqref="B56">
    <cfRule type="containsText" dxfId="944" priority="945" operator="containsText" text="Reconocimiento Créditos">
      <formula>NOT(ISERROR(SEARCH("Reconocimiento Créditos",B56)))</formula>
    </cfRule>
  </conditionalFormatting>
  <conditionalFormatting sqref="B56">
    <cfRule type="expression" dxfId="943" priority="943">
      <formula>AND(ISNUMBER(B56), OR(B56&gt;10, B56&lt;0))</formula>
    </cfRule>
  </conditionalFormatting>
  <conditionalFormatting sqref="B56">
    <cfRule type="expression" dxfId="942" priority="942">
      <formula>AND(NOT(ISNUMBER(B56)), B56&lt;&gt;"NP", B56&lt;&gt;"Reconocimiento Créditos", B56&lt;&gt;"Aprobado en otro curso")</formula>
    </cfRule>
  </conditionalFormatting>
  <conditionalFormatting sqref="B56">
    <cfRule type="containsText" dxfId="941" priority="941" operator="containsText" text="Reconocimiento Créditos">
      <formula>NOT(ISERROR(SEARCH("Reconocimiento Créditos",B56)))</formula>
    </cfRule>
  </conditionalFormatting>
  <conditionalFormatting sqref="B56">
    <cfRule type="containsText" dxfId="940" priority="944" operator="containsText" text="Aprobado en otro curso">
      <formula>NOT(ISERROR(SEARCH("Aprobado en otro curso",B56)))</formula>
    </cfRule>
  </conditionalFormatting>
  <conditionalFormatting sqref="A57">
    <cfRule type="expression" dxfId="939" priority="939">
      <formula>AND(OR(ROW()=CELL("row"),COLUMN()=CELL("col")),NOT(ISBLANK($C57)),NOT(ISBLANK($B57)),ROW()&gt;2,COLUMN()&gt;1)</formula>
    </cfRule>
  </conditionalFormatting>
  <conditionalFormatting sqref="A57">
    <cfRule type="expression" dxfId="938" priority="938">
      <formula>SUM(--ISBLANK($B57:$J57))=COLUMNS($B57:$J57)</formula>
    </cfRule>
  </conditionalFormatting>
  <conditionalFormatting sqref="A57">
    <cfRule type="containsText" dxfId="937" priority="940" operator="containsText" text="NP">
      <formula>NOT(ISERROR(SEARCH("NP",A57)))</formula>
    </cfRule>
  </conditionalFormatting>
  <conditionalFormatting sqref="A57">
    <cfRule type="expression" dxfId="936" priority="937">
      <formula>ISBLANK(A57)</formula>
    </cfRule>
  </conditionalFormatting>
  <conditionalFormatting sqref="B57">
    <cfRule type="expression" dxfId="935" priority="936">
      <formula>SUM(--ISBLANK($B57:$J57))=COLUMNS($B57:$J57)</formula>
    </cfRule>
  </conditionalFormatting>
  <conditionalFormatting sqref="B57">
    <cfRule type="containsText" dxfId="934" priority="934" operator="containsText" text="NP">
      <formula>NOT(ISERROR(SEARCH("NP",B57)))</formula>
    </cfRule>
    <cfRule type="cellIs" dxfId="933" priority="935" operator="lessThan">
      <formula>5</formula>
    </cfRule>
  </conditionalFormatting>
  <conditionalFormatting sqref="B57">
    <cfRule type="expression" dxfId="932" priority="932">
      <formula>AND(OR(ROW()=CELL("row"),COLUMN()=CELL("col")),NOT(ISBLANK($C57)),NOT(ISBLANK($B57)),ROW()&gt;2,COLUMN()&gt;1)</formula>
    </cfRule>
  </conditionalFormatting>
  <conditionalFormatting sqref="B57">
    <cfRule type="containsText" dxfId="931" priority="933" operator="containsText" text="NP">
      <formula>NOT(ISERROR(SEARCH("NP",B57)))</formula>
    </cfRule>
  </conditionalFormatting>
  <conditionalFormatting sqref="B57">
    <cfRule type="expression" dxfId="930" priority="931">
      <formula>ISBLANK(B57)</formula>
    </cfRule>
  </conditionalFormatting>
  <conditionalFormatting sqref="B57">
    <cfRule type="containsText" dxfId="929" priority="930" operator="containsText" text="Reconocimiento Créditos">
      <formula>NOT(ISERROR(SEARCH("Reconocimiento Créditos",B57)))</formula>
    </cfRule>
  </conditionalFormatting>
  <conditionalFormatting sqref="B57">
    <cfRule type="expression" dxfId="928" priority="928">
      <formula>AND(ISNUMBER(B57), OR(B57&gt;10, B57&lt;0))</formula>
    </cfRule>
  </conditionalFormatting>
  <conditionalFormatting sqref="B57">
    <cfRule type="expression" dxfId="927" priority="927">
      <formula>AND(NOT(ISNUMBER(B57)), B57&lt;&gt;"NP", B57&lt;&gt;"Reconocimiento Créditos", B57&lt;&gt;"Aprobado en otro curso")</formula>
    </cfRule>
  </conditionalFormatting>
  <conditionalFormatting sqref="B57">
    <cfRule type="containsText" dxfId="926" priority="926" operator="containsText" text="Reconocimiento Créditos">
      <formula>NOT(ISERROR(SEARCH("Reconocimiento Créditos",B57)))</formula>
    </cfRule>
  </conditionalFormatting>
  <conditionalFormatting sqref="B57">
    <cfRule type="containsText" dxfId="925" priority="929" operator="containsText" text="Aprobado en otro curso">
      <formula>NOT(ISERROR(SEARCH("Aprobado en otro curso",B57)))</formula>
    </cfRule>
  </conditionalFormatting>
  <conditionalFormatting sqref="A58">
    <cfRule type="expression" dxfId="924" priority="924">
      <formula>AND(OR(ROW()=CELL("row"),COLUMN()=CELL("col")),NOT(ISBLANK($C58)),NOT(ISBLANK($B58)),ROW()&gt;2,COLUMN()&gt;1)</formula>
    </cfRule>
  </conditionalFormatting>
  <conditionalFormatting sqref="A58">
    <cfRule type="expression" dxfId="923" priority="923">
      <formula>SUM(--ISBLANK($B58:$J58))=COLUMNS($B58:$J58)</formula>
    </cfRule>
  </conditionalFormatting>
  <conditionalFormatting sqref="A58">
    <cfRule type="containsText" dxfId="922" priority="925" operator="containsText" text="NP">
      <formula>NOT(ISERROR(SEARCH("NP",A58)))</formula>
    </cfRule>
  </conditionalFormatting>
  <conditionalFormatting sqref="A58">
    <cfRule type="expression" dxfId="921" priority="922">
      <formula>ISBLANK(A58)</formula>
    </cfRule>
  </conditionalFormatting>
  <conditionalFormatting sqref="B58">
    <cfRule type="expression" dxfId="920" priority="921">
      <formula>SUM(--ISBLANK($B58:$J58))=COLUMNS($B58:$J58)</formula>
    </cfRule>
  </conditionalFormatting>
  <conditionalFormatting sqref="B58">
    <cfRule type="containsText" dxfId="919" priority="919" operator="containsText" text="NP">
      <formula>NOT(ISERROR(SEARCH("NP",B58)))</formula>
    </cfRule>
    <cfRule type="cellIs" dxfId="918" priority="920" operator="lessThan">
      <formula>5</formula>
    </cfRule>
  </conditionalFormatting>
  <conditionalFormatting sqref="B58">
    <cfRule type="expression" dxfId="917" priority="917">
      <formula>AND(OR(ROW()=CELL("row"),COLUMN()=CELL("col")),NOT(ISBLANK($C58)),NOT(ISBLANK($B58)),ROW()&gt;2,COLUMN()&gt;1)</formula>
    </cfRule>
  </conditionalFormatting>
  <conditionalFormatting sqref="B58">
    <cfRule type="containsText" dxfId="916" priority="918" operator="containsText" text="NP">
      <formula>NOT(ISERROR(SEARCH("NP",B58)))</formula>
    </cfRule>
  </conditionalFormatting>
  <conditionalFormatting sqref="B58">
    <cfRule type="expression" dxfId="915" priority="916">
      <formula>ISBLANK(B58)</formula>
    </cfRule>
  </conditionalFormatting>
  <conditionalFormatting sqref="B58">
    <cfRule type="containsText" dxfId="914" priority="915" operator="containsText" text="Reconocimiento Créditos">
      <formula>NOT(ISERROR(SEARCH("Reconocimiento Créditos",B58)))</formula>
    </cfRule>
  </conditionalFormatting>
  <conditionalFormatting sqref="B58">
    <cfRule type="expression" dxfId="913" priority="913">
      <formula>AND(ISNUMBER(B58), OR(B58&gt;10, B58&lt;0))</formula>
    </cfRule>
  </conditionalFormatting>
  <conditionalFormatting sqref="B58">
    <cfRule type="containsText" dxfId="912" priority="912" operator="containsText" text="Reconocimiento Créditos">
      <formula>NOT(ISERROR(SEARCH("Reconocimiento Créditos",B58)))</formula>
    </cfRule>
  </conditionalFormatting>
  <conditionalFormatting sqref="B58">
    <cfRule type="containsText" dxfId="911" priority="914" operator="containsText" text="Aprobado en otro curso">
      <formula>NOT(ISERROR(SEARCH("Aprobado en otro curso",B58)))</formula>
    </cfRule>
  </conditionalFormatting>
  <conditionalFormatting sqref="A59">
    <cfRule type="expression" dxfId="910" priority="910">
      <formula>AND(OR(ROW()=CELL("row"),COLUMN()=CELL("col")),NOT(ISBLANK($C59)),NOT(ISBLANK($B59)),ROW()&gt;2,COLUMN()&gt;1)</formula>
    </cfRule>
  </conditionalFormatting>
  <conditionalFormatting sqref="A59">
    <cfRule type="expression" dxfId="909" priority="909">
      <formula>SUM(--ISBLANK($B59:$J59))=COLUMNS($B59:$J59)</formula>
    </cfRule>
  </conditionalFormatting>
  <conditionalFormatting sqref="A59">
    <cfRule type="containsText" dxfId="908" priority="911" operator="containsText" text="NP">
      <formula>NOT(ISERROR(SEARCH("NP",A59)))</formula>
    </cfRule>
  </conditionalFormatting>
  <conditionalFormatting sqref="A59">
    <cfRule type="expression" dxfId="907" priority="908">
      <formula>ISBLANK(A59)</formula>
    </cfRule>
  </conditionalFormatting>
  <conditionalFormatting sqref="B59">
    <cfRule type="expression" dxfId="906" priority="907">
      <formula>SUM(--ISBLANK($B59:$J59))=COLUMNS($B59:$J59)</formula>
    </cfRule>
  </conditionalFormatting>
  <conditionalFormatting sqref="B59">
    <cfRule type="containsText" dxfId="905" priority="905" operator="containsText" text="NP">
      <formula>NOT(ISERROR(SEARCH("NP",B59)))</formula>
    </cfRule>
    <cfRule type="cellIs" dxfId="904" priority="906" operator="lessThan">
      <formula>5</formula>
    </cfRule>
  </conditionalFormatting>
  <conditionalFormatting sqref="B59">
    <cfRule type="expression" dxfId="903" priority="903">
      <formula>AND(OR(ROW()=CELL("row"),COLUMN()=CELL("col")),NOT(ISBLANK($C59)),NOT(ISBLANK($B59)),ROW()&gt;2,COLUMN()&gt;1)</formula>
    </cfRule>
  </conditionalFormatting>
  <conditionalFormatting sqref="B59">
    <cfRule type="containsText" dxfId="902" priority="904" operator="containsText" text="NP">
      <formula>NOT(ISERROR(SEARCH("NP",B59)))</formula>
    </cfRule>
  </conditionalFormatting>
  <conditionalFormatting sqref="B59">
    <cfRule type="expression" dxfId="901" priority="902">
      <formula>ISBLANK(B59)</formula>
    </cfRule>
  </conditionalFormatting>
  <conditionalFormatting sqref="B59">
    <cfRule type="containsText" dxfId="900" priority="901" operator="containsText" text="Reconocimiento Créditos">
      <formula>NOT(ISERROR(SEARCH("Reconocimiento Créditos",B59)))</formula>
    </cfRule>
  </conditionalFormatting>
  <conditionalFormatting sqref="B59">
    <cfRule type="expression" dxfId="899" priority="899">
      <formula>AND(ISNUMBER(B59), OR(B59&gt;10, B59&lt;0))</formula>
    </cfRule>
  </conditionalFormatting>
  <conditionalFormatting sqref="B59">
    <cfRule type="expression" dxfId="898" priority="898">
      <formula>AND(NOT(ISNUMBER(B59)), B59&lt;&gt;"NP", B59&lt;&gt;"Reconocimiento Créditos", B59&lt;&gt;"Aprobado en otro curso")</formula>
    </cfRule>
  </conditionalFormatting>
  <conditionalFormatting sqref="B59">
    <cfRule type="containsText" dxfId="897" priority="897" operator="containsText" text="Reconocimiento Créditos">
      <formula>NOT(ISERROR(SEARCH("Reconocimiento Créditos",B59)))</formula>
    </cfRule>
  </conditionalFormatting>
  <conditionalFormatting sqref="B59">
    <cfRule type="containsText" dxfId="896" priority="900" operator="containsText" text="Aprobado en otro curso">
      <formula>NOT(ISERROR(SEARCH("Aprobado en otro curso",B59)))</formula>
    </cfRule>
  </conditionalFormatting>
  <conditionalFormatting sqref="A60">
    <cfRule type="expression" dxfId="895" priority="895">
      <formula>AND(OR(ROW()=CELL("row"),COLUMN()=CELL("col")),NOT(ISBLANK($C60)),NOT(ISBLANK($B60)),ROW()&gt;2,COLUMN()&gt;1)</formula>
    </cfRule>
  </conditionalFormatting>
  <conditionalFormatting sqref="A60">
    <cfRule type="expression" dxfId="894" priority="894">
      <formula>SUM(--ISBLANK($B60:$J60))=COLUMNS($B60:$J60)</formula>
    </cfRule>
  </conditionalFormatting>
  <conditionalFormatting sqref="A60">
    <cfRule type="containsText" dxfId="893" priority="896" operator="containsText" text="NP">
      <formula>NOT(ISERROR(SEARCH("NP",A60)))</formula>
    </cfRule>
  </conditionalFormatting>
  <conditionalFormatting sqref="A60">
    <cfRule type="expression" dxfId="892" priority="893">
      <formula>ISBLANK(A60)</formula>
    </cfRule>
  </conditionalFormatting>
  <conditionalFormatting sqref="B60">
    <cfRule type="expression" dxfId="891" priority="892">
      <formula>SUM(--ISBLANK($B60:$J60))=COLUMNS($B60:$J60)</formula>
    </cfRule>
  </conditionalFormatting>
  <conditionalFormatting sqref="B60">
    <cfRule type="containsText" dxfId="890" priority="890" operator="containsText" text="NP">
      <formula>NOT(ISERROR(SEARCH("NP",B60)))</formula>
    </cfRule>
    <cfRule type="cellIs" dxfId="889" priority="891" operator="lessThan">
      <formula>5</formula>
    </cfRule>
  </conditionalFormatting>
  <conditionalFormatting sqref="B60">
    <cfRule type="expression" dxfId="888" priority="888">
      <formula>AND(OR(ROW()=CELL("row"),COLUMN()=CELL("col")),NOT(ISBLANK($C60)),NOT(ISBLANK($B60)),ROW()&gt;2,COLUMN()&gt;1)</formula>
    </cfRule>
  </conditionalFormatting>
  <conditionalFormatting sqref="B60">
    <cfRule type="containsText" dxfId="887" priority="889" operator="containsText" text="NP">
      <formula>NOT(ISERROR(SEARCH("NP",B60)))</formula>
    </cfRule>
  </conditionalFormatting>
  <conditionalFormatting sqref="B60">
    <cfRule type="expression" dxfId="886" priority="887">
      <formula>ISBLANK(B60)</formula>
    </cfRule>
  </conditionalFormatting>
  <conditionalFormatting sqref="B60">
    <cfRule type="containsText" dxfId="885" priority="886" operator="containsText" text="Reconocimiento Créditos">
      <formula>NOT(ISERROR(SEARCH("Reconocimiento Créditos",B60)))</formula>
    </cfRule>
  </conditionalFormatting>
  <conditionalFormatting sqref="B60">
    <cfRule type="expression" dxfId="884" priority="884">
      <formula>AND(ISNUMBER(B60), OR(B60&gt;10, B60&lt;0))</formula>
    </cfRule>
  </conditionalFormatting>
  <conditionalFormatting sqref="B60">
    <cfRule type="expression" dxfId="883" priority="883">
      <formula>AND(NOT(ISNUMBER(B60)), B60&lt;&gt;"NP", B60&lt;&gt;"Reconocimiento Créditos", B60&lt;&gt;"Aprobado en otro curso")</formula>
    </cfRule>
  </conditionalFormatting>
  <conditionalFormatting sqref="B60">
    <cfRule type="containsText" dxfId="882" priority="882" operator="containsText" text="Reconocimiento Créditos">
      <formula>NOT(ISERROR(SEARCH("Reconocimiento Créditos",B60)))</formula>
    </cfRule>
  </conditionalFormatting>
  <conditionalFormatting sqref="B60">
    <cfRule type="containsText" dxfId="881" priority="885" operator="containsText" text="Aprobado en otro curso">
      <formula>NOT(ISERROR(SEARCH("Aprobado en otro curso",B60)))</formula>
    </cfRule>
  </conditionalFormatting>
  <conditionalFormatting sqref="A61">
    <cfRule type="expression" dxfId="880" priority="880">
      <formula>AND(OR(ROW()=CELL("row"),COLUMN()=CELL("col")),NOT(ISBLANK($C61)),NOT(ISBLANK($B61)),ROW()&gt;2,COLUMN()&gt;1)</formula>
    </cfRule>
  </conditionalFormatting>
  <conditionalFormatting sqref="A61">
    <cfRule type="expression" dxfId="879" priority="879">
      <formula>SUM(--ISBLANK($B61:$J61))=COLUMNS($B61:$J61)</formula>
    </cfRule>
  </conditionalFormatting>
  <conditionalFormatting sqref="A61">
    <cfRule type="containsText" dxfId="878" priority="881" operator="containsText" text="NP">
      <formula>NOT(ISERROR(SEARCH("NP",A61)))</formula>
    </cfRule>
  </conditionalFormatting>
  <conditionalFormatting sqref="A61">
    <cfRule type="expression" dxfId="877" priority="878">
      <formula>ISBLANK(A61)</formula>
    </cfRule>
  </conditionalFormatting>
  <conditionalFormatting sqref="B61">
    <cfRule type="expression" dxfId="876" priority="877">
      <formula>SUM(--ISBLANK($B61:$J61))=COLUMNS($B61:$J61)</formula>
    </cfRule>
  </conditionalFormatting>
  <conditionalFormatting sqref="B61">
    <cfRule type="containsText" dxfId="875" priority="875" operator="containsText" text="NP">
      <formula>NOT(ISERROR(SEARCH("NP",B61)))</formula>
    </cfRule>
    <cfRule type="cellIs" dxfId="874" priority="876" operator="lessThan">
      <formula>5</formula>
    </cfRule>
  </conditionalFormatting>
  <conditionalFormatting sqref="B61">
    <cfRule type="expression" dxfId="873" priority="873">
      <formula>AND(OR(ROW()=CELL("row"),COLUMN()=CELL("col")),NOT(ISBLANK($C61)),NOT(ISBLANK($B61)),ROW()&gt;2,COLUMN()&gt;1)</formula>
    </cfRule>
  </conditionalFormatting>
  <conditionalFormatting sqref="B61">
    <cfRule type="containsText" dxfId="872" priority="874" operator="containsText" text="NP">
      <formula>NOT(ISERROR(SEARCH("NP",B61)))</formula>
    </cfRule>
  </conditionalFormatting>
  <conditionalFormatting sqref="B61">
    <cfRule type="expression" dxfId="871" priority="872">
      <formula>ISBLANK(B61)</formula>
    </cfRule>
  </conditionalFormatting>
  <conditionalFormatting sqref="B61">
    <cfRule type="containsText" dxfId="870" priority="871" operator="containsText" text="Reconocimiento Créditos">
      <formula>NOT(ISERROR(SEARCH("Reconocimiento Créditos",B61)))</formula>
    </cfRule>
  </conditionalFormatting>
  <conditionalFormatting sqref="B61">
    <cfRule type="expression" dxfId="869" priority="869">
      <formula>AND(ISNUMBER(B61), OR(B61&gt;10, B61&lt;0))</formula>
    </cfRule>
  </conditionalFormatting>
  <conditionalFormatting sqref="B61">
    <cfRule type="expression" dxfId="868" priority="868">
      <formula>AND(NOT(ISNUMBER(B61)), B61&lt;&gt;"NP", B61&lt;&gt;"Reconocimiento Créditos", B61&lt;&gt;"Aprobado en otro curso")</formula>
    </cfRule>
  </conditionalFormatting>
  <conditionalFormatting sqref="B61">
    <cfRule type="containsText" dxfId="867" priority="867" operator="containsText" text="Reconocimiento Créditos">
      <formula>NOT(ISERROR(SEARCH("Reconocimiento Créditos",B61)))</formula>
    </cfRule>
  </conditionalFormatting>
  <conditionalFormatting sqref="B61">
    <cfRule type="containsText" dxfId="866" priority="870" operator="containsText" text="Aprobado en otro curso">
      <formula>NOT(ISERROR(SEARCH("Aprobado en otro curso",B61)))</formula>
    </cfRule>
  </conditionalFormatting>
  <conditionalFormatting sqref="A62">
    <cfRule type="expression" dxfId="865" priority="865">
      <formula>AND(OR(ROW()=CELL("row"),COLUMN()=CELL("col")),NOT(ISBLANK($C62)),NOT(ISBLANK($B62)),ROW()&gt;2,COLUMN()&gt;1)</formula>
    </cfRule>
  </conditionalFormatting>
  <conditionalFormatting sqref="A62">
    <cfRule type="expression" dxfId="864" priority="864">
      <formula>SUM(--ISBLANK($B62:$J62))=COLUMNS($B62:$J62)</formula>
    </cfRule>
  </conditionalFormatting>
  <conditionalFormatting sqref="A62">
    <cfRule type="containsText" dxfId="863" priority="866" operator="containsText" text="NP">
      <formula>NOT(ISERROR(SEARCH("NP",A62)))</formula>
    </cfRule>
  </conditionalFormatting>
  <conditionalFormatting sqref="A62">
    <cfRule type="expression" dxfId="862" priority="863">
      <formula>ISBLANK(A62)</formula>
    </cfRule>
  </conditionalFormatting>
  <conditionalFormatting sqref="B62">
    <cfRule type="expression" dxfId="861" priority="862">
      <formula>SUM(--ISBLANK($B62:$J62))=COLUMNS($B62:$J62)</formula>
    </cfRule>
  </conditionalFormatting>
  <conditionalFormatting sqref="B62">
    <cfRule type="containsText" dxfId="860" priority="860" operator="containsText" text="NP">
      <formula>NOT(ISERROR(SEARCH("NP",B62)))</formula>
    </cfRule>
    <cfRule type="cellIs" dxfId="859" priority="861" operator="lessThan">
      <formula>5</formula>
    </cfRule>
  </conditionalFormatting>
  <conditionalFormatting sqref="B62">
    <cfRule type="expression" dxfId="858" priority="858">
      <formula>AND(OR(ROW()=CELL("row"),COLUMN()=CELL("col")),NOT(ISBLANK($C62)),NOT(ISBLANK($B62)),ROW()&gt;2,COLUMN()&gt;1)</formula>
    </cfRule>
  </conditionalFormatting>
  <conditionalFormatting sqref="B62">
    <cfRule type="containsText" dxfId="857" priority="859" operator="containsText" text="NP">
      <formula>NOT(ISERROR(SEARCH("NP",B62)))</formula>
    </cfRule>
  </conditionalFormatting>
  <conditionalFormatting sqref="B62">
    <cfRule type="expression" dxfId="856" priority="857">
      <formula>ISBLANK(B62)</formula>
    </cfRule>
  </conditionalFormatting>
  <conditionalFormatting sqref="B62">
    <cfRule type="containsText" dxfId="855" priority="856" operator="containsText" text="Reconocimiento Créditos">
      <formula>NOT(ISERROR(SEARCH("Reconocimiento Créditos",B62)))</formula>
    </cfRule>
  </conditionalFormatting>
  <conditionalFormatting sqref="B62">
    <cfRule type="expression" dxfId="854" priority="854">
      <formula>AND(ISNUMBER(B62), OR(B62&gt;10, B62&lt;0))</formula>
    </cfRule>
  </conditionalFormatting>
  <conditionalFormatting sqref="B62">
    <cfRule type="expression" dxfId="853" priority="853">
      <formula>AND(NOT(ISNUMBER(B62)), B62&lt;&gt;"NP", B62&lt;&gt;"Reconocimiento Créditos", B62&lt;&gt;"Aprobado en otro curso")</formula>
    </cfRule>
  </conditionalFormatting>
  <conditionalFormatting sqref="B62">
    <cfRule type="containsText" dxfId="852" priority="852" operator="containsText" text="Reconocimiento Créditos">
      <formula>NOT(ISERROR(SEARCH("Reconocimiento Créditos",B62)))</formula>
    </cfRule>
  </conditionalFormatting>
  <conditionalFormatting sqref="B62">
    <cfRule type="containsText" dxfId="851" priority="855" operator="containsText" text="Aprobado en otro curso">
      <formula>NOT(ISERROR(SEARCH("Aprobado en otro curso",B62)))</formula>
    </cfRule>
  </conditionalFormatting>
  <conditionalFormatting sqref="A63">
    <cfRule type="expression" dxfId="850" priority="850">
      <formula>AND(OR(ROW()=CELL("row"),COLUMN()=CELL("col")),NOT(ISBLANK($C63)),NOT(ISBLANK($B63)),ROW()&gt;2,COLUMN()&gt;1)</formula>
    </cfRule>
  </conditionalFormatting>
  <conditionalFormatting sqref="A63">
    <cfRule type="expression" dxfId="849" priority="849">
      <formula>SUM(--ISBLANK($B63:$J63))=COLUMNS($B63:$J63)</formula>
    </cfRule>
  </conditionalFormatting>
  <conditionalFormatting sqref="A63">
    <cfRule type="containsText" dxfId="848" priority="851" operator="containsText" text="NP">
      <formula>NOT(ISERROR(SEARCH("NP",A63)))</formula>
    </cfRule>
  </conditionalFormatting>
  <conditionalFormatting sqref="A63">
    <cfRule type="expression" dxfId="847" priority="848">
      <formula>ISBLANK(A63)</formula>
    </cfRule>
  </conditionalFormatting>
  <conditionalFormatting sqref="B63">
    <cfRule type="expression" dxfId="846" priority="847">
      <formula>SUM(--ISBLANK($B63:$J63))=COLUMNS($B63:$J63)</formula>
    </cfRule>
  </conditionalFormatting>
  <conditionalFormatting sqref="B63">
    <cfRule type="containsText" dxfId="845" priority="845" operator="containsText" text="NP">
      <formula>NOT(ISERROR(SEARCH("NP",B63)))</formula>
    </cfRule>
    <cfRule type="cellIs" dxfId="844" priority="846" operator="lessThan">
      <formula>5</formula>
    </cfRule>
  </conditionalFormatting>
  <conditionalFormatting sqref="B63">
    <cfRule type="expression" dxfId="843" priority="843">
      <formula>AND(OR(ROW()=CELL("row"),COLUMN()=CELL("col")),NOT(ISBLANK($C63)),NOT(ISBLANK($B63)),ROW()&gt;2,COLUMN()&gt;1)</formula>
    </cfRule>
  </conditionalFormatting>
  <conditionalFormatting sqref="B63">
    <cfRule type="containsText" dxfId="842" priority="844" operator="containsText" text="NP">
      <formula>NOT(ISERROR(SEARCH("NP",B63)))</formula>
    </cfRule>
  </conditionalFormatting>
  <conditionalFormatting sqref="B63">
    <cfRule type="expression" dxfId="841" priority="842">
      <formula>ISBLANK(B63)</formula>
    </cfRule>
  </conditionalFormatting>
  <conditionalFormatting sqref="B63">
    <cfRule type="containsText" dxfId="840" priority="841" operator="containsText" text="Reconocimiento Créditos">
      <formula>NOT(ISERROR(SEARCH("Reconocimiento Créditos",B63)))</formula>
    </cfRule>
  </conditionalFormatting>
  <conditionalFormatting sqref="B63">
    <cfRule type="expression" dxfId="839" priority="839">
      <formula>AND(ISNUMBER(B63), OR(B63&gt;10, B63&lt;0))</formula>
    </cfRule>
  </conditionalFormatting>
  <conditionalFormatting sqref="B63">
    <cfRule type="expression" dxfId="838" priority="838">
      <formula>AND(NOT(ISNUMBER(B63)), B63&lt;&gt;"NP", B63&lt;&gt;"Reconocimiento Créditos", B63&lt;&gt;"Aprobado en otro curso")</formula>
    </cfRule>
  </conditionalFormatting>
  <conditionalFormatting sqref="B63">
    <cfRule type="containsText" dxfId="837" priority="837" operator="containsText" text="Reconocimiento Créditos">
      <formula>NOT(ISERROR(SEARCH("Reconocimiento Créditos",B63)))</formula>
    </cfRule>
  </conditionalFormatting>
  <conditionalFormatting sqref="B63">
    <cfRule type="containsText" dxfId="836" priority="840" operator="containsText" text="Aprobado en otro curso">
      <formula>NOT(ISERROR(SEARCH("Aprobado en otro curso",B63)))</formula>
    </cfRule>
  </conditionalFormatting>
  <conditionalFormatting sqref="A64">
    <cfRule type="expression" dxfId="835" priority="835">
      <formula>AND(OR(ROW()=CELL("row"),COLUMN()=CELL("col")),NOT(ISBLANK($C64)),NOT(ISBLANK($B64)),ROW()&gt;2,COLUMN()&gt;1)</formula>
    </cfRule>
  </conditionalFormatting>
  <conditionalFormatting sqref="A64">
    <cfRule type="expression" dxfId="834" priority="834">
      <formula>SUM(--ISBLANK($B64:$J64))=COLUMNS($B64:$J64)</formula>
    </cfRule>
  </conditionalFormatting>
  <conditionalFormatting sqref="A64">
    <cfRule type="containsText" dxfId="833" priority="836" operator="containsText" text="NP">
      <formula>NOT(ISERROR(SEARCH("NP",A64)))</formula>
    </cfRule>
  </conditionalFormatting>
  <conditionalFormatting sqref="A64">
    <cfRule type="expression" dxfId="832" priority="833">
      <formula>ISBLANK(A64)</formula>
    </cfRule>
  </conditionalFormatting>
  <conditionalFormatting sqref="B64">
    <cfRule type="expression" dxfId="831" priority="832">
      <formula>SUM(--ISBLANK($B64:$J64))=COLUMNS($B64:$J64)</formula>
    </cfRule>
  </conditionalFormatting>
  <conditionalFormatting sqref="B64">
    <cfRule type="containsText" dxfId="830" priority="830" operator="containsText" text="NP">
      <formula>NOT(ISERROR(SEARCH("NP",B64)))</formula>
    </cfRule>
    <cfRule type="cellIs" dxfId="829" priority="831" operator="lessThan">
      <formula>5</formula>
    </cfRule>
  </conditionalFormatting>
  <conditionalFormatting sqref="B64">
    <cfRule type="expression" dxfId="828" priority="828">
      <formula>AND(OR(ROW()=CELL("row"),COLUMN()=CELL("col")),NOT(ISBLANK($C64)),NOT(ISBLANK($B64)),ROW()&gt;2,COLUMN()&gt;1)</formula>
    </cfRule>
  </conditionalFormatting>
  <conditionalFormatting sqref="B64">
    <cfRule type="containsText" dxfId="827" priority="829" operator="containsText" text="NP">
      <formula>NOT(ISERROR(SEARCH("NP",B64)))</formula>
    </cfRule>
  </conditionalFormatting>
  <conditionalFormatting sqref="B64">
    <cfRule type="expression" dxfId="826" priority="827">
      <formula>ISBLANK(B64)</formula>
    </cfRule>
  </conditionalFormatting>
  <conditionalFormatting sqref="B64">
    <cfRule type="containsText" dxfId="825" priority="826" operator="containsText" text="Reconocimiento Créditos">
      <formula>NOT(ISERROR(SEARCH("Reconocimiento Créditos",B64)))</formula>
    </cfRule>
  </conditionalFormatting>
  <conditionalFormatting sqref="B64">
    <cfRule type="expression" dxfId="824" priority="824">
      <formula>AND(ISNUMBER(B64), OR(B64&gt;10, B64&lt;0))</formula>
    </cfRule>
  </conditionalFormatting>
  <conditionalFormatting sqref="B64">
    <cfRule type="expression" dxfId="823" priority="823">
      <formula>AND(NOT(ISNUMBER(B64)), B64&lt;&gt;"NP", B64&lt;&gt;"Reconocimiento Créditos", B64&lt;&gt;"Aprobado en otro curso")</formula>
    </cfRule>
  </conditionalFormatting>
  <conditionalFormatting sqref="B64">
    <cfRule type="containsText" dxfId="822" priority="822" operator="containsText" text="Reconocimiento Créditos">
      <formula>NOT(ISERROR(SEARCH("Reconocimiento Créditos",B64)))</formula>
    </cfRule>
  </conditionalFormatting>
  <conditionalFormatting sqref="B64">
    <cfRule type="containsText" dxfId="821" priority="825" operator="containsText" text="Aprobado en otro curso">
      <formula>NOT(ISERROR(SEARCH("Aprobado en otro curso",B64)))</formula>
    </cfRule>
  </conditionalFormatting>
  <conditionalFormatting sqref="A65">
    <cfRule type="expression" dxfId="820" priority="820">
      <formula>AND(OR(ROW()=CELL("row"),COLUMN()=CELL("col")),NOT(ISBLANK($C65)),NOT(ISBLANK($B65)),ROW()&gt;2,COLUMN()&gt;1)</formula>
    </cfRule>
  </conditionalFormatting>
  <conditionalFormatting sqref="A65">
    <cfRule type="expression" dxfId="819" priority="819">
      <formula>SUM(--ISBLANK($B65:$J65))=COLUMNS($B65:$J65)</formula>
    </cfRule>
  </conditionalFormatting>
  <conditionalFormatting sqref="A65">
    <cfRule type="containsText" dxfId="818" priority="821" operator="containsText" text="NP">
      <formula>NOT(ISERROR(SEARCH("NP",A65)))</formula>
    </cfRule>
  </conditionalFormatting>
  <conditionalFormatting sqref="A65">
    <cfRule type="expression" dxfId="817" priority="818">
      <formula>ISBLANK(A65)</formula>
    </cfRule>
  </conditionalFormatting>
  <conditionalFormatting sqref="B65">
    <cfRule type="expression" dxfId="816" priority="817">
      <formula>SUM(--ISBLANK($B65:$J65))=COLUMNS($B65:$J65)</formula>
    </cfRule>
  </conditionalFormatting>
  <conditionalFormatting sqref="B65">
    <cfRule type="containsText" dxfId="815" priority="815" operator="containsText" text="NP">
      <formula>NOT(ISERROR(SEARCH("NP",B65)))</formula>
    </cfRule>
    <cfRule type="cellIs" dxfId="814" priority="816" operator="lessThan">
      <formula>5</formula>
    </cfRule>
  </conditionalFormatting>
  <conditionalFormatting sqref="B65">
    <cfRule type="expression" dxfId="813" priority="813">
      <formula>AND(OR(ROW()=CELL("row"),COLUMN()=CELL("col")),NOT(ISBLANK($C65)),NOT(ISBLANK($B65)),ROW()&gt;2,COLUMN()&gt;1)</formula>
    </cfRule>
  </conditionalFormatting>
  <conditionalFormatting sqref="B65">
    <cfRule type="containsText" dxfId="812" priority="814" operator="containsText" text="NP">
      <formula>NOT(ISERROR(SEARCH("NP",B65)))</formula>
    </cfRule>
  </conditionalFormatting>
  <conditionalFormatting sqref="B65">
    <cfRule type="expression" dxfId="811" priority="812">
      <formula>ISBLANK(B65)</formula>
    </cfRule>
  </conditionalFormatting>
  <conditionalFormatting sqref="B65">
    <cfRule type="containsText" dxfId="810" priority="811" operator="containsText" text="Reconocimiento Créditos">
      <formula>NOT(ISERROR(SEARCH("Reconocimiento Créditos",B65)))</formula>
    </cfRule>
  </conditionalFormatting>
  <conditionalFormatting sqref="B65">
    <cfRule type="expression" dxfId="809" priority="809">
      <formula>AND(ISNUMBER(B65), OR(B65&gt;10, B65&lt;0))</formula>
    </cfRule>
  </conditionalFormatting>
  <conditionalFormatting sqref="B65">
    <cfRule type="expression" dxfId="808" priority="808">
      <formula>AND(NOT(ISNUMBER(B65)), B65&lt;&gt;"NP", B65&lt;&gt;"Reconocimiento Créditos", B65&lt;&gt;"Aprobado en otro curso")</formula>
    </cfRule>
  </conditionalFormatting>
  <conditionalFormatting sqref="B65">
    <cfRule type="containsText" dxfId="807" priority="807" operator="containsText" text="Reconocimiento Créditos">
      <formula>NOT(ISERROR(SEARCH("Reconocimiento Créditos",B65)))</formula>
    </cfRule>
  </conditionalFormatting>
  <conditionalFormatting sqref="B65">
    <cfRule type="containsText" dxfId="806" priority="810" operator="containsText" text="Aprobado en otro curso">
      <formula>NOT(ISERROR(SEARCH("Aprobado en otro curso",B65)))</formula>
    </cfRule>
  </conditionalFormatting>
  <conditionalFormatting sqref="A66">
    <cfRule type="expression" dxfId="805" priority="805">
      <formula>AND(OR(ROW()=CELL("row"),COLUMN()=CELL("col")),NOT(ISBLANK($C66)),NOT(ISBLANK($B66)),ROW()&gt;2,COLUMN()&gt;1)</formula>
    </cfRule>
  </conditionalFormatting>
  <conditionalFormatting sqref="A66">
    <cfRule type="expression" dxfId="804" priority="804">
      <formula>SUM(--ISBLANK($B66:$J66))=COLUMNS($B66:$J66)</formula>
    </cfRule>
  </conditionalFormatting>
  <conditionalFormatting sqref="A66">
    <cfRule type="containsText" dxfId="803" priority="806" operator="containsText" text="NP">
      <formula>NOT(ISERROR(SEARCH("NP",A66)))</formula>
    </cfRule>
  </conditionalFormatting>
  <conditionalFormatting sqref="A66">
    <cfRule type="expression" dxfId="802" priority="803">
      <formula>ISBLANK(A66)</formula>
    </cfRule>
  </conditionalFormatting>
  <conditionalFormatting sqref="B66">
    <cfRule type="expression" dxfId="801" priority="802">
      <formula>SUM(--ISBLANK($B66:$J66))=COLUMNS($B66:$J66)</formula>
    </cfRule>
  </conditionalFormatting>
  <conditionalFormatting sqref="B66">
    <cfRule type="containsText" dxfId="800" priority="800" operator="containsText" text="NP">
      <formula>NOT(ISERROR(SEARCH("NP",B66)))</formula>
    </cfRule>
    <cfRule type="cellIs" dxfId="799" priority="801" operator="lessThan">
      <formula>5</formula>
    </cfRule>
  </conditionalFormatting>
  <conditionalFormatting sqref="B66">
    <cfRule type="expression" dxfId="798" priority="798">
      <formula>AND(OR(ROW()=CELL("row"),COLUMN()=CELL("col")),NOT(ISBLANK($C66)),NOT(ISBLANK($B66)),ROW()&gt;2,COLUMN()&gt;1)</formula>
    </cfRule>
  </conditionalFormatting>
  <conditionalFormatting sqref="B66">
    <cfRule type="containsText" dxfId="797" priority="799" operator="containsText" text="NP">
      <formula>NOT(ISERROR(SEARCH("NP",B66)))</formula>
    </cfRule>
  </conditionalFormatting>
  <conditionalFormatting sqref="B66">
    <cfRule type="expression" dxfId="796" priority="797">
      <formula>ISBLANK(B66)</formula>
    </cfRule>
  </conditionalFormatting>
  <conditionalFormatting sqref="B66">
    <cfRule type="containsText" dxfId="795" priority="796" operator="containsText" text="Reconocimiento Créditos">
      <formula>NOT(ISERROR(SEARCH("Reconocimiento Créditos",B66)))</formula>
    </cfRule>
  </conditionalFormatting>
  <conditionalFormatting sqref="B66">
    <cfRule type="expression" dxfId="794" priority="794">
      <formula>AND(ISNUMBER(B66), OR(B66&gt;10, B66&lt;0))</formula>
    </cfRule>
  </conditionalFormatting>
  <conditionalFormatting sqref="B66">
    <cfRule type="expression" dxfId="793" priority="793">
      <formula>AND(NOT(ISNUMBER(B66)), B66&lt;&gt;"NP", B66&lt;&gt;"Reconocimiento Créditos", B66&lt;&gt;"Aprobado en otro curso")</formula>
    </cfRule>
  </conditionalFormatting>
  <conditionalFormatting sqref="B66">
    <cfRule type="containsText" dxfId="792" priority="792" operator="containsText" text="Reconocimiento Créditos">
      <formula>NOT(ISERROR(SEARCH("Reconocimiento Créditos",B66)))</formula>
    </cfRule>
  </conditionalFormatting>
  <conditionalFormatting sqref="B66">
    <cfRule type="containsText" dxfId="791" priority="795" operator="containsText" text="Aprobado en otro curso">
      <formula>NOT(ISERROR(SEARCH("Aprobado en otro curso",B66)))</formula>
    </cfRule>
  </conditionalFormatting>
  <conditionalFormatting sqref="A67">
    <cfRule type="expression" dxfId="790" priority="790">
      <formula>AND(OR(ROW()=CELL("row"),COLUMN()=CELL("col")),NOT(ISBLANK($C67)),NOT(ISBLANK($B67)),ROW()&gt;2,COLUMN()&gt;1)</formula>
    </cfRule>
  </conditionalFormatting>
  <conditionalFormatting sqref="A67">
    <cfRule type="expression" dxfId="789" priority="789">
      <formula>SUM(--ISBLANK($B67:$J67))=COLUMNS($B67:$J67)</formula>
    </cfRule>
  </conditionalFormatting>
  <conditionalFormatting sqref="A67">
    <cfRule type="containsText" dxfId="788" priority="791" operator="containsText" text="NP">
      <formula>NOT(ISERROR(SEARCH("NP",A67)))</formula>
    </cfRule>
  </conditionalFormatting>
  <conditionalFormatting sqref="A67">
    <cfRule type="expression" dxfId="787" priority="788">
      <formula>ISBLANK(A67)</formula>
    </cfRule>
  </conditionalFormatting>
  <conditionalFormatting sqref="B67">
    <cfRule type="expression" dxfId="786" priority="787">
      <formula>SUM(--ISBLANK($B67:$J67))=COLUMNS($B67:$J67)</formula>
    </cfRule>
  </conditionalFormatting>
  <conditionalFormatting sqref="B67">
    <cfRule type="containsText" dxfId="785" priority="785" operator="containsText" text="NP">
      <formula>NOT(ISERROR(SEARCH("NP",B67)))</formula>
    </cfRule>
    <cfRule type="cellIs" dxfId="784" priority="786" operator="lessThan">
      <formula>5</formula>
    </cfRule>
  </conditionalFormatting>
  <conditionalFormatting sqref="B67">
    <cfRule type="expression" dxfId="783" priority="783">
      <formula>AND(OR(ROW()=CELL("row"),COLUMN()=CELL("col")),NOT(ISBLANK($C67)),NOT(ISBLANK($B67)),ROW()&gt;2,COLUMN()&gt;1)</formula>
    </cfRule>
  </conditionalFormatting>
  <conditionalFormatting sqref="B67">
    <cfRule type="containsText" dxfId="782" priority="784" operator="containsText" text="NP">
      <formula>NOT(ISERROR(SEARCH("NP",B67)))</formula>
    </cfRule>
  </conditionalFormatting>
  <conditionalFormatting sqref="B67">
    <cfRule type="expression" dxfId="781" priority="782">
      <formula>ISBLANK(B67)</formula>
    </cfRule>
  </conditionalFormatting>
  <conditionalFormatting sqref="B67">
    <cfRule type="containsText" dxfId="780" priority="781" operator="containsText" text="Reconocimiento Créditos">
      <formula>NOT(ISERROR(SEARCH("Reconocimiento Créditos",B67)))</formula>
    </cfRule>
  </conditionalFormatting>
  <conditionalFormatting sqref="B67">
    <cfRule type="expression" dxfId="779" priority="779">
      <formula>AND(ISNUMBER(B67), OR(B67&gt;10, B67&lt;0))</formula>
    </cfRule>
  </conditionalFormatting>
  <conditionalFormatting sqref="B67">
    <cfRule type="expression" dxfId="778" priority="778">
      <formula>AND(NOT(ISNUMBER(B67)), B67&lt;&gt;"NP", B67&lt;&gt;"Reconocimiento Créditos", B67&lt;&gt;"Aprobado en otro curso")</formula>
    </cfRule>
  </conditionalFormatting>
  <conditionalFormatting sqref="B67">
    <cfRule type="containsText" dxfId="777" priority="777" operator="containsText" text="Reconocimiento Créditos">
      <formula>NOT(ISERROR(SEARCH("Reconocimiento Créditos",B67)))</formula>
    </cfRule>
  </conditionalFormatting>
  <conditionalFormatting sqref="B67">
    <cfRule type="containsText" dxfId="776" priority="780" operator="containsText" text="Aprobado en otro curso">
      <formula>NOT(ISERROR(SEARCH("Aprobado en otro curso",B67)))</formula>
    </cfRule>
  </conditionalFormatting>
  <conditionalFormatting sqref="A68">
    <cfRule type="expression" dxfId="775" priority="775">
      <formula>AND(OR(ROW()=CELL("row"),COLUMN()=CELL("col")),NOT(ISBLANK($C68)),NOT(ISBLANK($B68)),ROW()&gt;2,COLUMN()&gt;1)</formula>
    </cfRule>
  </conditionalFormatting>
  <conditionalFormatting sqref="A68">
    <cfRule type="expression" dxfId="774" priority="774">
      <formula>SUM(--ISBLANK($B68:$J68))=COLUMNS($B68:$J68)</formula>
    </cfRule>
  </conditionalFormatting>
  <conditionalFormatting sqref="A68">
    <cfRule type="containsText" dxfId="773" priority="776" operator="containsText" text="NP">
      <formula>NOT(ISERROR(SEARCH("NP",A68)))</formula>
    </cfRule>
  </conditionalFormatting>
  <conditionalFormatting sqref="A68">
    <cfRule type="expression" dxfId="772" priority="773">
      <formula>ISBLANK(A68)</formula>
    </cfRule>
  </conditionalFormatting>
  <conditionalFormatting sqref="B68">
    <cfRule type="expression" dxfId="771" priority="772">
      <formula>SUM(--ISBLANK($B68:$J68))=COLUMNS($B68:$J68)</formula>
    </cfRule>
  </conditionalFormatting>
  <conditionalFormatting sqref="B68">
    <cfRule type="containsText" dxfId="770" priority="770" operator="containsText" text="NP">
      <formula>NOT(ISERROR(SEARCH("NP",B68)))</formula>
    </cfRule>
    <cfRule type="cellIs" dxfId="769" priority="771" operator="lessThan">
      <formula>5</formula>
    </cfRule>
  </conditionalFormatting>
  <conditionalFormatting sqref="B68">
    <cfRule type="expression" dxfId="768" priority="768">
      <formula>AND(OR(ROW()=CELL("row"),COLUMN()=CELL("col")),NOT(ISBLANK($C68)),NOT(ISBLANK($B68)),ROW()&gt;2,COLUMN()&gt;1)</formula>
    </cfRule>
  </conditionalFormatting>
  <conditionalFormatting sqref="B68">
    <cfRule type="containsText" dxfId="767" priority="769" operator="containsText" text="NP">
      <formula>NOT(ISERROR(SEARCH("NP",B68)))</formula>
    </cfRule>
  </conditionalFormatting>
  <conditionalFormatting sqref="B68">
    <cfRule type="expression" dxfId="766" priority="767">
      <formula>ISBLANK(B68)</formula>
    </cfRule>
  </conditionalFormatting>
  <conditionalFormatting sqref="B68">
    <cfRule type="containsText" dxfId="765" priority="766" operator="containsText" text="Reconocimiento Créditos">
      <formula>NOT(ISERROR(SEARCH("Reconocimiento Créditos",B68)))</formula>
    </cfRule>
  </conditionalFormatting>
  <conditionalFormatting sqref="B68">
    <cfRule type="expression" dxfId="764" priority="764">
      <formula>AND(ISNUMBER(B68), OR(B68&gt;10, B68&lt;0))</formula>
    </cfRule>
  </conditionalFormatting>
  <conditionalFormatting sqref="B68">
    <cfRule type="expression" dxfId="763" priority="763">
      <formula>AND(NOT(ISNUMBER(B68)), B68&lt;&gt;"NP", B68&lt;&gt;"Reconocimiento Créditos", B68&lt;&gt;"Aprobado en otro curso")</formula>
    </cfRule>
  </conditionalFormatting>
  <conditionalFormatting sqref="B68">
    <cfRule type="containsText" dxfId="762" priority="762" operator="containsText" text="Reconocimiento Créditos">
      <formula>NOT(ISERROR(SEARCH("Reconocimiento Créditos",B68)))</formula>
    </cfRule>
  </conditionalFormatting>
  <conditionalFormatting sqref="B68">
    <cfRule type="containsText" dxfId="761" priority="765" operator="containsText" text="Aprobado en otro curso">
      <formula>NOT(ISERROR(SEARCH("Aprobado en otro curso",B68)))</formula>
    </cfRule>
  </conditionalFormatting>
  <conditionalFormatting sqref="A69">
    <cfRule type="expression" dxfId="760" priority="760">
      <formula>AND(OR(ROW()=CELL("row"),COLUMN()=CELL("col")),NOT(ISBLANK($C69)),NOT(ISBLANK($B69)),ROW()&gt;2,COLUMN()&gt;1)</formula>
    </cfRule>
  </conditionalFormatting>
  <conditionalFormatting sqref="A69">
    <cfRule type="expression" dxfId="759" priority="759">
      <formula>SUM(--ISBLANK($B69:$J69))=COLUMNS($B69:$J69)</formula>
    </cfRule>
  </conditionalFormatting>
  <conditionalFormatting sqref="A69">
    <cfRule type="containsText" dxfId="758" priority="761" operator="containsText" text="NP">
      <formula>NOT(ISERROR(SEARCH("NP",A69)))</formula>
    </cfRule>
  </conditionalFormatting>
  <conditionalFormatting sqref="A69">
    <cfRule type="expression" dxfId="757" priority="758">
      <formula>ISBLANK(A69)</formula>
    </cfRule>
  </conditionalFormatting>
  <conditionalFormatting sqref="B69">
    <cfRule type="expression" dxfId="756" priority="757">
      <formula>SUM(--ISBLANK($B69:$J69))=COLUMNS($B69:$J69)</formula>
    </cfRule>
  </conditionalFormatting>
  <conditionalFormatting sqref="B69">
    <cfRule type="containsText" dxfId="755" priority="755" operator="containsText" text="NP">
      <formula>NOT(ISERROR(SEARCH("NP",B69)))</formula>
    </cfRule>
    <cfRule type="cellIs" dxfId="754" priority="756" operator="lessThan">
      <formula>5</formula>
    </cfRule>
  </conditionalFormatting>
  <conditionalFormatting sqref="B69">
    <cfRule type="expression" dxfId="753" priority="753">
      <formula>AND(OR(ROW()=CELL("row"),COLUMN()=CELL("col")),NOT(ISBLANK($C69)),NOT(ISBLANK($B69)),ROW()&gt;2,COLUMN()&gt;1)</formula>
    </cfRule>
  </conditionalFormatting>
  <conditionalFormatting sqref="B69">
    <cfRule type="containsText" dxfId="752" priority="754" operator="containsText" text="NP">
      <formula>NOT(ISERROR(SEARCH("NP",B69)))</formula>
    </cfRule>
  </conditionalFormatting>
  <conditionalFormatting sqref="B69">
    <cfRule type="expression" dxfId="751" priority="752">
      <formula>ISBLANK(B69)</formula>
    </cfRule>
  </conditionalFormatting>
  <conditionalFormatting sqref="B69">
    <cfRule type="containsText" dxfId="750" priority="751" operator="containsText" text="Reconocimiento Créditos">
      <formula>NOT(ISERROR(SEARCH("Reconocimiento Créditos",B69)))</formula>
    </cfRule>
  </conditionalFormatting>
  <conditionalFormatting sqref="B69">
    <cfRule type="expression" dxfId="749" priority="749">
      <formula>AND(ISNUMBER(B69), OR(B69&gt;10, B69&lt;0))</formula>
    </cfRule>
  </conditionalFormatting>
  <conditionalFormatting sqref="B69">
    <cfRule type="expression" dxfId="748" priority="748">
      <formula>AND(NOT(ISNUMBER(B69)), B69&lt;&gt;"NP", B69&lt;&gt;"Reconocimiento Créditos", B69&lt;&gt;"Aprobado en otro curso")</formula>
    </cfRule>
  </conditionalFormatting>
  <conditionalFormatting sqref="B69">
    <cfRule type="containsText" dxfId="747" priority="747" operator="containsText" text="Reconocimiento Créditos">
      <formula>NOT(ISERROR(SEARCH("Reconocimiento Créditos",B69)))</formula>
    </cfRule>
  </conditionalFormatting>
  <conditionalFormatting sqref="B69">
    <cfRule type="containsText" dxfId="746" priority="750" operator="containsText" text="Aprobado en otro curso">
      <formula>NOT(ISERROR(SEARCH("Aprobado en otro curso",B69)))</formula>
    </cfRule>
  </conditionalFormatting>
  <conditionalFormatting sqref="A70">
    <cfRule type="expression" dxfId="745" priority="745">
      <formula>AND(OR(ROW()=CELL("row"),COLUMN()=CELL("col")),NOT(ISBLANK($C70)),NOT(ISBLANK($B70)),ROW()&gt;2,COLUMN()&gt;1)</formula>
    </cfRule>
  </conditionalFormatting>
  <conditionalFormatting sqref="A70">
    <cfRule type="expression" dxfId="744" priority="744">
      <formula>SUM(--ISBLANK($B70:$J70))=COLUMNS($B70:$J70)</formula>
    </cfRule>
  </conditionalFormatting>
  <conditionalFormatting sqref="A70">
    <cfRule type="containsText" dxfId="743" priority="746" operator="containsText" text="NP">
      <formula>NOT(ISERROR(SEARCH("NP",A70)))</formula>
    </cfRule>
  </conditionalFormatting>
  <conditionalFormatting sqref="A70">
    <cfRule type="expression" dxfId="742" priority="743">
      <formula>ISBLANK(A70)</formula>
    </cfRule>
  </conditionalFormatting>
  <conditionalFormatting sqref="B70">
    <cfRule type="expression" dxfId="741" priority="742">
      <formula>SUM(--ISBLANK($B70:$J70))=COLUMNS($B70:$J70)</formula>
    </cfRule>
  </conditionalFormatting>
  <conditionalFormatting sqref="B70">
    <cfRule type="containsText" dxfId="740" priority="740" operator="containsText" text="NP">
      <formula>NOT(ISERROR(SEARCH("NP",B70)))</formula>
    </cfRule>
    <cfRule type="cellIs" dxfId="739" priority="741" operator="lessThan">
      <formula>5</formula>
    </cfRule>
  </conditionalFormatting>
  <conditionalFormatting sqref="B70">
    <cfRule type="expression" dxfId="738" priority="738">
      <formula>AND(OR(ROW()=CELL("row"),COLUMN()=CELL("col")),NOT(ISBLANK($C70)),NOT(ISBLANK($B70)),ROW()&gt;2,COLUMN()&gt;1)</formula>
    </cfRule>
  </conditionalFormatting>
  <conditionalFormatting sqref="B70">
    <cfRule type="containsText" dxfId="737" priority="739" operator="containsText" text="NP">
      <formula>NOT(ISERROR(SEARCH("NP",B70)))</formula>
    </cfRule>
  </conditionalFormatting>
  <conditionalFormatting sqref="B70">
    <cfRule type="expression" dxfId="736" priority="737">
      <formula>ISBLANK(B70)</formula>
    </cfRule>
  </conditionalFormatting>
  <conditionalFormatting sqref="B70">
    <cfRule type="containsText" dxfId="735" priority="736" operator="containsText" text="Reconocimiento Créditos">
      <formula>NOT(ISERROR(SEARCH("Reconocimiento Créditos",B70)))</formula>
    </cfRule>
  </conditionalFormatting>
  <conditionalFormatting sqref="B70">
    <cfRule type="expression" dxfId="734" priority="734">
      <formula>AND(ISNUMBER(B70), OR(B70&gt;10, B70&lt;0))</formula>
    </cfRule>
  </conditionalFormatting>
  <conditionalFormatting sqref="B70">
    <cfRule type="expression" dxfId="733" priority="733">
      <formula>AND(NOT(ISNUMBER(B70)), B70&lt;&gt;"NP", B70&lt;&gt;"Reconocimiento Créditos", B70&lt;&gt;"Aprobado en otro curso")</formula>
    </cfRule>
  </conditionalFormatting>
  <conditionalFormatting sqref="B70">
    <cfRule type="containsText" dxfId="732" priority="732" operator="containsText" text="Reconocimiento Créditos">
      <formula>NOT(ISERROR(SEARCH("Reconocimiento Créditos",B70)))</formula>
    </cfRule>
  </conditionalFormatting>
  <conditionalFormatting sqref="B70">
    <cfRule type="containsText" dxfId="731" priority="735" operator="containsText" text="Aprobado en otro curso">
      <formula>NOT(ISERROR(SEARCH("Aprobado en otro curso",B70)))</formula>
    </cfRule>
  </conditionalFormatting>
  <conditionalFormatting sqref="A71">
    <cfRule type="expression" dxfId="730" priority="730">
      <formula>AND(OR(ROW()=CELL("row"),COLUMN()=CELL("col")),NOT(ISBLANK($C71)),NOT(ISBLANK($B71)),ROW()&gt;2,COLUMN()&gt;1)</formula>
    </cfRule>
  </conditionalFormatting>
  <conditionalFormatting sqref="A71">
    <cfRule type="expression" dxfId="729" priority="729">
      <formula>SUM(--ISBLANK($B71:$J71))=COLUMNS($B71:$J71)</formula>
    </cfRule>
  </conditionalFormatting>
  <conditionalFormatting sqref="A71">
    <cfRule type="containsText" dxfId="728" priority="731" operator="containsText" text="NP">
      <formula>NOT(ISERROR(SEARCH("NP",A71)))</formula>
    </cfRule>
  </conditionalFormatting>
  <conditionalFormatting sqref="A71">
    <cfRule type="expression" dxfId="727" priority="728">
      <formula>ISBLANK(A71)</formula>
    </cfRule>
  </conditionalFormatting>
  <conditionalFormatting sqref="B71">
    <cfRule type="expression" dxfId="726" priority="727">
      <formula>SUM(--ISBLANK($B71:$J71))=COLUMNS($B71:$J71)</formula>
    </cfRule>
  </conditionalFormatting>
  <conditionalFormatting sqref="B71">
    <cfRule type="containsText" dxfId="725" priority="725" operator="containsText" text="NP">
      <formula>NOT(ISERROR(SEARCH("NP",B71)))</formula>
    </cfRule>
    <cfRule type="cellIs" dxfId="724" priority="726" operator="lessThan">
      <formula>5</formula>
    </cfRule>
  </conditionalFormatting>
  <conditionalFormatting sqref="B71">
    <cfRule type="expression" dxfId="723" priority="723">
      <formula>AND(OR(ROW()=CELL("row"),COLUMN()=CELL("col")),NOT(ISBLANK($C71)),NOT(ISBLANK($B71)),ROW()&gt;2,COLUMN()&gt;1)</formula>
    </cfRule>
  </conditionalFormatting>
  <conditionalFormatting sqref="B71">
    <cfRule type="containsText" dxfId="722" priority="724" operator="containsText" text="NP">
      <formula>NOT(ISERROR(SEARCH("NP",B71)))</formula>
    </cfRule>
  </conditionalFormatting>
  <conditionalFormatting sqref="B71">
    <cfRule type="expression" dxfId="721" priority="722">
      <formula>ISBLANK(B71)</formula>
    </cfRule>
  </conditionalFormatting>
  <conditionalFormatting sqref="B71">
    <cfRule type="containsText" dxfId="720" priority="721" operator="containsText" text="Reconocimiento Créditos">
      <formula>NOT(ISERROR(SEARCH("Reconocimiento Créditos",B71)))</formula>
    </cfRule>
  </conditionalFormatting>
  <conditionalFormatting sqref="B71">
    <cfRule type="expression" dxfId="719" priority="719">
      <formula>AND(ISNUMBER(B71), OR(B71&gt;10, B71&lt;0))</formula>
    </cfRule>
  </conditionalFormatting>
  <conditionalFormatting sqref="B71">
    <cfRule type="expression" dxfId="718" priority="718">
      <formula>AND(NOT(ISNUMBER(B71)), B71&lt;&gt;"NP", B71&lt;&gt;"Reconocimiento Créditos", B71&lt;&gt;"Aprobado en otro curso")</formula>
    </cfRule>
  </conditionalFormatting>
  <conditionalFormatting sqref="B71">
    <cfRule type="containsText" dxfId="717" priority="717" operator="containsText" text="Reconocimiento Créditos">
      <formula>NOT(ISERROR(SEARCH("Reconocimiento Créditos",B71)))</formula>
    </cfRule>
  </conditionalFormatting>
  <conditionalFormatting sqref="B71">
    <cfRule type="containsText" dxfId="716" priority="720" operator="containsText" text="Aprobado en otro curso">
      <formula>NOT(ISERROR(SEARCH("Aprobado en otro curso",B71)))</formula>
    </cfRule>
  </conditionalFormatting>
  <conditionalFormatting sqref="A72">
    <cfRule type="expression" dxfId="715" priority="715">
      <formula>AND(OR(ROW()=CELL("row"),COLUMN()=CELL("col")),NOT(ISBLANK($C72)),NOT(ISBLANK($B72)),ROW()&gt;2,COLUMN()&gt;1)</formula>
    </cfRule>
  </conditionalFormatting>
  <conditionalFormatting sqref="A72">
    <cfRule type="expression" dxfId="714" priority="714">
      <formula>SUM(--ISBLANK($B72:$J72))=COLUMNS($B72:$J72)</formula>
    </cfRule>
  </conditionalFormatting>
  <conditionalFormatting sqref="A72">
    <cfRule type="containsText" dxfId="713" priority="716" operator="containsText" text="NP">
      <formula>NOT(ISERROR(SEARCH("NP",A72)))</formula>
    </cfRule>
  </conditionalFormatting>
  <conditionalFormatting sqref="A72">
    <cfRule type="expression" dxfId="712" priority="713">
      <formula>ISBLANK(A72)</formula>
    </cfRule>
  </conditionalFormatting>
  <conditionalFormatting sqref="B72">
    <cfRule type="expression" dxfId="711" priority="712">
      <formula>SUM(--ISBLANK($B72:$J72))=COLUMNS($B72:$J72)</formula>
    </cfRule>
  </conditionalFormatting>
  <conditionalFormatting sqref="B72">
    <cfRule type="containsText" dxfId="710" priority="710" operator="containsText" text="NP">
      <formula>NOT(ISERROR(SEARCH("NP",B72)))</formula>
    </cfRule>
    <cfRule type="cellIs" dxfId="709" priority="711" operator="lessThan">
      <formula>5</formula>
    </cfRule>
  </conditionalFormatting>
  <conditionalFormatting sqref="B72">
    <cfRule type="expression" dxfId="708" priority="708">
      <formula>AND(OR(ROW()=CELL("row"),COLUMN()=CELL("col")),NOT(ISBLANK($C72)),NOT(ISBLANK($B72)),ROW()&gt;2,COLUMN()&gt;1)</formula>
    </cfRule>
  </conditionalFormatting>
  <conditionalFormatting sqref="B72">
    <cfRule type="containsText" dxfId="707" priority="709" operator="containsText" text="NP">
      <formula>NOT(ISERROR(SEARCH("NP",B72)))</formula>
    </cfRule>
  </conditionalFormatting>
  <conditionalFormatting sqref="B72">
    <cfRule type="expression" dxfId="706" priority="707">
      <formula>ISBLANK(B72)</formula>
    </cfRule>
  </conditionalFormatting>
  <conditionalFormatting sqref="B72">
    <cfRule type="containsText" dxfId="705" priority="706" operator="containsText" text="Reconocimiento Créditos">
      <formula>NOT(ISERROR(SEARCH("Reconocimiento Créditos",B72)))</formula>
    </cfRule>
  </conditionalFormatting>
  <conditionalFormatting sqref="B72">
    <cfRule type="expression" dxfId="704" priority="704">
      <formula>AND(ISNUMBER(B72), OR(B72&gt;10, B72&lt;0))</formula>
    </cfRule>
  </conditionalFormatting>
  <conditionalFormatting sqref="B72">
    <cfRule type="containsText" dxfId="703" priority="703" operator="containsText" text="Reconocimiento Créditos">
      <formula>NOT(ISERROR(SEARCH("Reconocimiento Créditos",B72)))</formula>
    </cfRule>
  </conditionalFormatting>
  <conditionalFormatting sqref="B72">
    <cfRule type="containsText" dxfId="702" priority="705" operator="containsText" text="Aprobado en otro curso">
      <formula>NOT(ISERROR(SEARCH("Aprobado en otro curso",B72)))</formula>
    </cfRule>
  </conditionalFormatting>
  <conditionalFormatting sqref="A73">
    <cfRule type="expression" dxfId="701" priority="701">
      <formula>AND(OR(ROW()=CELL("row"),COLUMN()=CELL("col")),NOT(ISBLANK($C73)),NOT(ISBLANK($B73)),ROW()&gt;2,COLUMN()&gt;1)</formula>
    </cfRule>
  </conditionalFormatting>
  <conditionalFormatting sqref="A73">
    <cfRule type="expression" dxfId="700" priority="700">
      <formula>SUM(--ISBLANK($B73:$J73))=COLUMNS($B73:$J73)</formula>
    </cfRule>
  </conditionalFormatting>
  <conditionalFormatting sqref="A73">
    <cfRule type="containsText" dxfId="699" priority="702" operator="containsText" text="NP">
      <formula>NOT(ISERROR(SEARCH("NP",A73)))</formula>
    </cfRule>
  </conditionalFormatting>
  <conditionalFormatting sqref="A73">
    <cfRule type="expression" dxfId="698" priority="699">
      <formula>ISBLANK(A73)</formula>
    </cfRule>
  </conditionalFormatting>
  <conditionalFormatting sqref="B73">
    <cfRule type="expression" dxfId="697" priority="698">
      <formula>SUM(--ISBLANK($B73:$J73))=COLUMNS($B73:$J73)</formula>
    </cfRule>
  </conditionalFormatting>
  <conditionalFormatting sqref="B73">
    <cfRule type="containsText" dxfId="696" priority="696" operator="containsText" text="NP">
      <formula>NOT(ISERROR(SEARCH("NP",B73)))</formula>
    </cfRule>
    <cfRule type="cellIs" dxfId="695" priority="697" operator="lessThan">
      <formula>5</formula>
    </cfRule>
  </conditionalFormatting>
  <conditionalFormatting sqref="B73">
    <cfRule type="expression" dxfId="694" priority="694">
      <formula>AND(OR(ROW()=CELL("row"),COLUMN()=CELL("col")),NOT(ISBLANK($C73)),NOT(ISBLANK($B73)),ROW()&gt;2,COLUMN()&gt;1)</formula>
    </cfRule>
  </conditionalFormatting>
  <conditionalFormatting sqref="B73">
    <cfRule type="containsText" dxfId="693" priority="695" operator="containsText" text="NP">
      <formula>NOT(ISERROR(SEARCH("NP",B73)))</formula>
    </cfRule>
  </conditionalFormatting>
  <conditionalFormatting sqref="B73">
    <cfRule type="expression" dxfId="692" priority="693">
      <formula>ISBLANK(B73)</formula>
    </cfRule>
  </conditionalFormatting>
  <conditionalFormatting sqref="B73">
    <cfRule type="containsText" dxfId="691" priority="692" operator="containsText" text="Reconocimiento Créditos">
      <formula>NOT(ISERROR(SEARCH("Reconocimiento Créditos",B73)))</formula>
    </cfRule>
  </conditionalFormatting>
  <conditionalFormatting sqref="B73">
    <cfRule type="expression" dxfId="690" priority="690">
      <formula>AND(ISNUMBER(B73), OR(B73&gt;10, B73&lt;0))</formula>
    </cfRule>
  </conditionalFormatting>
  <conditionalFormatting sqref="B73">
    <cfRule type="expression" dxfId="689" priority="689">
      <formula>AND(NOT(ISNUMBER(B73)), B73&lt;&gt;"NP", B73&lt;&gt;"Reconocimiento Créditos", B73&lt;&gt;"Aprobado en otro curso")</formula>
    </cfRule>
  </conditionalFormatting>
  <conditionalFormatting sqref="B73">
    <cfRule type="containsText" dxfId="688" priority="688" operator="containsText" text="Reconocimiento Créditos">
      <formula>NOT(ISERROR(SEARCH("Reconocimiento Créditos",B73)))</formula>
    </cfRule>
  </conditionalFormatting>
  <conditionalFormatting sqref="B73">
    <cfRule type="containsText" dxfId="687" priority="691" operator="containsText" text="Aprobado en otro curso">
      <formula>NOT(ISERROR(SEARCH("Aprobado en otro curso",B73)))</formula>
    </cfRule>
  </conditionalFormatting>
  <conditionalFormatting sqref="A74">
    <cfRule type="expression" dxfId="686" priority="686">
      <formula>AND(OR(ROW()=CELL("row"),COLUMN()=CELL("col")),NOT(ISBLANK($C74)),NOT(ISBLANK($B74)),ROW()&gt;2,COLUMN()&gt;1)</formula>
    </cfRule>
  </conditionalFormatting>
  <conditionalFormatting sqref="A74">
    <cfRule type="expression" dxfId="685" priority="685">
      <formula>SUM(--ISBLANK($B74:$J74))=COLUMNS($B74:$J74)</formula>
    </cfRule>
  </conditionalFormatting>
  <conditionalFormatting sqref="A74">
    <cfRule type="containsText" dxfId="684" priority="687" operator="containsText" text="NP">
      <formula>NOT(ISERROR(SEARCH("NP",A74)))</formula>
    </cfRule>
  </conditionalFormatting>
  <conditionalFormatting sqref="A74">
    <cfRule type="expression" dxfId="683" priority="684">
      <formula>ISBLANK(A74)</formula>
    </cfRule>
  </conditionalFormatting>
  <conditionalFormatting sqref="B74">
    <cfRule type="expression" dxfId="682" priority="683">
      <formula>SUM(--ISBLANK($B74:$J74))=COLUMNS($B74:$J74)</formula>
    </cfRule>
  </conditionalFormatting>
  <conditionalFormatting sqref="B74">
    <cfRule type="containsText" dxfId="681" priority="681" operator="containsText" text="NP">
      <formula>NOT(ISERROR(SEARCH("NP",B74)))</formula>
    </cfRule>
    <cfRule type="cellIs" dxfId="680" priority="682" operator="lessThan">
      <formula>5</formula>
    </cfRule>
  </conditionalFormatting>
  <conditionalFormatting sqref="B74">
    <cfRule type="expression" dxfId="679" priority="679">
      <formula>AND(OR(ROW()=CELL("row"),COLUMN()=CELL("col")),NOT(ISBLANK($C74)),NOT(ISBLANK($B74)),ROW()&gt;2,COLUMN()&gt;1)</formula>
    </cfRule>
  </conditionalFormatting>
  <conditionalFormatting sqref="B74">
    <cfRule type="containsText" dxfId="678" priority="680" operator="containsText" text="NP">
      <formula>NOT(ISERROR(SEARCH("NP",B74)))</formula>
    </cfRule>
  </conditionalFormatting>
  <conditionalFormatting sqref="B74">
    <cfRule type="expression" dxfId="677" priority="678">
      <formula>ISBLANK(B74)</formula>
    </cfRule>
  </conditionalFormatting>
  <conditionalFormatting sqref="B74">
    <cfRule type="containsText" dxfId="676" priority="677" operator="containsText" text="Reconocimiento Créditos">
      <formula>NOT(ISERROR(SEARCH("Reconocimiento Créditos",B74)))</formula>
    </cfRule>
  </conditionalFormatting>
  <conditionalFormatting sqref="B74">
    <cfRule type="expression" dxfId="675" priority="675">
      <formula>AND(ISNUMBER(B74), OR(B74&gt;10, B74&lt;0))</formula>
    </cfRule>
  </conditionalFormatting>
  <conditionalFormatting sqref="B74">
    <cfRule type="expression" dxfId="674" priority="674">
      <formula>AND(NOT(ISNUMBER(B74)), B74&lt;&gt;"NP", B74&lt;&gt;"Reconocimiento Créditos", B74&lt;&gt;"Aprobado en otro curso")</formula>
    </cfRule>
  </conditionalFormatting>
  <conditionalFormatting sqref="B74">
    <cfRule type="containsText" dxfId="673" priority="673" operator="containsText" text="Reconocimiento Créditos">
      <formula>NOT(ISERROR(SEARCH("Reconocimiento Créditos",B74)))</formula>
    </cfRule>
  </conditionalFormatting>
  <conditionalFormatting sqref="B74">
    <cfRule type="containsText" dxfId="672" priority="676" operator="containsText" text="Aprobado en otro curso">
      <formula>NOT(ISERROR(SEARCH("Aprobado en otro curso",B74)))</formula>
    </cfRule>
  </conditionalFormatting>
  <conditionalFormatting sqref="A75">
    <cfRule type="expression" dxfId="671" priority="671">
      <formula>AND(OR(ROW()=CELL("row"),COLUMN()=CELL("col")),NOT(ISBLANK($C75)),NOT(ISBLANK($B75)),ROW()&gt;2,COLUMN()&gt;1)</formula>
    </cfRule>
  </conditionalFormatting>
  <conditionalFormatting sqref="A75">
    <cfRule type="expression" dxfId="670" priority="670">
      <formula>SUM(--ISBLANK($B75:$J75))=COLUMNS($B75:$J75)</formula>
    </cfRule>
  </conditionalFormatting>
  <conditionalFormatting sqref="A75">
    <cfRule type="containsText" dxfId="669" priority="672" operator="containsText" text="NP">
      <formula>NOT(ISERROR(SEARCH("NP",A75)))</formula>
    </cfRule>
  </conditionalFormatting>
  <conditionalFormatting sqref="A75">
    <cfRule type="expression" dxfId="668" priority="669">
      <formula>ISBLANK(A75)</formula>
    </cfRule>
  </conditionalFormatting>
  <conditionalFormatting sqref="B75">
    <cfRule type="expression" dxfId="667" priority="668">
      <formula>SUM(--ISBLANK($B75:$J75))=COLUMNS($B75:$J75)</formula>
    </cfRule>
  </conditionalFormatting>
  <conditionalFormatting sqref="B75">
    <cfRule type="containsText" dxfId="666" priority="666" operator="containsText" text="NP">
      <formula>NOT(ISERROR(SEARCH("NP",B75)))</formula>
    </cfRule>
    <cfRule type="cellIs" dxfId="665" priority="667" operator="lessThan">
      <formula>5</formula>
    </cfRule>
  </conditionalFormatting>
  <conditionalFormatting sqref="B75">
    <cfRule type="expression" dxfId="664" priority="664">
      <formula>AND(OR(ROW()=CELL("row"),COLUMN()=CELL("col")),NOT(ISBLANK($C75)),NOT(ISBLANK($B75)),ROW()&gt;2,COLUMN()&gt;1)</formula>
    </cfRule>
  </conditionalFormatting>
  <conditionalFormatting sqref="B75">
    <cfRule type="containsText" dxfId="663" priority="665" operator="containsText" text="NP">
      <formula>NOT(ISERROR(SEARCH("NP",B75)))</formula>
    </cfRule>
  </conditionalFormatting>
  <conditionalFormatting sqref="B75">
    <cfRule type="expression" dxfId="662" priority="663">
      <formula>ISBLANK(B75)</formula>
    </cfRule>
  </conditionalFormatting>
  <conditionalFormatting sqref="B75">
    <cfRule type="containsText" dxfId="661" priority="662" operator="containsText" text="Reconocimiento Créditos">
      <formula>NOT(ISERROR(SEARCH("Reconocimiento Créditos",B75)))</formula>
    </cfRule>
  </conditionalFormatting>
  <conditionalFormatting sqref="B75">
    <cfRule type="expression" dxfId="660" priority="660">
      <formula>AND(ISNUMBER(B75), OR(B75&gt;10, B75&lt;0))</formula>
    </cfRule>
  </conditionalFormatting>
  <conditionalFormatting sqref="B75">
    <cfRule type="expression" dxfId="659" priority="659">
      <formula>AND(NOT(ISNUMBER(B75)), B75&lt;&gt;"NP", B75&lt;&gt;"Reconocimiento Créditos", B75&lt;&gt;"Aprobado en otro curso")</formula>
    </cfRule>
  </conditionalFormatting>
  <conditionalFormatting sqref="B75">
    <cfRule type="containsText" dxfId="658" priority="658" operator="containsText" text="Reconocimiento Créditos">
      <formula>NOT(ISERROR(SEARCH("Reconocimiento Créditos",B75)))</formula>
    </cfRule>
  </conditionalFormatting>
  <conditionalFormatting sqref="B75">
    <cfRule type="containsText" dxfId="657" priority="661" operator="containsText" text="Aprobado en otro curso">
      <formula>NOT(ISERROR(SEARCH("Aprobado en otro curso",B75)))</formula>
    </cfRule>
  </conditionalFormatting>
  <conditionalFormatting sqref="A76">
    <cfRule type="expression" dxfId="656" priority="656">
      <formula>AND(OR(ROW()=CELL("row"),COLUMN()=CELL("col")),NOT(ISBLANK($C76)),NOT(ISBLANK($B76)),ROW()&gt;2,COLUMN()&gt;1)</formula>
    </cfRule>
  </conditionalFormatting>
  <conditionalFormatting sqref="A76">
    <cfRule type="expression" dxfId="655" priority="655">
      <formula>SUM(--ISBLANK($B76:$J76))=COLUMNS($B76:$J76)</formula>
    </cfRule>
  </conditionalFormatting>
  <conditionalFormatting sqref="A76">
    <cfRule type="containsText" dxfId="654" priority="657" operator="containsText" text="NP">
      <formula>NOT(ISERROR(SEARCH("NP",A76)))</formula>
    </cfRule>
  </conditionalFormatting>
  <conditionalFormatting sqref="A76">
    <cfRule type="expression" dxfId="653" priority="654">
      <formula>ISBLANK(A76)</formula>
    </cfRule>
  </conditionalFormatting>
  <conditionalFormatting sqref="B76">
    <cfRule type="expression" dxfId="652" priority="653">
      <formula>SUM(--ISBLANK($B76:$J76))=COLUMNS($B76:$J76)</formula>
    </cfRule>
  </conditionalFormatting>
  <conditionalFormatting sqref="B76">
    <cfRule type="containsText" dxfId="651" priority="651" operator="containsText" text="NP">
      <formula>NOT(ISERROR(SEARCH("NP",B76)))</formula>
    </cfRule>
    <cfRule type="cellIs" dxfId="650" priority="652" operator="lessThan">
      <formula>5</formula>
    </cfRule>
  </conditionalFormatting>
  <conditionalFormatting sqref="B76">
    <cfRule type="expression" dxfId="649" priority="649">
      <formula>AND(OR(ROW()=CELL("row"),COLUMN()=CELL("col")),NOT(ISBLANK($C76)),NOT(ISBLANK($B76)),ROW()&gt;2,COLUMN()&gt;1)</formula>
    </cfRule>
  </conditionalFormatting>
  <conditionalFormatting sqref="B76">
    <cfRule type="containsText" dxfId="648" priority="650" operator="containsText" text="NP">
      <formula>NOT(ISERROR(SEARCH("NP",B76)))</formula>
    </cfRule>
  </conditionalFormatting>
  <conditionalFormatting sqref="B76">
    <cfRule type="expression" dxfId="647" priority="648">
      <formula>ISBLANK(B76)</formula>
    </cfRule>
  </conditionalFormatting>
  <conditionalFormatting sqref="B76">
    <cfRule type="containsText" dxfId="646" priority="647" operator="containsText" text="Reconocimiento Créditos">
      <formula>NOT(ISERROR(SEARCH("Reconocimiento Créditos",B76)))</formula>
    </cfRule>
  </conditionalFormatting>
  <conditionalFormatting sqref="B76">
    <cfRule type="expression" dxfId="645" priority="645">
      <formula>AND(ISNUMBER(B76), OR(B76&gt;10, B76&lt;0))</formula>
    </cfRule>
  </conditionalFormatting>
  <conditionalFormatting sqref="B76">
    <cfRule type="expression" dxfId="644" priority="644">
      <formula>AND(NOT(ISNUMBER(B76)), B76&lt;&gt;"NP", B76&lt;&gt;"Reconocimiento Créditos", B76&lt;&gt;"Aprobado en otro curso")</formula>
    </cfRule>
  </conditionalFormatting>
  <conditionalFormatting sqref="B76">
    <cfRule type="containsText" dxfId="643" priority="643" operator="containsText" text="Reconocimiento Créditos">
      <formula>NOT(ISERROR(SEARCH("Reconocimiento Créditos",B76)))</formula>
    </cfRule>
  </conditionalFormatting>
  <conditionalFormatting sqref="B76">
    <cfRule type="containsText" dxfId="642" priority="646" operator="containsText" text="Aprobado en otro curso">
      <formula>NOT(ISERROR(SEARCH("Aprobado en otro curso",B76)))</formula>
    </cfRule>
  </conditionalFormatting>
  <conditionalFormatting sqref="A77">
    <cfRule type="expression" dxfId="641" priority="641">
      <formula>AND(OR(ROW()=CELL("row"),COLUMN()=CELL("col")),NOT(ISBLANK($C77)),NOT(ISBLANK($B77)),ROW()&gt;2,COLUMN()&gt;1)</formula>
    </cfRule>
  </conditionalFormatting>
  <conditionalFormatting sqref="A77">
    <cfRule type="expression" dxfId="640" priority="640">
      <formula>SUM(--ISBLANK($B77:$J77))=COLUMNS($B77:$J77)</formula>
    </cfRule>
  </conditionalFormatting>
  <conditionalFormatting sqref="A77">
    <cfRule type="containsText" dxfId="639" priority="642" operator="containsText" text="NP">
      <formula>NOT(ISERROR(SEARCH("NP",A77)))</formula>
    </cfRule>
  </conditionalFormatting>
  <conditionalFormatting sqref="A77">
    <cfRule type="expression" dxfId="638" priority="639">
      <formula>ISBLANK(A77)</formula>
    </cfRule>
  </conditionalFormatting>
  <conditionalFormatting sqref="B77">
    <cfRule type="expression" dxfId="637" priority="638">
      <formula>SUM(--ISBLANK($B77:$J77))=COLUMNS($B77:$J77)</formula>
    </cfRule>
  </conditionalFormatting>
  <conditionalFormatting sqref="B77">
    <cfRule type="containsText" dxfId="636" priority="636" operator="containsText" text="NP">
      <formula>NOT(ISERROR(SEARCH("NP",B77)))</formula>
    </cfRule>
    <cfRule type="cellIs" dxfId="635" priority="637" operator="lessThan">
      <formula>5</formula>
    </cfRule>
  </conditionalFormatting>
  <conditionalFormatting sqref="B77">
    <cfRule type="expression" dxfId="634" priority="634">
      <formula>AND(OR(ROW()=CELL("row"),COLUMN()=CELL("col")),NOT(ISBLANK($C77)),NOT(ISBLANK($B77)),ROW()&gt;2,COLUMN()&gt;1)</formula>
    </cfRule>
  </conditionalFormatting>
  <conditionalFormatting sqref="B77">
    <cfRule type="containsText" dxfId="633" priority="635" operator="containsText" text="NP">
      <formula>NOT(ISERROR(SEARCH("NP",B77)))</formula>
    </cfRule>
  </conditionalFormatting>
  <conditionalFormatting sqref="B77">
    <cfRule type="expression" dxfId="632" priority="633">
      <formula>ISBLANK(B77)</formula>
    </cfRule>
  </conditionalFormatting>
  <conditionalFormatting sqref="B77">
    <cfRule type="containsText" dxfId="631" priority="632" operator="containsText" text="Reconocimiento Créditos">
      <formula>NOT(ISERROR(SEARCH("Reconocimiento Créditos",B77)))</formula>
    </cfRule>
  </conditionalFormatting>
  <conditionalFormatting sqref="B77">
    <cfRule type="expression" dxfId="630" priority="630">
      <formula>AND(ISNUMBER(B77), OR(B77&gt;10, B77&lt;0))</formula>
    </cfRule>
  </conditionalFormatting>
  <conditionalFormatting sqref="B77">
    <cfRule type="expression" dxfId="629" priority="629">
      <formula>AND(NOT(ISNUMBER(B77)), B77&lt;&gt;"NP", B77&lt;&gt;"Reconocimiento Créditos", B77&lt;&gt;"Aprobado en otro curso")</formula>
    </cfRule>
  </conditionalFormatting>
  <conditionalFormatting sqref="B77">
    <cfRule type="containsText" dxfId="628" priority="628" operator="containsText" text="Reconocimiento Créditos">
      <formula>NOT(ISERROR(SEARCH("Reconocimiento Créditos",B77)))</formula>
    </cfRule>
  </conditionalFormatting>
  <conditionalFormatting sqref="B77">
    <cfRule type="containsText" dxfId="627" priority="631" operator="containsText" text="Aprobado en otro curso">
      <formula>NOT(ISERROR(SEARCH("Aprobado en otro curso",B77)))</formula>
    </cfRule>
  </conditionalFormatting>
  <conditionalFormatting sqref="A78">
    <cfRule type="expression" dxfId="626" priority="626">
      <formula>AND(OR(ROW()=CELL("row"),COLUMN()=CELL("col")),NOT(ISBLANK($C78)),NOT(ISBLANK($B78)),ROW()&gt;2,COLUMN()&gt;1)</formula>
    </cfRule>
  </conditionalFormatting>
  <conditionalFormatting sqref="A78">
    <cfRule type="expression" dxfId="625" priority="625">
      <formula>SUM(--ISBLANK($B78:$J78))=COLUMNS($B78:$J78)</formula>
    </cfRule>
  </conditionalFormatting>
  <conditionalFormatting sqref="A78">
    <cfRule type="containsText" dxfId="624" priority="627" operator="containsText" text="NP">
      <formula>NOT(ISERROR(SEARCH("NP",A78)))</formula>
    </cfRule>
  </conditionalFormatting>
  <conditionalFormatting sqref="A78">
    <cfRule type="expression" dxfId="623" priority="624">
      <formula>ISBLANK(A78)</formula>
    </cfRule>
  </conditionalFormatting>
  <conditionalFormatting sqref="B78">
    <cfRule type="expression" dxfId="622" priority="623">
      <formula>SUM(--ISBLANK($B78:$J78))=COLUMNS($B78:$J78)</formula>
    </cfRule>
  </conditionalFormatting>
  <conditionalFormatting sqref="B78">
    <cfRule type="containsText" dxfId="621" priority="621" operator="containsText" text="NP">
      <formula>NOT(ISERROR(SEARCH("NP",B78)))</formula>
    </cfRule>
    <cfRule type="cellIs" dxfId="620" priority="622" operator="lessThan">
      <formula>5</formula>
    </cfRule>
  </conditionalFormatting>
  <conditionalFormatting sqref="B78">
    <cfRule type="expression" dxfId="619" priority="619">
      <formula>AND(OR(ROW()=CELL("row"),COLUMN()=CELL("col")),NOT(ISBLANK($C78)),NOT(ISBLANK($B78)),ROW()&gt;2,COLUMN()&gt;1)</formula>
    </cfRule>
  </conditionalFormatting>
  <conditionalFormatting sqref="B78">
    <cfRule type="containsText" dxfId="618" priority="620" operator="containsText" text="NP">
      <formula>NOT(ISERROR(SEARCH("NP",B78)))</formula>
    </cfRule>
  </conditionalFormatting>
  <conditionalFormatting sqref="B78">
    <cfRule type="expression" dxfId="617" priority="618">
      <formula>ISBLANK(B78)</formula>
    </cfRule>
  </conditionalFormatting>
  <conditionalFormatting sqref="B78">
    <cfRule type="containsText" dxfId="616" priority="617" operator="containsText" text="Reconocimiento Créditos">
      <formula>NOT(ISERROR(SEARCH("Reconocimiento Créditos",B78)))</formula>
    </cfRule>
  </conditionalFormatting>
  <conditionalFormatting sqref="B78">
    <cfRule type="expression" dxfId="615" priority="615">
      <formula>AND(ISNUMBER(B78), OR(B78&gt;10, B78&lt;0))</formula>
    </cfRule>
  </conditionalFormatting>
  <conditionalFormatting sqref="B78">
    <cfRule type="expression" dxfId="614" priority="614">
      <formula>AND(NOT(ISNUMBER(B78)), B78&lt;&gt;"NP", B78&lt;&gt;"Reconocimiento Créditos", B78&lt;&gt;"Aprobado en otro curso")</formula>
    </cfRule>
  </conditionalFormatting>
  <conditionalFormatting sqref="B78">
    <cfRule type="containsText" dxfId="613" priority="613" operator="containsText" text="Reconocimiento Créditos">
      <formula>NOT(ISERROR(SEARCH("Reconocimiento Créditos",B78)))</formula>
    </cfRule>
  </conditionalFormatting>
  <conditionalFormatting sqref="B78">
    <cfRule type="containsText" dxfId="612" priority="616" operator="containsText" text="Aprobado en otro curso">
      <formula>NOT(ISERROR(SEARCH("Aprobado en otro curso",B78)))</formula>
    </cfRule>
  </conditionalFormatting>
  <conditionalFormatting sqref="A79">
    <cfRule type="expression" dxfId="611" priority="611">
      <formula>AND(OR(ROW()=CELL("row"),COLUMN()=CELL("col")),NOT(ISBLANK($C79)),NOT(ISBLANK($B79)),ROW()&gt;2,COLUMN()&gt;1)</formula>
    </cfRule>
  </conditionalFormatting>
  <conditionalFormatting sqref="A79">
    <cfRule type="expression" dxfId="610" priority="610">
      <formula>SUM(--ISBLANK($B79:$J79))=COLUMNS($B79:$J79)</formula>
    </cfRule>
  </conditionalFormatting>
  <conditionalFormatting sqref="A79">
    <cfRule type="containsText" dxfId="609" priority="612" operator="containsText" text="NP">
      <formula>NOT(ISERROR(SEARCH("NP",A79)))</formula>
    </cfRule>
  </conditionalFormatting>
  <conditionalFormatting sqref="A79">
    <cfRule type="expression" dxfId="608" priority="609">
      <formula>ISBLANK(A79)</formula>
    </cfRule>
  </conditionalFormatting>
  <conditionalFormatting sqref="B79">
    <cfRule type="expression" dxfId="607" priority="608">
      <formula>SUM(--ISBLANK($B79:$J79))=COLUMNS($B79:$J79)</formula>
    </cfRule>
  </conditionalFormatting>
  <conditionalFormatting sqref="B79">
    <cfRule type="containsText" dxfId="606" priority="606" operator="containsText" text="NP">
      <formula>NOT(ISERROR(SEARCH("NP",B79)))</formula>
    </cfRule>
    <cfRule type="cellIs" dxfId="605" priority="607" operator="lessThan">
      <formula>5</formula>
    </cfRule>
  </conditionalFormatting>
  <conditionalFormatting sqref="B79">
    <cfRule type="expression" dxfId="604" priority="604">
      <formula>AND(OR(ROW()=CELL("row"),COLUMN()=CELL("col")),NOT(ISBLANK($C79)),NOT(ISBLANK($B79)),ROW()&gt;2,COLUMN()&gt;1)</formula>
    </cfRule>
  </conditionalFormatting>
  <conditionalFormatting sqref="B79">
    <cfRule type="containsText" dxfId="603" priority="605" operator="containsText" text="NP">
      <formula>NOT(ISERROR(SEARCH("NP",B79)))</formula>
    </cfRule>
  </conditionalFormatting>
  <conditionalFormatting sqref="B79">
    <cfRule type="expression" dxfId="602" priority="603">
      <formula>ISBLANK(B79)</formula>
    </cfRule>
  </conditionalFormatting>
  <conditionalFormatting sqref="B79">
    <cfRule type="containsText" dxfId="601" priority="602" operator="containsText" text="Reconocimiento Créditos">
      <formula>NOT(ISERROR(SEARCH("Reconocimiento Créditos",B79)))</formula>
    </cfRule>
  </conditionalFormatting>
  <conditionalFormatting sqref="B79">
    <cfRule type="expression" dxfId="600" priority="600">
      <formula>AND(ISNUMBER(B79), OR(B79&gt;10, B79&lt;0))</formula>
    </cfRule>
  </conditionalFormatting>
  <conditionalFormatting sqref="B79">
    <cfRule type="expression" dxfId="599" priority="599">
      <formula>AND(NOT(ISNUMBER(B79)), B79&lt;&gt;"NP", B79&lt;&gt;"Reconocimiento Créditos", B79&lt;&gt;"Aprobado en otro curso")</formula>
    </cfRule>
  </conditionalFormatting>
  <conditionalFormatting sqref="B79">
    <cfRule type="containsText" dxfId="598" priority="598" operator="containsText" text="Reconocimiento Créditos">
      <formula>NOT(ISERROR(SEARCH("Reconocimiento Créditos",B79)))</formula>
    </cfRule>
  </conditionalFormatting>
  <conditionalFormatting sqref="B79">
    <cfRule type="containsText" dxfId="597" priority="601" operator="containsText" text="Aprobado en otro curso">
      <formula>NOT(ISERROR(SEARCH("Aprobado en otro curso",B79)))</formula>
    </cfRule>
  </conditionalFormatting>
  <conditionalFormatting sqref="A80">
    <cfRule type="expression" dxfId="596" priority="596">
      <formula>AND(OR(ROW()=CELL("row"),COLUMN()=CELL("col")),NOT(ISBLANK($C80)),NOT(ISBLANK($B80)),ROW()&gt;2,COLUMN()&gt;1)</formula>
    </cfRule>
  </conditionalFormatting>
  <conditionalFormatting sqref="A80">
    <cfRule type="expression" dxfId="595" priority="595">
      <formula>SUM(--ISBLANK($B80:$J80))=COLUMNS($B80:$J80)</formula>
    </cfRule>
  </conditionalFormatting>
  <conditionalFormatting sqref="A80">
    <cfRule type="containsText" dxfId="594" priority="597" operator="containsText" text="NP">
      <formula>NOT(ISERROR(SEARCH("NP",A80)))</formula>
    </cfRule>
  </conditionalFormatting>
  <conditionalFormatting sqref="A80">
    <cfRule type="expression" dxfId="593" priority="594">
      <formula>ISBLANK(A80)</formula>
    </cfRule>
  </conditionalFormatting>
  <conditionalFormatting sqref="B80">
    <cfRule type="expression" dxfId="592" priority="593">
      <formula>SUM(--ISBLANK($B80:$J80))=COLUMNS($B80:$J80)</formula>
    </cfRule>
  </conditionalFormatting>
  <conditionalFormatting sqref="B80">
    <cfRule type="containsText" dxfId="591" priority="591" operator="containsText" text="NP">
      <formula>NOT(ISERROR(SEARCH("NP",B80)))</formula>
    </cfRule>
    <cfRule type="cellIs" dxfId="590" priority="592" operator="lessThan">
      <formula>5</formula>
    </cfRule>
  </conditionalFormatting>
  <conditionalFormatting sqref="B80">
    <cfRule type="expression" dxfId="589" priority="589">
      <formula>AND(OR(ROW()=CELL("row"),COLUMN()=CELL("col")),NOT(ISBLANK($C80)),NOT(ISBLANK($B80)),ROW()&gt;2,COLUMN()&gt;1)</formula>
    </cfRule>
  </conditionalFormatting>
  <conditionalFormatting sqref="B80">
    <cfRule type="containsText" dxfId="588" priority="590" operator="containsText" text="NP">
      <formula>NOT(ISERROR(SEARCH("NP",B80)))</formula>
    </cfRule>
  </conditionalFormatting>
  <conditionalFormatting sqref="B80">
    <cfRule type="expression" dxfId="587" priority="588">
      <formula>ISBLANK(B80)</formula>
    </cfRule>
  </conditionalFormatting>
  <conditionalFormatting sqref="B80">
    <cfRule type="containsText" dxfId="586" priority="587" operator="containsText" text="Reconocimiento Créditos">
      <formula>NOT(ISERROR(SEARCH("Reconocimiento Créditos",B80)))</formula>
    </cfRule>
  </conditionalFormatting>
  <conditionalFormatting sqref="B80">
    <cfRule type="expression" dxfId="585" priority="585">
      <formula>AND(ISNUMBER(B80), OR(B80&gt;10, B80&lt;0))</formula>
    </cfRule>
  </conditionalFormatting>
  <conditionalFormatting sqref="B80">
    <cfRule type="expression" dxfId="584" priority="584">
      <formula>AND(NOT(ISNUMBER(B80)), B80&lt;&gt;"NP", B80&lt;&gt;"Reconocimiento Créditos", B80&lt;&gt;"Aprobado en otro curso")</formula>
    </cfRule>
  </conditionalFormatting>
  <conditionalFormatting sqref="B80">
    <cfRule type="containsText" dxfId="583" priority="583" operator="containsText" text="Reconocimiento Créditos">
      <formula>NOT(ISERROR(SEARCH("Reconocimiento Créditos",B80)))</formula>
    </cfRule>
  </conditionalFormatting>
  <conditionalFormatting sqref="B80">
    <cfRule type="containsText" dxfId="582" priority="586" operator="containsText" text="Aprobado en otro curso">
      <formula>NOT(ISERROR(SEARCH("Aprobado en otro curso",B80)))</formula>
    </cfRule>
  </conditionalFormatting>
  <conditionalFormatting sqref="A81">
    <cfRule type="expression" dxfId="581" priority="581">
      <formula>AND(OR(ROW()=CELL("row"),COLUMN()=CELL("col")),NOT(ISBLANK($C81)),NOT(ISBLANK($B81)),ROW()&gt;2,COLUMN()&gt;1)</formula>
    </cfRule>
  </conditionalFormatting>
  <conditionalFormatting sqref="A81">
    <cfRule type="expression" dxfId="580" priority="580">
      <formula>SUM(--ISBLANK($B81:$J81))=COLUMNS($B81:$J81)</formula>
    </cfRule>
  </conditionalFormatting>
  <conditionalFormatting sqref="A81">
    <cfRule type="containsText" dxfId="579" priority="582" operator="containsText" text="NP">
      <formula>NOT(ISERROR(SEARCH("NP",A81)))</formula>
    </cfRule>
  </conditionalFormatting>
  <conditionalFormatting sqref="A81">
    <cfRule type="expression" dxfId="578" priority="579">
      <formula>ISBLANK(A81)</formula>
    </cfRule>
  </conditionalFormatting>
  <conditionalFormatting sqref="B81">
    <cfRule type="expression" dxfId="577" priority="578">
      <formula>SUM(--ISBLANK($B81:$J81))=COLUMNS($B81:$J81)</formula>
    </cfRule>
  </conditionalFormatting>
  <conditionalFormatting sqref="B81">
    <cfRule type="containsText" dxfId="576" priority="576" operator="containsText" text="NP">
      <formula>NOT(ISERROR(SEARCH("NP",B81)))</formula>
    </cfRule>
    <cfRule type="cellIs" dxfId="575" priority="577" operator="lessThan">
      <formula>5</formula>
    </cfRule>
  </conditionalFormatting>
  <conditionalFormatting sqref="B81">
    <cfRule type="expression" dxfId="574" priority="574">
      <formula>AND(OR(ROW()=CELL("row"),COLUMN()=CELL("col")),NOT(ISBLANK($C81)),NOT(ISBLANK($B81)),ROW()&gt;2,COLUMN()&gt;1)</formula>
    </cfRule>
  </conditionalFormatting>
  <conditionalFormatting sqref="B81">
    <cfRule type="containsText" dxfId="573" priority="575" operator="containsText" text="NP">
      <formula>NOT(ISERROR(SEARCH("NP",B81)))</formula>
    </cfRule>
  </conditionalFormatting>
  <conditionalFormatting sqref="B81">
    <cfRule type="expression" dxfId="572" priority="573">
      <formula>ISBLANK(B81)</formula>
    </cfRule>
  </conditionalFormatting>
  <conditionalFormatting sqref="B81">
    <cfRule type="containsText" dxfId="571" priority="572" operator="containsText" text="Reconocimiento Créditos">
      <formula>NOT(ISERROR(SEARCH("Reconocimiento Créditos",B81)))</formula>
    </cfRule>
  </conditionalFormatting>
  <conditionalFormatting sqref="B81">
    <cfRule type="expression" dxfId="570" priority="570">
      <formula>AND(ISNUMBER(B81), OR(B81&gt;10, B81&lt;0))</formula>
    </cfRule>
  </conditionalFormatting>
  <conditionalFormatting sqref="B81">
    <cfRule type="expression" dxfId="569" priority="569">
      <formula>AND(NOT(ISNUMBER(B81)), B81&lt;&gt;"NP", B81&lt;&gt;"Reconocimiento Créditos", B81&lt;&gt;"Aprobado en otro curso")</formula>
    </cfRule>
  </conditionalFormatting>
  <conditionalFormatting sqref="B81">
    <cfRule type="containsText" dxfId="568" priority="568" operator="containsText" text="Reconocimiento Créditos">
      <formula>NOT(ISERROR(SEARCH("Reconocimiento Créditos",B81)))</formula>
    </cfRule>
  </conditionalFormatting>
  <conditionalFormatting sqref="B81">
    <cfRule type="containsText" dxfId="567" priority="571" operator="containsText" text="Aprobado en otro curso">
      <formula>NOT(ISERROR(SEARCH("Aprobado en otro curso",B81)))</formula>
    </cfRule>
  </conditionalFormatting>
  <conditionalFormatting sqref="A82">
    <cfRule type="expression" dxfId="566" priority="566">
      <formula>AND(OR(ROW()=CELL("row"),COLUMN()=CELL("col")),NOT(ISBLANK($C82)),NOT(ISBLANK($B82)),ROW()&gt;2,COLUMN()&gt;1)</formula>
    </cfRule>
  </conditionalFormatting>
  <conditionalFormatting sqref="A82">
    <cfRule type="expression" dxfId="565" priority="565">
      <formula>SUM(--ISBLANK($B82:$J82))=COLUMNS($B82:$J82)</formula>
    </cfRule>
  </conditionalFormatting>
  <conditionalFormatting sqref="A82">
    <cfRule type="containsText" dxfId="564" priority="567" operator="containsText" text="NP">
      <formula>NOT(ISERROR(SEARCH("NP",A82)))</formula>
    </cfRule>
  </conditionalFormatting>
  <conditionalFormatting sqref="A82">
    <cfRule type="expression" dxfId="563" priority="564">
      <formula>ISBLANK(A82)</formula>
    </cfRule>
  </conditionalFormatting>
  <conditionalFormatting sqref="B82">
    <cfRule type="expression" dxfId="562" priority="563">
      <formula>SUM(--ISBLANK($B82:$J82))=COLUMNS($B82:$J82)</formula>
    </cfRule>
  </conditionalFormatting>
  <conditionalFormatting sqref="B82">
    <cfRule type="containsText" dxfId="561" priority="561" operator="containsText" text="NP">
      <formula>NOT(ISERROR(SEARCH("NP",B82)))</formula>
    </cfRule>
    <cfRule type="cellIs" dxfId="560" priority="562" operator="lessThan">
      <formula>5</formula>
    </cfRule>
  </conditionalFormatting>
  <conditionalFormatting sqref="B82">
    <cfRule type="expression" dxfId="559" priority="559">
      <formula>AND(OR(ROW()=CELL("row"),COLUMN()=CELL("col")),NOT(ISBLANK($C82)),NOT(ISBLANK($B82)),ROW()&gt;2,COLUMN()&gt;1)</formula>
    </cfRule>
  </conditionalFormatting>
  <conditionalFormatting sqref="B82">
    <cfRule type="containsText" dxfId="558" priority="560" operator="containsText" text="NP">
      <formula>NOT(ISERROR(SEARCH("NP",B82)))</formula>
    </cfRule>
  </conditionalFormatting>
  <conditionalFormatting sqref="B82">
    <cfRule type="expression" dxfId="557" priority="558">
      <formula>ISBLANK(B82)</formula>
    </cfRule>
  </conditionalFormatting>
  <conditionalFormatting sqref="B82">
    <cfRule type="containsText" dxfId="556" priority="557" operator="containsText" text="Reconocimiento Créditos">
      <formula>NOT(ISERROR(SEARCH("Reconocimiento Créditos",B82)))</formula>
    </cfRule>
  </conditionalFormatting>
  <conditionalFormatting sqref="B82">
    <cfRule type="expression" dxfId="555" priority="555">
      <formula>AND(ISNUMBER(B82), OR(B82&gt;10, B82&lt;0))</formula>
    </cfRule>
  </conditionalFormatting>
  <conditionalFormatting sqref="B82">
    <cfRule type="expression" dxfId="554" priority="554">
      <formula>AND(NOT(ISNUMBER(B82)), B82&lt;&gt;"NP", B82&lt;&gt;"Reconocimiento Créditos", B82&lt;&gt;"Aprobado en otro curso")</formula>
    </cfRule>
  </conditionalFormatting>
  <conditionalFormatting sqref="B82">
    <cfRule type="containsText" dxfId="553" priority="553" operator="containsText" text="Reconocimiento Créditos">
      <formula>NOT(ISERROR(SEARCH("Reconocimiento Créditos",B82)))</formula>
    </cfRule>
  </conditionalFormatting>
  <conditionalFormatting sqref="B82">
    <cfRule type="containsText" dxfId="552" priority="556" operator="containsText" text="Aprobado en otro curso">
      <formula>NOT(ISERROR(SEARCH("Aprobado en otro curso",B82)))</formula>
    </cfRule>
  </conditionalFormatting>
  <conditionalFormatting sqref="A83">
    <cfRule type="expression" dxfId="551" priority="551">
      <formula>AND(OR(ROW()=CELL("row"),COLUMN()=CELL("col")),NOT(ISBLANK($C83)),NOT(ISBLANK($B83)),ROW()&gt;2,COLUMN()&gt;1)</formula>
    </cfRule>
  </conditionalFormatting>
  <conditionalFormatting sqref="A83">
    <cfRule type="expression" dxfId="550" priority="550">
      <formula>SUM(--ISBLANK($B83:$J83))=COLUMNS($B83:$J83)</formula>
    </cfRule>
  </conditionalFormatting>
  <conditionalFormatting sqref="A83">
    <cfRule type="containsText" dxfId="549" priority="552" operator="containsText" text="NP">
      <formula>NOT(ISERROR(SEARCH("NP",A83)))</formula>
    </cfRule>
  </conditionalFormatting>
  <conditionalFormatting sqref="A83">
    <cfRule type="expression" dxfId="548" priority="549">
      <formula>ISBLANK(A83)</formula>
    </cfRule>
  </conditionalFormatting>
  <conditionalFormatting sqref="B83">
    <cfRule type="expression" dxfId="547" priority="548">
      <formula>SUM(--ISBLANK($B83:$J83))=COLUMNS($B83:$J83)</formula>
    </cfRule>
  </conditionalFormatting>
  <conditionalFormatting sqref="B83">
    <cfRule type="containsText" dxfId="546" priority="546" operator="containsText" text="NP">
      <formula>NOT(ISERROR(SEARCH("NP",B83)))</formula>
    </cfRule>
    <cfRule type="cellIs" dxfId="545" priority="547" operator="lessThan">
      <formula>5</formula>
    </cfRule>
  </conditionalFormatting>
  <conditionalFormatting sqref="B83">
    <cfRule type="expression" dxfId="544" priority="544">
      <formula>AND(OR(ROW()=CELL("row"),COLUMN()=CELL("col")),NOT(ISBLANK($C83)),NOT(ISBLANK($B83)),ROW()&gt;2,COLUMN()&gt;1)</formula>
    </cfRule>
  </conditionalFormatting>
  <conditionalFormatting sqref="B83">
    <cfRule type="containsText" dxfId="543" priority="545" operator="containsText" text="NP">
      <formula>NOT(ISERROR(SEARCH("NP",B83)))</formula>
    </cfRule>
  </conditionalFormatting>
  <conditionalFormatting sqref="B83">
    <cfRule type="expression" dxfId="542" priority="543">
      <formula>ISBLANK(B83)</formula>
    </cfRule>
  </conditionalFormatting>
  <conditionalFormatting sqref="B83">
    <cfRule type="containsText" dxfId="541" priority="542" operator="containsText" text="Reconocimiento Créditos">
      <formula>NOT(ISERROR(SEARCH("Reconocimiento Créditos",B83)))</formula>
    </cfRule>
  </conditionalFormatting>
  <conditionalFormatting sqref="B83">
    <cfRule type="expression" dxfId="540" priority="540">
      <formula>AND(ISNUMBER(B83), OR(B83&gt;10, B83&lt;0))</formula>
    </cfRule>
  </conditionalFormatting>
  <conditionalFormatting sqref="B83">
    <cfRule type="expression" dxfId="539" priority="539">
      <formula>AND(NOT(ISNUMBER(B83)), B83&lt;&gt;"NP", B83&lt;&gt;"Reconocimiento Créditos", B83&lt;&gt;"Aprobado en otro curso")</formula>
    </cfRule>
  </conditionalFormatting>
  <conditionalFormatting sqref="B83">
    <cfRule type="containsText" dxfId="538" priority="538" operator="containsText" text="Reconocimiento Créditos">
      <formula>NOT(ISERROR(SEARCH("Reconocimiento Créditos",B83)))</formula>
    </cfRule>
  </conditionalFormatting>
  <conditionalFormatting sqref="B83">
    <cfRule type="containsText" dxfId="537" priority="541" operator="containsText" text="Aprobado en otro curso">
      <formula>NOT(ISERROR(SEARCH("Aprobado en otro curso",B83)))</formula>
    </cfRule>
  </conditionalFormatting>
  <conditionalFormatting sqref="A84">
    <cfRule type="expression" dxfId="536" priority="536">
      <formula>AND(OR(ROW()=CELL("row"),COLUMN()=CELL("col")),NOT(ISBLANK($C84)),NOT(ISBLANK($B84)),ROW()&gt;2,COLUMN()&gt;1)</formula>
    </cfRule>
  </conditionalFormatting>
  <conditionalFormatting sqref="A84">
    <cfRule type="expression" dxfId="535" priority="535">
      <formula>SUM(--ISBLANK($B84:$J84))=COLUMNS($B84:$J84)</formula>
    </cfRule>
  </conditionalFormatting>
  <conditionalFormatting sqref="A84">
    <cfRule type="containsText" dxfId="534" priority="537" operator="containsText" text="NP">
      <formula>NOT(ISERROR(SEARCH("NP",A84)))</formula>
    </cfRule>
  </conditionalFormatting>
  <conditionalFormatting sqref="A84">
    <cfRule type="expression" dxfId="533" priority="534">
      <formula>ISBLANK(A84)</formula>
    </cfRule>
  </conditionalFormatting>
  <conditionalFormatting sqref="B84">
    <cfRule type="expression" dxfId="532" priority="533">
      <formula>SUM(--ISBLANK($B84:$J84))=COLUMNS($B84:$J84)</formula>
    </cfRule>
  </conditionalFormatting>
  <conditionalFormatting sqref="B84">
    <cfRule type="containsText" dxfId="531" priority="531" operator="containsText" text="NP">
      <formula>NOT(ISERROR(SEARCH("NP",B84)))</formula>
    </cfRule>
    <cfRule type="cellIs" dxfId="530" priority="532" operator="lessThan">
      <formula>5</formula>
    </cfRule>
  </conditionalFormatting>
  <conditionalFormatting sqref="B84">
    <cfRule type="expression" dxfId="529" priority="529">
      <formula>AND(OR(ROW()=CELL("row"),COLUMN()=CELL("col")),NOT(ISBLANK($C84)),NOT(ISBLANK($B84)),ROW()&gt;2,COLUMN()&gt;1)</formula>
    </cfRule>
  </conditionalFormatting>
  <conditionalFormatting sqref="B84">
    <cfRule type="containsText" dxfId="528" priority="530" operator="containsText" text="NP">
      <formula>NOT(ISERROR(SEARCH("NP",B84)))</formula>
    </cfRule>
  </conditionalFormatting>
  <conditionalFormatting sqref="B84">
    <cfRule type="expression" dxfId="527" priority="528">
      <formula>ISBLANK(B84)</formula>
    </cfRule>
  </conditionalFormatting>
  <conditionalFormatting sqref="B84">
    <cfRule type="containsText" dxfId="526" priority="527" operator="containsText" text="Reconocimiento Créditos">
      <formula>NOT(ISERROR(SEARCH("Reconocimiento Créditos",B84)))</formula>
    </cfRule>
  </conditionalFormatting>
  <conditionalFormatting sqref="B84">
    <cfRule type="expression" dxfId="525" priority="525">
      <formula>AND(ISNUMBER(B84), OR(B84&gt;10, B84&lt;0))</formula>
    </cfRule>
  </conditionalFormatting>
  <conditionalFormatting sqref="B84">
    <cfRule type="expression" dxfId="524" priority="524">
      <formula>AND(NOT(ISNUMBER(B84)), B84&lt;&gt;"NP", B84&lt;&gt;"Reconocimiento Créditos", B84&lt;&gt;"Aprobado en otro curso")</formula>
    </cfRule>
  </conditionalFormatting>
  <conditionalFormatting sqref="B84">
    <cfRule type="containsText" dxfId="523" priority="523" operator="containsText" text="Reconocimiento Créditos">
      <formula>NOT(ISERROR(SEARCH("Reconocimiento Créditos",B84)))</formula>
    </cfRule>
  </conditionalFormatting>
  <conditionalFormatting sqref="B84">
    <cfRule type="containsText" dxfId="522" priority="526" operator="containsText" text="Aprobado en otro curso">
      <formula>NOT(ISERROR(SEARCH("Aprobado en otro curso",B84)))</formula>
    </cfRule>
  </conditionalFormatting>
  <conditionalFormatting sqref="A85">
    <cfRule type="containsText" dxfId="521" priority="519" operator="containsText" text="NP">
      <formula>NOT(ISERROR(SEARCH("NP",A85)))</formula>
    </cfRule>
    <cfRule type="cellIs" dxfId="520" priority="520" operator="lessThan">
      <formula>5</formula>
    </cfRule>
  </conditionalFormatting>
  <conditionalFormatting sqref="A85">
    <cfRule type="expression" dxfId="519" priority="517">
      <formula>SUM(--ISBLANK($B85:$J85))=COLUMNS($B85:$J85)</formula>
    </cfRule>
  </conditionalFormatting>
  <conditionalFormatting sqref="A85">
    <cfRule type="containsText" dxfId="518" priority="518" operator="containsText" text="NP">
      <formula>NOT(ISERROR(SEARCH("NP",A85)))</formula>
    </cfRule>
  </conditionalFormatting>
  <conditionalFormatting sqref="A85">
    <cfRule type="expression" dxfId="517" priority="521">
      <formula>AND(OR(ROW()=CELL("row"),COLUMN()=CELL("col")),NOT(ISBLANK(#REF!)),NOT(ISBLANK(#REF!)),ROW()&gt;2,COLUMN()&gt;1)</formula>
    </cfRule>
  </conditionalFormatting>
  <conditionalFormatting sqref="A85">
    <cfRule type="expression" dxfId="516" priority="522">
      <formula>SUM(--ISBLANK($B85:$F85))=COLUMNS($B85:$F85)</formula>
    </cfRule>
  </conditionalFormatting>
  <conditionalFormatting sqref="A85">
    <cfRule type="expression" dxfId="515" priority="516">
      <formula>AND(OR(ROW()=CELL("row"),COLUMN()=CELL("col")),NOT(ISBLANK($C85)),NOT(ISBLANK($B85)),ROW()&gt;2,COLUMN()&gt;1)</formula>
    </cfRule>
  </conditionalFormatting>
  <conditionalFormatting sqref="A85">
    <cfRule type="expression" dxfId="514" priority="515">
      <formula>ISBLANK(A85)</formula>
    </cfRule>
  </conditionalFormatting>
  <conditionalFormatting sqref="B85">
    <cfRule type="expression" dxfId="513" priority="514">
      <formula>ISBLANK(B85)</formula>
    </cfRule>
  </conditionalFormatting>
  <conditionalFormatting sqref="B85">
    <cfRule type="containsText" dxfId="512" priority="513" operator="containsText" text="Reconocimiento Créditos">
      <formula>NOT(ISERROR(SEARCH("Reconocimiento Créditos",B85)))</formula>
    </cfRule>
  </conditionalFormatting>
  <conditionalFormatting sqref="B85">
    <cfRule type="expression" dxfId="511" priority="511">
      <formula>AND(ISNUMBER(B85), OR(B85&gt;10, B85&lt;0))</formula>
    </cfRule>
  </conditionalFormatting>
  <conditionalFormatting sqref="B85">
    <cfRule type="containsText" dxfId="510" priority="510" operator="containsText" text="Reconocimiento Créditos">
      <formula>NOT(ISERROR(SEARCH("Reconocimiento Créditos",B85)))</formula>
    </cfRule>
  </conditionalFormatting>
  <conditionalFormatting sqref="B85">
    <cfRule type="containsText" dxfId="509" priority="512" operator="containsText" text="Aprobado en otro curso">
      <formula>NOT(ISERROR(SEARCH("Aprobado en otro curso",B85)))</formula>
    </cfRule>
  </conditionalFormatting>
  <conditionalFormatting sqref="A86">
    <cfRule type="expression" dxfId="508" priority="508">
      <formula>AND(OR(ROW()=CELL("row"),COLUMN()=CELL("col")),NOT(ISBLANK($C86)),NOT(ISBLANK($B86)),ROW()&gt;2,COLUMN()&gt;1)</formula>
    </cfRule>
  </conditionalFormatting>
  <conditionalFormatting sqref="A86">
    <cfRule type="expression" dxfId="507" priority="507">
      <formula>SUM(--ISBLANK($B86:$J86))=COLUMNS($B86:$J86)</formula>
    </cfRule>
  </conditionalFormatting>
  <conditionalFormatting sqref="A86">
    <cfRule type="containsText" dxfId="506" priority="509" operator="containsText" text="NP">
      <formula>NOT(ISERROR(SEARCH("NP",A86)))</formula>
    </cfRule>
  </conditionalFormatting>
  <conditionalFormatting sqref="A86">
    <cfRule type="expression" dxfId="505" priority="506">
      <formula>ISBLANK(A86)</formula>
    </cfRule>
  </conditionalFormatting>
  <conditionalFormatting sqref="B86">
    <cfRule type="expression" dxfId="504" priority="505">
      <formula>AND(OR(ROW()=CELL("row"),COLUMN()=CELL("col")),NOT(ISBLANK($C86)),NOT(ISBLANK($B86)),ROW()&gt;2,COLUMN()&gt;1)</formula>
    </cfRule>
  </conditionalFormatting>
  <conditionalFormatting sqref="B86">
    <cfRule type="expression" dxfId="503" priority="504">
      <formula>SUM(--ISBLANK($B86:$J86))=COLUMNS($B86:$J86)</formula>
    </cfRule>
  </conditionalFormatting>
  <conditionalFormatting sqref="B86">
    <cfRule type="containsText" dxfId="502" priority="502" operator="containsText" text="NP">
      <formula>NOT(ISERROR(SEARCH("NP",B86)))</formula>
    </cfRule>
    <cfRule type="cellIs" dxfId="501" priority="503" operator="lessThan">
      <formula>5</formula>
    </cfRule>
  </conditionalFormatting>
  <conditionalFormatting sqref="B86">
    <cfRule type="containsText" dxfId="500" priority="501" operator="containsText" text="NP">
      <formula>NOT(ISERROR(SEARCH("NP",B86)))</formula>
    </cfRule>
  </conditionalFormatting>
  <conditionalFormatting sqref="B86">
    <cfRule type="expression" dxfId="499" priority="500">
      <formula>ISBLANK(B86)</formula>
    </cfRule>
  </conditionalFormatting>
  <conditionalFormatting sqref="B86">
    <cfRule type="containsText" dxfId="498" priority="499" operator="containsText" text="Reconocimiento Créditos">
      <formula>NOT(ISERROR(SEARCH("Reconocimiento Créditos",B86)))</formula>
    </cfRule>
  </conditionalFormatting>
  <conditionalFormatting sqref="B86">
    <cfRule type="expression" dxfId="497" priority="497">
      <formula>AND(ISNUMBER(B86), OR(B86&gt;10, B86&lt;0))</formula>
    </cfRule>
  </conditionalFormatting>
  <conditionalFormatting sqref="B86">
    <cfRule type="containsText" dxfId="496" priority="496" operator="containsText" text="Reconocimiento Créditos">
      <formula>NOT(ISERROR(SEARCH("Reconocimiento Créditos",B86)))</formula>
    </cfRule>
  </conditionalFormatting>
  <conditionalFormatting sqref="B86">
    <cfRule type="containsText" dxfId="495" priority="498" operator="containsText" text="Aprobado en otro curso">
      <formula>NOT(ISERROR(SEARCH("Aprobado en otro curso",B86)))</formula>
    </cfRule>
  </conditionalFormatting>
  <conditionalFormatting sqref="A87">
    <cfRule type="expression" dxfId="494" priority="494">
      <formula>AND(OR(ROW()=CELL("row"),COLUMN()=CELL("col")),NOT(ISBLANK($C87)),NOT(ISBLANK($B87)),ROW()&gt;2,COLUMN()&gt;1)</formula>
    </cfRule>
  </conditionalFormatting>
  <conditionalFormatting sqref="A87">
    <cfRule type="expression" dxfId="493" priority="493">
      <formula>SUM(--ISBLANK($B87:$J87))=COLUMNS($B87:$J87)</formula>
    </cfRule>
  </conditionalFormatting>
  <conditionalFormatting sqref="A87">
    <cfRule type="containsText" dxfId="492" priority="495" operator="containsText" text="NP">
      <formula>NOT(ISERROR(SEARCH("NP",A87)))</formula>
    </cfRule>
  </conditionalFormatting>
  <conditionalFormatting sqref="A87">
    <cfRule type="expression" dxfId="491" priority="492">
      <formula>ISBLANK(A87)</formula>
    </cfRule>
  </conditionalFormatting>
  <conditionalFormatting sqref="B87">
    <cfRule type="expression" dxfId="490" priority="491">
      <formula>AND(OR(ROW()=CELL("row"),COLUMN()=CELL("col")),NOT(ISBLANK($C87)),NOT(ISBLANK($B87)),ROW()&gt;2,COLUMN()&gt;1)</formula>
    </cfRule>
  </conditionalFormatting>
  <conditionalFormatting sqref="B87">
    <cfRule type="expression" dxfId="489" priority="490">
      <formula>SUM(--ISBLANK($B87:$J87))=COLUMNS($B87:$J87)</formula>
    </cfRule>
  </conditionalFormatting>
  <conditionalFormatting sqref="B87">
    <cfRule type="containsText" dxfId="488" priority="488" operator="containsText" text="NP">
      <formula>NOT(ISERROR(SEARCH("NP",B87)))</formula>
    </cfRule>
    <cfRule type="cellIs" dxfId="487" priority="489" operator="lessThan">
      <formula>5</formula>
    </cfRule>
  </conditionalFormatting>
  <conditionalFormatting sqref="B87">
    <cfRule type="containsText" dxfId="486" priority="487" operator="containsText" text="NP">
      <formula>NOT(ISERROR(SEARCH("NP",B87)))</formula>
    </cfRule>
  </conditionalFormatting>
  <conditionalFormatting sqref="B87">
    <cfRule type="expression" dxfId="485" priority="486">
      <formula>ISBLANK(B87)</formula>
    </cfRule>
  </conditionalFormatting>
  <conditionalFormatting sqref="B87">
    <cfRule type="containsText" dxfId="484" priority="485" operator="containsText" text="Reconocimiento Créditos">
      <formula>NOT(ISERROR(SEARCH("Reconocimiento Créditos",B87)))</formula>
    </cfRule>
  </conditionalFormatting>
  <conditionalFormatting sqref="B87">
    <cfRule type="expression" dxfId="483" priority="483">
      <formula>AND(ISNUMBER(B87), OR(B87&gt;10, B87&lt;0))</formula>
    </cfRule>
  </conditionalFormatting>
  <conditionalFormatting sqref="B87">
    <cfRule type="containsText" dxfId="482" priority="482" operator="containsText" text="Reconocimiento Créditos">
      <formula>NOT(ISERROR(SEARCH("Reconocimiento Créditos",B87)))</formula>
    </cfRule>
  </conditionalFormatting>
  <conditionalFormatting sqref="B87">
    <cfRule type="containsText" dxfId="481" priority="484" operator="containsText" text="Aprobado en otro curso">
      <formula>NOT(ISERROR(SEARCH("Aprobado en otro curso",B87)))</formula>
    </cfRule>
  </conditionalFormatting>
  <conditionalFormatting sqref="A88">
    <cfRule type="expression" dxfId="480" priority="480">
      <formula>AND(OR(ROW()=CELL("row"),COLUMN()=CELL("col")),NOT(ISBLANK($C88)),NOT(ISBLANK($B88)),ROW()&gt;2,COLUMN()&gt;1)</formula>
    </cfRule>
  </conditionalFormatting>
  <conditionalFormatting sqref="A88">
    <cfRule type="expression" dxfId="479" priority="479">
      <formula>SUM(--ISBLANK($B88:$J88))=COLUMNS($B88:$J88)</formula>
    </cfRule>
  </conditionalFormatting>
  <conditionalFormatting sqref="A88">
    <cfRule type="containsText" dxfId="478" priority="481" operator="containsText" text="NP">
      <formula>NOT(ISERROR(SEARCH("NP",A88)))</formula>
    </cfRule>
  </conditionalFormatting>
  <conditionalFormatting sqref="A88">
    <cfRule type="expression" dxfId="477" priority="478">
      <formula>ISBLANK(A88)</formula>
    </cfRule>
  </conditionalFormatting>
  <conditionalFormatting sqref="B88">
    <cfRule type="expression" dxfId="476" priority="477">
      <formula>AND(OR(ROW()=CELL("row"),COLUMN()=CELL("col")),NOT(ISBLANK($C88)),NOT(ISBLANK($B88)),ROW()&gt;2,COLUMN()&gt;1)</formula>
    </cfRule>
  </conditionalFormatting>
  <conditionalFormatting sqref="B88">
    <cfRule type="expression" dxfId="475" priority="476">
      <formula>SUM(--ISBLANK($B88:$J88))=COLUMNS($B88:$J88)</formula>
    </cfRule>
  </conditionalFormatting>
  <conditionalFormatting sqref="B88">
    <cfRule type="containsText" dxfId="474" priority="474" operator="containsText" text="NP">
      <formula>NOT(ISERROR(SEARCH("NP",B88)))</formula>
    </cfRule>
    <cfRule type="cellIs" dxfId="473" priority="475" operator="lessThan">
      <formula>5</formula>
    </cfRule>
  </conditionalFormatting>
  <conditionalFormatting sqref="B88">
    <cfRule type="containsText" dxfId="472" priority="473" operator="containsText" text="NP">
      <formula>NOT(ISERROR(SEARCH("NP",B88)))</formula>
    </cfRule>
  </conditionalFormatting>
  <conditionalFormatting sqref="B88">
    <cfRule type="expression" dxfId="471" priority="472">
      <formula>ISBLANK(B88)</formula>
    </cfRule>
  </conditionalFormatting>
  <conditionalFormatting sqref="B88">
    <cfRule type="containsText" dxfId="470" priority="471" operator="containsText" text="Reconocimiento Créditos">
      <formula>NOT(ISERROR(SEARCH("Reconocimiento Créditos",B88)))</formula>
    </cfRule>
  </conditionalFormatting>
  <conditionalFormatting sqref="B88">
    <cfRule type="expression" dxfId="469" priority="469">
      <formula>AND(ISNUMBER(B88), OR(B88&gt;10, B88&lt;0))</formula>
    </cfRule>
  </conditionalFormatting>
  <conditionalFormatting sqref="B88">
    <cfRule type="expression" dxfId="468" priority="468">
      <formula>AND(NOT(ISNUMBER(B88)), B88&lt;&gt;"NP", B88&lt;&gt;"Reconocimiento Créditos", B88&lt;&gt;"Aprobado en otro curso")</formula>
    </cfRule>
  </conditionalFormatting>
  <conditionalFormatting sqref="B88">
    <cfRule type="containsText" dxfId="467" priority="467" operator="containsText" text="Reconocimiento Créditos">
      <formula>NOT(ISERROR(SEARCH("Reconocimiento Créditos",B88)))</formula>
    </cfRule>
  </conditionalFormatting>
  <conditionalFormatting sqref="B88">
    <cfRule type="containsText" dxfId="466" priority="470" operator="containsText" text="Aprobado en otro curso">
      <formula>NOT(ISERROR(SEARCH("Aprobado en otro curso",B88)))</formula>
    </cfRule>
  </conditionalFormatting>
  <conditionalFormatting sqref="A89">
    <cfRule type="expression" dxfId="465" priority="465">
      <formula>AND(OR(ROW()=CELL("row"),COLUMN()=CELL("col")),NOT(ISBLANK($C89)),NOT(ISBLANK($B89)),ROW()&gt;2,COLUMN()&gt;1)</formula>
    </cfRule>
  </conditionalFormatting>
  <conditionalFormatting sqref="A89">
    <cfRule type="expression" dxfId="464" priority="464">
      <formula>SUM(--ISBLANK($B89:$J89))=COLUMNS($B89:$J89)</formula>
    </cfRule>
  </conditionalFormatting>
  <conditionalFormatting sqref="A89">
    <cfRule type="containsText" dxfId="463" priority="466" operator="containsText" text="NP">
      <formula>NOT(ISERROR(SEARCH("NP",A89)))</formula>
    </cfRule>
  </conditionalFormatting>
  <conditionalFormatting sqref="A89">
    <cfRule type="expression" dxfId="462" priority="463">
      <formula>ISBLANK(A89)</formula>
    </cfRule>
  </conditionalFormatting>
  <conditionalFormatting sqref="B89">
    <cfRule type="expression" dxfId="461" priority="462">
      <formula>AND(OR(ROW()=CELL("row"),COLUMN()=CELL("col")),NOT(ISBLANK($C89)),NOT(ISBLANK($B89)),ROW()&gt;2,COLUMN()&gt;1)</formula>
    </cfRule>
  </conditionalFormatting>
  <conditionalFormatting sqref="B89">
    <cfRule type="expression" dxfId="460" priority="461">
      <formula>SUM(--ISBLANK($B89:$J89))=COLUMNS($B89:$J89)</formula>
    </cfRule>
  </conditionalFormatting>
  <conditionalFormatting sqref="B89">
    <cfRule type="containsText" dxfId="459" priority="459" operator="containsText" text="NP">
      <formula>NOT(ISERROR(SEARCH("NP",B89)))</formula>
    </cfRule>
    <cfRule type="cellIs" dxfId="458" priority="460" operator="lessThan">
      <formula>5</formula>
    </cfRule>
  </conditionalFormatting>
  <conditionalFormatting sqref="B89">
    <cfRule type="containsText" dxfId="457" priority="458" operator="containsText" text="NP">
      <formula>NOT(ISERROR(SEARCH("NP",B89)))</formula>
    </cfRule>
  </conditionalFormatting>
  <conditionalFormatting sqref="B89">
    <cfRule type="expression" dxfId="456" priority="457">
      <formula>ISBLANK(B89)</formula>
    </cfRule>
  </conditionalFormatting>
  <conditionalFormatting sqref="B89">
    <cfRule type="containsText" dxfId="455" priority="456" operator="containsText" text="Reconocimiento Créditos">
      <formula>NOT(ISERROR(SEARCH("Reconocimiento Créditos",B89)))</formula>
    </cfRule>
  </conditionalFormatting>
  <conditionalFormatting sqref="B89">
    <cfRule type="expression" dxfId="454" priority="454">
      <formula>AND(ISNUMBER(B89), OR(B89&gt;10, B89&lt;0))</formula>
    </cfRule>
  </conditionalFormatting>
  <conditionalFormatting sqref="B89">
    <cfRule type="expression" dxfId="453" priority="453">
      <formula>AND(NOT(ISNUMBER(B89)), B89&lt;&gt;"NP", B89&lt;&gt;"Reconocimiento Créditos", B89&lt;&gt;"Aprobado en otro curso")</formula>
    </cfRule>
  </conditionalFormatting>
  <conditionalFormatting sqref="B89">
    <cfRule type="containsText" dxfId="452" priority="452" operator="containsText" text="Reconocimiento Créditos">
      <formula>NOT(ISERROR(SEARCH("Reconocimiento Créditos",B89)))</formula>
    </cfRule>
  </conditionalFormatting>
  <conditionalFormatting sqref="B89">
    <cfRule type="containsText" dxfId="451" priority="455" operator="containsText" text="Aprobado en otro curso">
      <formula>NOT(ISERROR(SEARCH("Aprobado en otro curso",B89)))</formula>
    </cfRule>
  </conditionalFormatting>
  <conditionalFormatting sqref="A90">
    <cfRule type="expression" dxfId="450" priority="450">
      <formula>AND(OR(ROW()=CELL("row"),COLUMN()=CELL("col")),NOT(ISBLANK($C90)),NOT(ISBLANK($B90)),ROW()&gt;2,COLUMN()&gt;1)</formula>
    </cfRule>
  </conditionalFormatting>
  <conditionalFormatting sqref="A90">
    <cfRule type="expression" dxfId="449" priority="449">
      <formula>SUM(--ISBLANK($B90:$J90))=COLUMNS($B90:$J90)</formula>
    </cfRule>
  </conditionalFormatting>
  <conditionalFormatting sqref="A90">
    <cfRule type="containsText" dxfId="448" priority="451" operator="containsText" text="NP">
      <formula>NOT(ISERROR(SEARCH("NP",A90)))</formula>
    </cfRule>
  </conditionalFormatting>
  <conditionalFormatting sqref="A90">
    <cfRule type="expression" dxfId="447" priority="448">
      <formula>ISBLANK(A90)</formula>
    </cfRule>
  </conditionalFormatting>
  <conditionalFormatting sqref="B90">
    <cfRule type="expression" dxfId="446" priority="447">
      <formula>AND(OR(ROW()=CELL("row"),COLUMN()=CELL("col")),NOT(ISBLANK($C90)),NOT(ISBLANK($B90)),ROW()&gt;2,COLUMN()&gt;1)</formula>
    </cfRule>
  </conditionalFormatting>
  <conditionalFormatting sqref="B90">
    <cfRule type="expression" dxfId="445" priority="446">
      <formula>SUM(--ISBLANK($B90:$J90))=COLUMNS($B90:$J90)</formula>
    </cfRule>
  </conditionalFormatting>
  <conditionalFormatting sqref="B90">
    <cfRule type="containsText" dxfId="444" priority="444" operator="containsText" text="NP">
      <formula>NOT(ISERROR(SEARCH("NP",B90)))</formula>
    </cfRule>
    <cfRule type="cellIs" dxfId="443" priority="445" operator="lessThan">
      <formula>5</formula>
    </cfRule>
  </conditionalFormatting>
  <conditionalFormatting sqref="B90">
    <cfRule type="containsText" dxfId="442" priority="443" operator="containsText" text="NP">
      <formula>NOT(ISERROR(SEARCH("NP",B90)))</formula>
    </cfRule>
  </conditionalFormatting>
  <conditionalFormatting sqref="B90">
    <cfRule type="expression" dxfId="441" priority="442">
      <formula>ISBLANK(B90)</formula>
    </cfRule>
  </conditionalFormatting>
  <conditionalFormatting sqref="B90">
    <cfRule type="containsText" dxfId="440" priority="441" operator="containsText" text="Reconocimiento Créditos">
      <formula>NOT(ISERROR(SEARCH("Reconocimiento Créditos",B90)))</formula>
    </cfRule>
  </conditionalFormatting>
  <conditionalFormatting sqref="B90">
    <cfRule type="expression" dxfId="439" priority="439">
      <formula>AND(ISNUMBER(B90), OR(B90&gt;10, B90&lt;0))</formula>
    </cfRule>
  </conditionalFormatting>
  <conditionalFormatting sqref="B90">
    <cfRule type="expression" dxfId="438" priority="438">
      <formula>AND(NOT(ISNUMBER(B90)), B90&lt;&gt;"NP", B90&lt;&gt;"Reconocimiento Créditos", B90&lt;&gt;"Aprobado en otro curso")</formula>
    </cfRule>
  </conditionalFormatting>
  <conditionalFormatting sqref="B90">
    <cfRule type="containsText" dxfId="437" priority="437" operator="containsText" text="Reconocimiento Créditos">
      <formula>NOT(ISERROR(SEARCH("Reconocimiento Créditos",B90)))</formula>
    </cfRule>
  </conditionalFormatting>
  <conditionalFormatting sqref="B90">
    <cfRule type="containsText" dxfId="436" priority="440" operator="containsText" text="Aprobado en otro curso">
      <formula>NOT(ISERROR(SEARCH("Aprobado en otro curso",B90)))</formula>
    </cfRule>
  </conditionalFormatting>
  <conditionalFormatting sqref="A91">
    <cfRule type="expression" dxfId="435" priority="435">
      <formula>AND(OR(ROW()=CELL("row"),COLUMN()=CELL("col")),NOT(ISBLANK($C91)),NOT(ISBLANK($B91)),ROW()&gt;2,COLUMN()&gt;1)</formula>
    </cfRule>
  </conditionalFormatting>
  <conditionalFormatting sqref="A91">
    <cfRule type="expression" dxfId="434" priority="434">
      <formula>SUM(--ISBLANK($B91:$J91))=COLUMNS($B91:$J91)</formula>
    </cfRule>
  </conditionalFormatting>
  <conditionalFormatting sqref="A91">
    <cfRule type="containsText" dxfId="433" priority="436" operator="containsText" text="NP">
      <formula>NOT(ISERROR(SEARCH("NP",A91)))</formula>
    </cfRule>
  </conditionalFormatting>
  <conditionalFormatting sqref="A91">
    <cfRule type="expression" dxfId="432" priority="433">
      <formula>ISBLANK(A91)</formula>
    </cfRule>
  </conditionalFormatting>
  <conditionalFormatting sqref="B91">
    <cfRule type="expression" dxfId="431" priority="432">
      <formula>AND(OR(ROW()=CELL("row"),COLUMN()=CELL("col")),NOT(ISBLANK($C91)),NOT(ISBLANK($B91)),ROW()&gt;2,COLUMN()&gt;1)</formula>
    </cfRule>
  </conditionalFormatting>
  <conditionalFormatting sqref="B91">
    <cfRule type="expression" dxfId="430" priority="431">
      <formula>SUM(--ISBLANK($B91:$J91))=COLUMNS($B91:$J91)</formula>
    </cfRule>
  </conditionalFormatting>
  <conditionalFormatting sqref="B91">
    <cfRule type="containsText" dxfId="429" priority="429" operator="containsText" text="NP">
      <formula>NOT(ISERROR(SEARCH("NP",B91)))</formula>
    </cfRule>
    <cfRule type="cellIs" dxfId="428" priority="430" operator="lessThan">
      <formula>5</formula>
    </cfRule>
  </conditionalFormatting>
  <conditionalFormatting sqref="B91">
    <cfRule type="containsText" dxfId="427" priority="428" operator="containsText" text="NP">
      <formula>NOT(ISERROR(SEARCH("NP",B91)))</formula>
    </cfRule>
  </conditionalFormatting>
  <conditionalFormatting sqref="B91">
    <cfRule type="expression" dxfId="426" priority="427">
      <formula>ISBLANK(B91)</formula>
    </cfRule>
  </conditionalFormatting>
  <conditionalFormatting sqref="B91">
    <cfRule type="containsText" dxfId="425" priority="426" operator="containsText" text="Reconocimiento Créditos">
      <formula>NOT(ISERROR(SEARCH("Reconocimiento Créditos",B91)))</formula>
    </cfRule>
  </conditionalFormatting>
  <conditionalFormatting sqref="B91">
    <cfRule type="expression" dxfId="424" priority="424">
      <formula>AND(ISNUMBER(B91), OR(B91&gt;10, B91&lt;0))</formula>
    </cfRule>
  </conditionalFormatting>
  <conditionalFormatting sqref="B91">
    <cfRule type="expression" dxfId="423" priority="423">
      <formula>AND(NOT(ISNUMBER(B91)), B91&lt;&gt;"NP", B91&lt;&gt;"Reconocimiento Créditos", B91&lt;&gt;"Aprobado en otro curso")</formula>
    </cfRule>
  </conditionalFormatting>
  <conditionalFormatting sqref="B91">
    <cfRule type="containsText" dxfId="422" priority="422" operator="containsText" text="Reconocimiento Créditos">
      <formula>NOT(ISERROR(SEARCH("Reconocimiento Créditos",B91)))</formula>
    </cfRule>
  </conditionalFormatting>
  <conditionalFormatting sqref="B91">
    <cfRule type="containsText" dxfId="421" priority="425" operator="containsText" text="Aprobado en otro curso">
      <formula>NOT(ISERROR(SEARCH("Aprobado en otro curso",B91)))</formula>
    </cfRule>
  </conditionalFormatting>
  <conditionalFormatting sqref="A92">
    <cfRule type="expression" dxfId="420" priority="420">
      <formula>AND(OR(ROW()=CELL("row"),COLUMN()=CELL("col")),NOT(ISBLANK($C92)),NOT(ISBLANK($B92)),ROW()&gt;2,COLUMN()&gt;1)</formula>
    </cfRule>
  </conditionalFormatting>
  <conditionalFormatting sqref="A92">
    <cfRule type="expression" dxfId="419" priority="419">
      <formula>SUM(--ISBLANK($B92:$J92))=COLUMNS($B92:$J92)</formula>
    </cfRule>
  </conditionalFormatting>
  <conditionalFormatting sqref="A92">
    <cfRule type="containsText" dxfId="418" priority="421" operator="containsText" text="NP">
      <formula>NOT(ISERROR(SEARCH("NP",A92)))</formula>
    </cfRule>
  </conditionalFormatting>
  <conditionalFormatting sqref="A92">
    <cfRule type="expression" dxfId="417" priority="418">
      <formula>ISBLANK(A92)</formula>
    </cfRule>
  </conditionalFormatting>
  <conditionalFormatting sqref="B92">
    <cfRule type="expression" dxfId="416" priority="417">
      <formula>AND(OR(ROW()=CELL("row"),COLUMN()=CELL("col")),NOT(ISBLANK($C92)),NOT(ISBLANK($B92)),ROW()&gt;2,COLUMN()&gt;1)</formula>
    </cfRule>
  </conditionalFormatting>
  <conditionalFormatting sqref="B92">
    <cfRule type="expression" dxfId="415" priority="416">
      <formula>SUM(--ISBLANK($B92:$J92))=COLUMNS($B92:$J92)</formula>
    </cfRule>
  </conditionalFormatting>
  <conditionalFormatting sqref="B92">
    <cfRule type="containsText" dxfId="414" priority="414" operator="containsText" text="NP">
      <formula>NOT(ISERROR(SEARCH("NP",B92)))</formula>
    </cfRule>
    <cfRule type="cellIs" dxfId="413" priority="415" operator="lessThan">
      <formula>5</formula>
    </cfRule>
  </conditionalFormatting>
  <conditionalFormatting sqref="B92">
    <cfRule type="containsText" dxfId="412" priority="413" operator="containsText" text="NP">
      <formula>NOT(ISERROR(SEARCH("NP",B92)))</formula>
    </cfRule>
  </conditionalFormatting>
  <conditionalFormatting sqref="B92">
    <cfRule type="expression" dxfId="411" priority="412">
      <formula>ISBLANK(B92)</formula>
    </cfRule>
  </conditionalFormatting>
  <conditionalFormatting sqref="B92">
    <cfRule type="containsText" dxfId="410" priority="411" operator="containsText" text="Reconocimiento Créditos">
      <formula>NOT(ISERROR(SEARCH("Reconocimiento Créditos",B92)))</formula>
    </cfRule>
  </conditionalFormatting>
  <conditionalFormatting sqref="B92">
    <cfRule type="expression" dxfId="409" priority="409">
      <formula>AND(ISNUMBER(B92), OR(B92&gt;10, B92&lt;0))</formula>
    </cfRule>
  </conditionalFormatting>
  <conditionalFormatting sqref="B92">
    <cfRule type="expression" dxfId="408" priority="408">
      <formula>AND(NOT(ISNUMBER(B92)), B92&lt;&gt;"NP", B92&lt;&gt;"Reconocimiento Créditos", B92&lt;&gt;"Aprobado en otro curso")</formula>
    </cfRule>
  </conditionalFormatting>
  <conditionalFormatting sqref="B92">
    <cfRule type="containsText" dxfId="407" priority="407" operator="containsText" text="Reconocimiento Créditos">
      <formula>NOT(ISERROR(SEARCH("Reconocimiento Créditos",B92)))</formula>
    </cfRule>
  </conditionalFormatting>
  <conditionalFormatting sqref="B92">
    <cfRule type="containsText" dxfId="406" priority="410" operator="containsText" text="Aprobado en otro curso">
      <formula>NOT(ISERROR(SEARCH("Aprobado en otro curso",B92)))</formula>
    </cfRule>
  </conditionalFormatting>
  <conditionalFormatting sqref="A93">
    <cfRule type="expression" dxfId="405" priority="405">
      <formula>AND(OR(ROW()=CELL("row"),COLUMN()=CELL("col")),NOT(ISBLANK($C93)),NOT(ISBLANK($B93)),ROW()&gt;2,COLUMN()&gt;1)</formula>
    </cfRule>
  </conditionalFormatting>
  <conditionalFormatting sqref="A93">
    <cfRule type="expression" dxfId="404" priority="404">
      <formula>SUM(--ISBLANK($B93:$J93))=COLUMNS($B93:$J93)</formula>
    </cfRule>
  </conditionalFormatting>
  <conditionalFormatting sqref="A93">
    <cfRule type="containsText" dxfId="403" priority="406" operator="containsText" text="NP">
      <formula>NOT(ISERROR(SEARCH("NP",A93)))</formula>
    </cfRule>
  </conditionalFormatting>
  <conditionalFormatting sqref="A93">
    <cfRule type="expression" dxfId="402" priority="403">
      <formula>ISBLANK(A93)</formula>
    </cfRule>
  </conditionalFormatting>
  <conditionalFormatting sqref="B93">
    <cfRule type="expression" dxfId="401" priority="402">
      <formula>AND(OR(ROW()=CELL("row"),COLUMN()=CELL("col")),NOT(ISBLANK($C93)),NOT(ISBLANK($B93)),ROW()&gt;2,COLUMN()&gt;1)</formula>
    </cfRule>
  </conditionalFormatting>
  <conditionalFormatting sqref="B93">
    <cfRule type="expression" dxfId="400" priority="401">
      <formula>SUM(--ISBLANK($B93:$J93))=COLUMNS($B93:$J93)</formula>
    </cfRule>
  </conditionalFormatting>
  <conditionalFormatting sqref="B93">
    <cfRule type="containsText" dxfId="399" priority="399" operator="containsText" text="NP">
      <formula>NOT(ISERROR(SEARCH("NP",B93)))</formula>
    </cfRule>
    <cfRule type="cellIs" dxfId="398" priority="400" operator="lessThan">
      <formula>5</formula>
    </cfRule>
  </conditionalFormatting>
  <conditionalFormatting sqref="B93">
    <cfRule type="containsText" dxfId="397" priority="398" operator="containsText" text="NP">
      <formula>NOT(ISERROR(SEARCH("NP",B93)))</formula>
    </cfRule>
  </conditionalFormatting>
  <conditionalFormatting sqref="B93">
    <cfRule type="expression" dxfId="396" priority="397">
      <formula>ISBLANK(B93)</formula>
    </cfRule>
  </conditionalFormatting>
  <conditionalFormatting sqref="B93">
    <cfRule type="containsText" dxfId="395" priority="396" operator="containsText" text="Reconocimiento Créditos">
      <formula>NOT(ISERROR(SEARCH("Reconocimiento Créditos",B93)))</formula>
    </cfRule>
  </conditionalFormatting>
  <conditionalFormatting sqref="B93">
    <cfRule type="expression" dxfId="394" priority="394">
      <formula>AND(ISNUMBER(B93), OR(B93&gt;10, B93&lt;0))</formula>
    </cfRule>
  </conditionalFormatting>
  <conditionalFormatting sqref="B93">
    <cfRule type="expression" dxfId="393" priority="393">
      <formula>AND(NOT(ISNUMBER(B93)), B93&lt;&gt;"NP", B93&lt;&gt;"Reconocimiento Créditos", B93&lt;&gt;"Aprobado en otro curso")</formula>
    </cfRule>
  </conditionalFormatting>
  <conditionalFormatting sqref="B93">
    <cfRule type="containsText" dxfId="392" priority="392" operator="containsText" text="Reconocimiento Créditos">
      <formula>NOT(ISERROR(SEARCH("Reconocimiento Créditos",B93)))</formula>
    </cfRule>
  </conditionalFormatting>
  <conditionalFormatting sqref="B93">
    <cfRule type="containsText" dxfId="391" priority="395" operator="containsText" text="Aprobado en otro curso">
      <formula>NOT(ISERROR(SEARCH("Aprobado en otro curso",B93)))</formula>
    </cfRule>
  </conditionalFormatting>
  <conditionalFormatting sqref="A94">
    <cfRule type="expression" dxfId="390" priority="390">
      <formula>AND(OR(ROW()=CELL("row"),COLUMN()=CELL("col")),NOT(ISBLANK($C94)),NOT(ISBLANK($B94)),ROW()&gt;2,COLUMN()&gt;1)</formula>
    </cfRule>
  </conditionalFormatting>
  <conditionalFormatting sqref="A94">
    <cfRule type="expression" dxfId="389" priority="389">
      <formula>SUM(--ISBLANK($B94:$J94))=COLUMNS($B94:$J94)</formula>
    </cfRule>
  </conditionalFormatting>
  <conditionalFormatting sqref="A94">
    <cfRule type="containsText" dxfId="388" priority="391" operator="containsText" text="NP">
      <formula>NOT(ISERROR(SEARCH("NP",A94)))</formula>
    </cfRule>
  </conditionalFormatting>
  <conditionalFormatting sqref="A94">
    <cfRule type="expression" dxfId="387" priority="388">
      <formula>ISBLANK(A94)</formula>
    </cfRule>
  </conditionalFormatting>
  <conditionalFormatting sqref="B94">
    <cfRule type="expression" dxfId="386" priority="387">
      <formula>AND(OR(ROW()=CELL("row"),COLUMN()=CELL("col")),NOT(ISBLANK($C94)),NOT(ISBLANK($B94)),ROW()&gt;2,COLUMN()&gt;1)</formula>
    </cfRule>
  </conditionalFormatting>
  <conditionalFormatting sqref="B94">
    <cfRule type="expression" dxfId="385" priority="386">
      <formula>SUM(--ISBLANK($B94:$J94))=COLUMNS($B94:$J94)</formula>
    </cfRule>
  </conditionalFormatting>
  <conditionalFormatting sqref="B94">
    <cfRule type="containsText" dxfId="384" priority="384" operator="containsText" text="NP">
      <formula>NOT(ISERROR(SEARCH("NP",B94)))</formula>
    </cfRule>
    <cfRule type="cellIs" dxfId="383" priority="385" operator="lessThan">
      <formula>5</formula>
    </cfRule>
  </conditionalFormatting>
  <conditionalFormatting sqref="B94">
    <cfRule type="containsText" dxfId="382" priority="383" operator="containsText" text="NP">
      <formula>NOT(ISERROR(SEARCH("NP",B94)))</formula>
    </cfRule>
  </conditionalFormatting>
  <conditionalFormatting sqref="B94">
    <cfRule type="expression" dxfId="381" priority="382">
      <formula>ISBLANK(B94)</formula>
    </cfRule>
  </conditionalFormatting>
  <conditionalFormatting sqref="B94">
    <cfRule type="containsText" dxfId="380" priority="381" operator="containsText" text="Reconocimiento Créditos">
      <formula>NOT(ISERROR(SEARCH("Reconocimiento Créditos",B94)))</formula>
    </cfRule>
  </conditionalFormatting>
  <conditionalFormatting sqref="B94">
    <cfRule type="expression" dxfId="379" priority="379">
      <formula>AND(ISNUMBER(B94), OR(B94&gt;10, B94&lt;0))</formula>
    </cfRule>
  </conditionalFormatting>
  <conditionalFormatting sqref="B94">
    <cfRule type="expression" dxfId="378" priority="378">
      <formula>AND(NOT(ISNUMBER(B94)), B94&lt;&gt;"NP", B94&lt;&gt;"Reconocimiento Créditos", B94&lt;&gt;"Aprobado en otro curso")</formula>
    </cfRule>
  </conditionalFormatting>
  <conditionalFormatting sqref="B94">
    <cfRule type="containsText" dxfId="377" priority="377" operator="containsText" text="Reconocimiento Créditos">
      <formula>NOT(ISERROR(SEARCH("Reconocimiento Créditos",B94)))</formula>
    </cfRule>
  </conditionalFormatting>
  <conditionalFormatting sqref="B94">
    <cfRule type="containsText" dxfId="376" priority="380" operator="containsText" text="Aprobado en otro curso">
      <formula>NOT(ISERROR(SEARCH("Aprobado en otro curso",B94)))</formula>
    </cfRule>
  </conditionalFormatting>
  <conditionalFormatting sqref="A95">
    <cfRule type="expression" dxfId="375" priority="375">
      <formula>AND(OR(ROW()=CELL("row"),COLUMN()=CELL("col")),NOT(ISBLANK($C95)),NOT(ISBLANK($B95)),ROW()&gt;2,COLUMN()&gt;1)</formula>
    </cfRule>
  </conditionalFormatting>
  <conditionalFormatting sqref="A95">
    <cfRule type="expression" dxfId="374" priority="374">
      <formula>SUM(--ISBLANK($B95:$J95))=COLUMNS($B95:$J95)</formula>
    </cfRule>
  </conditionalFormatting>
  <conditionalFormatting sqref="A95">
    <cfRule type="containsText" dxfId="373" priority="376" operator="containsText" text="NP">
      <formula>NOT(ISERROR(SEARCH("NP",A95)))</formula>
    </cfRule>
  </conditionalFormatting>
  <conditionalFormatting sqref="A95">
    <cfRule type="expression" dxfId="372" priority="373">
      <formula>ISBLANK(A95)</formula>
    </cfRule>
  </conditionalFormatting>
  <conditionalFormatting sqref="B95">
    <cfRule type="expression" dxfId="371" priority="372">
      <formula>AND(OR(ROW()=CELL("row"),COLUMN()=CELL("col")),NOT(ISBLANK($C95)),NOT(ISBLANK($B95)),ROW()&gt;2,COLUMN()&gt;1)</formula>
    </cfRule>
  </conditionalFormatting>
  <conditionalFormatting sqref="B95">
    <cfRule type="expression" dxfId="370" priority="371">
      <formula>SUM(--ISBLANK($B95:$J95))=COLUMNS($B95:$J95)</formula>
    </cfRule>
  </conditionalFormatting>
  <conditionalFormatting sqref="B95">
    <cfRule type="containsText" dxfId="369" priority="369" operator="containsText" text="NP">
      <formula>NOT(ISERROR(SEARCH("NP",B95)))</formula>
    </cfRule>
    <cfRule type="cellIs" dxfId="368" priority="370" operator="lessThan">
      <formula>5</formula>
    </cfRule>
  </conditionalFormatting>
  <conditionalFormatting sqref="B95">
    <cfRule type="containsText" dxfId="367" priority="368" operator="containsText" text="NP">
      <formula>NOT(ISERROR(SEARCH("NP",B95)))</formula>
    </cfRule>
  </conditionalFormatting>
  <conditionalFormatting sqref="B95">
    <cfRule type="expression" dxfId="366" priority="367">
      <formula>ISBLANK(B95)</formula>
    </cfRule>
  </conditionalFormatting>
  <conditionalFormatting sqref="B95">
    <cfRule type="containsText" dxfId="365" priority="366" operator="containsText" text="Reconocimiento Créditos">
      <formula>NOT(ISERROR(SEARCH("Reconocimiento Créditos",B95)))</formula>
    </cfRule>
  </conditionalFormatting>
  <conditionalFormatting sqref="B95">
    <cfRule type="expression" dxfId="364" priority="364">
      <formula>AND(ISNUMBER(B95), OR(B95&gt;10, B95&lt;0))</formula>
    </cfRule>
  </conditionalFormatting>
  <conditionalFormatting sqref="B95">
    <cfRule type="expression" dxfId="363" priority="363">
      <formula>AND(NOT(ISNUMBER(B95)), B95&lt;&gt;"NP", B95&lt;&gt;"Reconocimiento Créditos", B95&lt;&gt;"Aprobado en otro curso")</formula>
    </cfRule>
  </conditionalFormatting>
  <conditionalFormatting sqref="B95">
    <cfRule type="containsText" dxfId="362" priority="362" operator="containsText" text="Reconocimiento Créditos">
      <formula>NOT(ISERROR(SEARCH("Reconocimiento Créditos",B95)))</formula>
    </cfRule>
  </conditionalFormatting>
  <conditionalFormatting sqref="B95">
    <cfRule type="containsText" dxfId="361" priority="365" operator="containsText" text="Aprobado en otro curso">
      <formula>NOT(ISERROR(SEARCH("Aprobado en otro curso",B95)))</formula>
    </cfRule>
  </conditionalFormatting>
  <conditionalFormatting sqref="A96">
    <cfRule type="expression" dxfId="360" priority="360">
      <formula>AND(OR(ROW()=CELL("row"),COLUMN()=CELL("col")),NOT(ISBLANK($C96)),NOT(ISBLANK($B96)),ROW()&gt;2,COLUMN()&gt;1)</formula>
    </cfRule>
  </conditionalFormatting>
  <conditionalFormatting sqref="A96">
    <cfRule type="expression" dxfId="359" priority="359">
      <formula>SUM(--ISBLANK($B96:$J96))=COLUMNS($B96:$J96)</formula>
    </cfRule>
  </conditionalFormatting>
  <conditionalFormatting sqref="A96">
    <cfRule type="containsText" dxfId="358" priority="361" operator="containsText" text="NP">
      <formula>NOT(ISERROR(SEARCH("NP",A96)))</formula>
    </cfRule>
  </conditionalFormatting>
  <conditionalFormatting sqref="A96">
    <cfRule type="expression" dxfId="357" priority="358">
      <formula>ISBLANK(A96)</formula>
    </cfRule>
  </conditionalFormatting>
  <conditionalFormatting sqref="B96">
    <cfRule type="expression" dxfId="356" priority="357">
      <formula>AND(OR(ROW()=CELL("row"),COLUMN()=CELL("col")),NOT(ISBLANK($C96)),NOT(ISBLANK($B96)),ROW()&gt;2,COLUMN()&gt;1)</formula>
    </cfRule>
  </conditionalFormatting>
  <conditionalFormatting sqref="B96">
    <cfRule type="expression" dxfId="355" priority="356">
      <formula>SUM(--ISBLANK($B96:$J96))=COLUMNS($B96:$J96)</formula>
    </cfRule>
  </conditionalFormatting>
  <conditionalFormatting sqref="B96">
    <cfRule type="containsText" dxfId="354" priority="354" operator="containsText" text="NP">
      <formula>NOT(ISERROR(SEARCH("NP",B96)))</formula>
    </cfRule>
    <cfRule type="cellIs" dxfId="353" priority="355" operator="lessThan">
      <formula>5</formula>
    </cfRule>
  </conditionalFormatting>
  <conditionalFormatting sqref="B96">
    <cfRule type="containsText" dxfId="352" priority="353" operator="containsText" text="NP">
      <formula>NOT(ISERROR(SEARCH("NP",B96)))</formula>
    </cfRule>
  </conditionalFormatting>
  <conditionalFormatting sqref="B96">
    <cfRule type="expression" dxfId="351" priority="352">
      <formula>ISBLANK(B96)</formula>
    </cfRule>
  </conditionalFormatting>
  <conditionalFormatting sqref="B96">
    <cfRule type="containsText" dxfId="350" priority="351" operator="containsText" text="Reconocimiento Créditos">
      <formula>NOT(ISERROR(SEARCH("Reconocimiento Créditos",B96)))</formula>
    </cfRule>
  </conditionalFormatting>
  <conditionalFormatting sqref="B96">
    <cfRule type="expression" dxfId="349" priority="349">
      <formula>AND(ISNUMBER(B96), OR(B96&gt;10, B96&lt;0))</formula>
    </cfRule>
  </conditionalFormatting>
  <conditionalFormatting sqref="B96">
    <cfRule type="expression" dxfId="348" priority="348">
      <formula>AND(NOT(ISNUMBER(B96)), B96&lt;&gt;"NP", B96&lt;&gt;"Reconocimiento Créditos", B96&lt;&gt;"Aprobado en otro curso")</formula>
    </cfRule>
  </conditionalFormatting>
  <conditionalFormatting sqref="B96">
    <cfRule type="containsText" dxfId="347" priority="347" operator="containsText" text="Reconocimiento Créditos">
      <formula>NOT(ISERROR(SEARCH("Reconocimiento Créditos",B96)))</formula>
    </cfRule>
  </conditionalFormatting>
  <conditionalFormatting sqref="B96">
    <cfRule type="containsText" dxfId="346" priority="350" operator="containsText" text="Aprobado en otro curso">
      <formula>NOT(ISERROR(SEARCH("Aprobado en otro curso",B96)))</formula>
    </cfRule>
  </conditionalFormatting>
  <conditionalFormatting sqref="A97">
    <cfRule type="expression" dxfId="345" priority="345">
      <formula>AND(OR(ROW()=CELL("row"),COLUMN()=CELL("col")),NOT(ISBLANK($C97)),NOT(ISBLANK($B97)),ROW()&gt;2,COLUMN()&gt;1)</formula>
    </cfRule>
  </conditionalFormatting>
  <conditionalFormatting sqref="A97">
    <cfRule type="expression" dxfId="344" priority="344">
      <formula>SUM(--ISBLANK($B97:$J97))=COLUMNS($B97:$J97)</formula>
    </cfRule>
  </conditionalFormatting>
  <conditionalFormatting sqref="A97">
    <cfRule type="containsText" dxfId="343" priority="346" operator="containsText" text="NP">
      <formula>NOT(ISERROR(SEARCH("NP",A97)))</formula>
    </cfRule>
  </conditionalFormatting>
  <conditionalFormatting sqref="A97">
    <cfRule type="expression" dxfId="342" priority="343">
      <formula>ISBLANK(A97)</formula>
    </cfRule>
  </conditionalFormatting>
  <conditionalFormatting sqref="B97">
    <cfRule type="expression" dxfId="341" priority="342">
      <formula>AND(OR(ROW()=CELL("row"),COLUMN()=CELL("col")),NOT(ISBLANK($C97)),NOT(ISBLANK($B97)),ROW()&gt;2,COLUMN()&gt;1)</formula>
    </cfRule>
  </conditionalFormatting>
  <conditionalFormatting sqref="B97">
    <cfRule type="expression" dxfId="340" priority="341">
      <formula>SUM(--ISBLANK($B97:$J97))=COLUMNS($B97:$J97)</formula>
    </cfRule>
  </conditionalFormatting>
  <conditionalFormatting sqref="B97">
    <cfRule type="containsText" dxfId="339" priority="339" operator="containsText" text="NP">
      <formula>NOT(ISERROR(SEARCH("NP",B97)))</formula>
    </cfRule>
    <cfRule type="cellIs" dxfId="338" priority="340" operator="lessThan">
      <formula>5</formula>
    </cfRule>
  </conditionalFormatting>
  <conditionalFormatting sqref="B97">
    <cfRule type="containsText" dxfId="337" priority="338" operator="containsText" text="NP">
      <formula>NOT(ISERROR(SEARCH("NP",B97)))</formula>
    </cfRule>
  </conditionalFormatting>
  <conditionalFormatting sqref="B97">
    <cfRule type="expression" dxfId="336" priority="337">
      <formula>ISBLANK(B97)</formula>
    </cfRule>
  </conditionalFormatting>
  <conditionalFormatting sqref="B97">
    <cfRule type="containsText" dxfId="335" priority="336" operator="containsText" text="Reconocimiento Créditos">
      <formula>NOT(ISERROR(SEARCH("Reconocimiento Créditos",B97)))</formula>
    </cfRule>
  </conditionalFormatting>
  <conditionalFormatting sqref="B97">
    <cfRule type="expression" dxfId="334" priority="334">
      <formula>AND(ISNUMBER(B97), OR(B97&gt;10, B97&lt;0))</formula>
    </cfRule>
  </conditionalFormatting>
  <conditionalFormatting sqref="B97">
    <cfRule type="expression" dxfId="333" priority="333">
      <formula>AND(NOT(ISNUMBER(B97)), B97&lt;&gt;"NP", B97&lt;&gt;"Reconocimiento Créditos", B97&lt;&gt;"Aprobado en otro curso")</formula>
    </cfRule>
  </conditionalFormatting>
  <conditionalFormatting sqref="B97">
    <cfRule type="containsText" dxfId="332" priority="332" operator="containsText" text="Reconocimiento Créditos">
      <formula>NOT(ISERROR(SEARCH("Reconocimiento Créditos",B97)))</formula>
    </cfRule>
  </conditionalFormatting>
  <conditionalFormatting sqref="B97">
    <cfRule type="containsText" dxfId="331" priority="335" operator="containsText" text="Aprobado en otro curso">
      <formula>NOT(ISERROR(SEARCH("Aprobado en otro curso",B97)))</formula>
    </cfRule>
  </conditionalFormatting>
  <conditionalFormatting sqref="A98">
    <cfRule type="expression" dxfId="330" priority="330">
      <formula>AND(OR(ROW()=CELL("row"),COLUMN()=CELL("col")),NOT(ISBLANK($C98)),NOT(ISBLANK($B98)),ROW()&gt;2,COLUMN()&gt;1)</formula>
    </cfRule>
  </conditionalFormatting>
  <conditionalFormatting sqref="A98">
    <cfRule type="expression" dxfId="329" priority="329">
      <formula>SUM(--ISBLANK($B98:$J98))=COLUMNS($B98:$J98)</formula>
    </cfRule>
  </conditionalFormatting>
  <conditionalFormatting sqref="A98">
    <cfRule type="containsText" dxfId="328" priority="331" operator="containsText" text="NP">
      <formula>NOT(ISERROR(SEARCH("NP",A98)))</formula>
    </cfRule>
  </conditionalFormatting>
  <conditionalFormatting sqref="A98">
    <cfRule type="expression" dxfId="327" priority="328">
      <formula>ISBLANK(A98)</formula>
    </cfRule>
  </conditionalFormatting>
  <conditionalFormatting sqref="B98">
    <cfRule type="expression" dxfId="326" priority="327">
      <formula>AND(OR(ROW()=CELL("row"),COLUMN()=CELL("col")),NOT(ISBLANK($C98)),NOT(ISBLANK($B98)),ROW()&gt;2,COLUMN()&gt;1)</formula>
    </cfRule>
  </conditionalFormatting>
  <conditionalFormatting sqref="B98">
    <cfRule type="expression" dxfId="325" priority="326">
      <formula>SUM(--ISBLANK($B98:$J98))=COLUMNS($B98:$J98)</formula>
    </cfRule>
  </conditionalFormatting>
  <conditionalFormatting sqref="B98">
    <cfRule type="containsText" dxfId="324" priority="324" operator="containsText" text="NP">
      <formula>NOT(ISERROR(SEARCH("NP",B98)))</formula>
    </cfRule>
    <cfRule type="cellIs" dxfId="323" priority="325" operator="lessThan">
      <formula>5</formula>
    </cfRule>
  </conditionalFormatting>
  <conditionalFormatting sqref="B98">
    <cfRule type="containsText" dxfId="322" priority="323" operator="containsText" text="NP">
      <formula>NOT(ISERROR(SEARCH("NP",B98)))</formula>
    </cfRule>
  </conditionalFormatting>
  <conditionalFormatting sqref="B98">
    <cfRule type="expression" dxfId="321" priority="322">
      <formula>ISBLANK(B98)</formula>
    </cfRule>
  </conditionalFormatting>
  <conditionalFormatting sqref="B98">
    <cfRule type="containsText" dxfId="320" priority="321" operator="containsText" text="Reconocimiento Créditos">
      <formula>NOT(ISERROR(SEARCH("Reconocimiento Créditos",B98)))</formula>
    </cfRule>
  </conditionalFormatting>
  <conditionalFormatting sqref="B98">
    <cfRule type="expression" dxfId="319" priority="319">
      <formula>AND(ISNUMBER(B98), OR(B98&gt;10, B98&lt;0))</formula>
    </cfRule>
  </conditionalFormatting>
  <conditionalFormatting sqref="B98">
    <cfRule type="expression" dxfId="318" priority="318">
      <formula>AND(NOT(ISNUMBER(B98)), B98&lt;&gt;"NP", B98&lt;&gt;"Reconocimiento Créditos", B98&lt;&gt;"Aprobado en otro curso")</formula>
    </cfRule>
  </conditionalFormatting>
  <conditionalFormatting sqref="B98">
    <cfRule type="containsText" dxfId="317" priority="317" operator="containsText" text="Reconocimiento Créditos">
      <formula>NOT(ISERROR(SEARCH("Reconocimiento Créditos",B98)))</formula>
    </cfRule>
  </conditionalFormatting>
  <conditionalFormatting sqref="B98">
    <cfRule type="containsText" dxfId="316" priority="320" operator="containsText" text="Aprobado en otro curso">
      <formula>NOT(ISERROR(SEARCH("Aprobado en otro curso",B98)))</formula>
    </cfRule>
  </conditionalFormatting>
  <conditionalFormatting sqref="A99">
    <cfRule type="expression" dxfId="315" priority="315">
      <formula>AND(OR(ROW()=CELL("row"),COLUMN()=CELL("col")),NOT(ISBLANK($C99)),NOT(ISBLANK($B99)),ROW()&gt;2,COLUMN()&gt;1)</formula>
    </cfRule>
  </conditionalFormatting>
  <conditionalFormatting sqref="A99">
    <cfRule type="expression" dxfId="314" priority="314">
      <formula>SUM(--ISBLANK($B99:$J99))=COLUMNS($B99:$J99)</formula>
    </cfRule>
  </conditionalFormatting>
  <conditionalFormatting sqref="A99">
    <cfRule type="containsText" dxfId="313" priority="316" operator="containsText" text="NP">
      <formula>NOT(ISERROR(SEARCH("NP",A99)))</formula>
    </cfRule>
  </conditionalFormatting>
  <conditionalFormatting sqref="A99">
    <cfRule type="expression" dxfId="312" priority="313">
      <formula>ISBLANK(A99)</formula>
    </cfRule>
  </conditionalFormatting>
  <conditionalFormatting sqref="B99">
    <cfRule type="expression" dxfId="311" priority="312">
      <formula>AND(OR(ROW()=CELL("row"),COLUMN()=CELL("col")),NOT(ISBLANK($C99)),NOT(ISBLANK($B99)),ROW()&gt;2,COLUMN()&gt;1)</formula>
    </cfRule>
  </conditionalFormatting>
  <conditionalFormatting sqref="B99">
    <cfRule type="expression" dxfId="310" priority="311">
      <formula>SUM(--ISBLANK($B99:$J99))=COLUMNS($B99:$J99)</formula>
    </cfRule>
  </conditionalFormatting>
  <conditionalFormatting sqref="B99">
    <cfRule type="containsText" dxfId="309" priority="309" operator="containsText" text="NP">
      <formula>NOT(ISERROR(SEARCH("NP",B99)))</formula>
    </cfRule>
    <cfRule type="cellIs" dxfId="308" priority="310" operator="lessThan">
      <formula>5</formula>
    </cfRule>
  </conditionalFormatting>
  <conditionalFormatting sqref="B99">
    <cfRule type="containsText" dxfId="307" priority="308" operator="containsText" text="NP">
      <formula>NOT(ISERROR(SEARCH("NP",B99)))</formula>
    </cfRule>
  </conditionalFormatting>
  <conditionalFormatting sqref="B99">
    <cfRule type="expression" dxfId="306" priority="307">
      <formula>ISBLANK(B99)</formula>
    </cfRule>
  </conditionalFormatting>
  <conditionalFormatting sqref="B99">
    <cfRule type="containsText" dxfId="305" priority="306" operator="containsText" text="Reconocimiento Créditos">
      <formula>NOT(ISERROR(SEARCH("Reconocimiento Créditos",B99)))</formula>
    </cfRule>
  </conditionalFormatting>
  <conditionalFormatting sqref="B99">
    <cfRule type="expression" dxfId="304" priority="304">
      <formula>AND(ISNUMBER(B99), OR(B99&gt;10, B99&lt;0))</formula>
    </cfRule>
  </conditionalFormatting>
  <conditionalFormatting sqref="B99">
    <cfRule type="containsText" dxfId="303" priority="303" operator="containsText" text="Reconocimiento Créditos">
      <formula>NOT(ISERROR(SEARCH("Reconocimiento Créditos",B99)))</formula>
    </cfRule>
  </conditionalFormatting>
  <conditionalFormatting sqref="B99">
    <cfRule type="containsText" dxfId="302" priority="305" operator="containsText" text="Aprobado en otro curso">
      <formula>NOT(ISERROR(SEARCH("Aprobado en otro curso",B99)))</formula>
    </cfRule>
  </conditionalFormatting>
  <conditionalFormatting sqref="A100">
    <cfRule type="expression" dxfId="301" priority="301">
      <formula>AND(OR(ROW()=CELL("row"),COLUMN()=CELL("col")),NOT(ISBLANK($C100)),NOT(ISBLANK($B100)),ROW()&gt;2,COLUMN()&gt;1)</formula>
    </cfRule>
  </conditionalFormatting>
  <conditionalFormatting sqref="A100">
    <cfRule type="expression" dxfId="300" priority="300">
      <formula>SUM(--ISBLANK($B100:$J100))=COLUMNS($B100:$J100)</formula>
    </cfRule>
  </conditionalFormatting>
  <conditionalFormatting sqref="A100">
    <cfRule type="containsText" dxfId="299" priority="302" operator="containsText" text="NP">
      <formula>NOT(ISERROR(SEARCH("NP",A100)))</formula>
    </cfRule>
  </conditionalFormatting>
  <conditionalFormatting sqref="A100">
    <cfRule type="expression" dxfId="298" priority="299">
      <formula>ISBLANK(A100)</formula>
    </cfRule>
  </conditionalFormatting>
  <conditionalFormatting sqref="B100">
    <cfRule type="expression" dxfId="297" priority="298">
      <formula>AND(OR(ROW()=CELL("row"),COLUMN()=CELL("col")),NOT(ISBLANK($C100)),NOT(ISBLANK($B100)),ROW()&gt;2,COLUMN()&gt;1)</formula>
    </cfRule>
  </conditionalFormatting>
  <conditionalFormatting sqref="B100">
    <cfRule type="expression" dxfId="296" priority="297">
      <formula>SUM(--ISBLANK($B100:$J100))=COLUMNS($B100:$J100)</formula>
    </cfRule>
  </conditionalFormatting>
  <conditionalFormatting sqref="B100">
    <cfRule type="containsText" dxfId="295" priority="295" operator="containsText" text="NP">
      <formula>NOT(ISERROR(SEARCH("NP",B100)))</formula>
    </cfRule>
    <cfRule type="cellIs" dxfId="294" priority="296" operator="lessThan">
      <formula>5</formula>
    </cfRule>
  </conditionalFormatting>
  <conditionalFormatting sqref="B100">
    <cfRule type="containsText" dxfId="293" priority="294" operator="containsText" text="NP">
      <formula>NOT(ISERROR(SEARCH("NP",B100)))</formula>
    </cfRule>
  </conditionalFormatting>
  <conditionalFormatting sqref="B100">
    <cfRule type="expression" dxfId="292" priority="293">
      <formula>ISBLANK(B100)</formula>
    </cfRule>
  </conditionalFormatting>
  <conditionalFormatting sqref="B100">
    <cfRule type="containsText" dxfId="291" priority="292" operator="containsText" text="Reconocimiento Créditos">
      <formula>NOT(ISERROR(SEARCH("Reconocimiento Créditos",B100)))</formula>
    </cfRule>
  </conditionalFormatting>
  <conditionalFormatting sqref="B100">
    <cfRule type="expression" dxfId="290" priority="290">
      <formula>AND(ISNUMBER(B100), OR(B100&gt;10, B100&lt;0))</formula>
    </cfRule>
  </conditionalFormatting>
  <conditionalFormatting sqref="B100">
    <cfRule type="expression" dxfId="289" priority="289">
      <formula>AND(NOT(ISNUMBER(B100)), B100&lt;&gt;"NP", B100&lt;&gt;"Reconocimiento Créditos", B100&lt;&gt;"Aprobado en otro curso")</formula>
    </cfRule>
  </conditionalFormatting>
  <conditionalFormatting sqref="B100">
    <cfRule type="containsText" dxfId="288" priority="288" operator="containsText" text="Reconocimiento Créditos">
      <formula>NOT(ISERROR(SEARCH("Reconocimiento Créditos",B100)))</formula>
    </cfRule>
  </conditionalFormatting>
  <conditionalFormatting sqref="B100">
    <cfRule type="containsText" dxfId="287" priority="291" operator="containsText" text="Aprobado en otro curso">
      <formula>NOT(ISERROR(SEARCH("Aprobado en otro curso",B100)))</formula>
    </cfRule>
  </conditionalFormatting>
  <conditionalFormatting sqref="A101">
    <cfRule type="expression" dxfId="286" priority="286">
      <formula>AND(OR(ROW()=CELL("row"),COLUMN()=CELL("col")),NOT(ISBLANK($C101)),NOT(ISBLANK($B101)),ROW()&gt;2,COLUMN()&gt;1)</formula>
    </cfRule>
  </conditionalFormatting>
  <conditionalFormatting sqref="A101">
    <cfRule type="expression" dxfId="285" priority="285">
      <formula>SUM(--ISBLANK($B101:$J101))=COLUMNS($B101:$J101)</formula>
    </cfRule>
  </conditionalFormatting>
  <conditionalFormatting sqref="A101">
    <cfRule type="containsText" dxfId="284" priority="287" operator="containsText" text="NP">
      <formula>NOT(ISERROR(SEARCH("NP",A101)))</formula>
    </cfRule>
  </conditionalFormatting>
  <conditionalFormatting sqref="A101">
    <cfRule type="expression" dxfId="283" priority="284">
      <formula>ISBLANK(A101)</formula>
    </cfRule>
  </conditionalFormatting>
  <conditionalFormatting sqref="B101">
    <cfRule type="expression" dxfId="282" priority="283">
      <formula>AND(OR(ROW()=CELL("row"),COLUMN()=CELL("col")),NOT(ISBLANK($C101)),NOT(ISBLANK($B101)),ROW()&gt;2,COLUMN()&gt;1)</formula>
    </cfRule>
  </conditionalFormatting>
  <conditionalFormatting sqref="B101">
    <cfRule type="expression" dxfId="281" priority="282">
      <formula>SUM(--ISBLANK($B101:$J101))=COLUMNS($B101:$J101)</formula>
    </cfRule>
  </conditionalFormatting>
  <conditionalFormatting sqref="B101">
    <cfRule type="containsText" dxfId="280" priority="280" operator="containsText" text="NP">
      <formula>NOT(ISERROR(SEARCH("NP",B101)))</formula>
    </cfRule>
    <cfRule type="cellIs" dxfId="279" priority="281" operator="lessThan">
      <formula>5</formula>
    </cfRule>
  </conditionalFormatting>
  <conditionalFormatting sqref="B101">
    <cfRule type="containsText" dxfId="278" priority="279" operator="containsText" text="NP">
      <formula>NOT(ISERROR(SEARCH("NP",B101)))</formula>
    </cfRule>
  </conditionalFormatting>
  <conditionalFormatting sqref="B101">
    <cfRule type="expression" dxfId="277" priority="278">
      <formula>ISBLANK(B101)</formula>
    </cfRule>
  </conditionalFormatting>
  <conditionalFormatting sqref="B101">
    <cfRule type="containsText" dxfId="276" priority="277" operator="containsText" text="Reconocimiento Créditos">
      <formula>NOT(ISERROR(SEARCH("Reconocimiento Créditos",B101)))</formula>
    </cfRule>
  </conditionalFormatting>
  <conditionalFormatting sqref="B101">
    <cfRule type="expression" dxfId="275" priority="275">
      <formula>AND(ISNUMBER(B101), OR(B101&gt;10, B101&lt;0))</formula>
    </cfRule>
  </conditionalFormatting>
  <conditionalFormatting sqref="B101">
    <cfRule type="expression" dxfId="274" priority="274">
      <formula>AND(NOT(ISNUMBER(B101)), B101&lt;&gt;"NP", B101&lt;&gt;"Reconocimiento Créditos", B101&lt;&gt;"Aprobado en otro curso")</formula>
    </cfRule>
  </conditionalFormatting>
  <conditionalFormatting sqref="B101">
    <cfRule type="containsText" dxfId="273" priority="273" operator="containsText" text="Reconocimiento Créditos">
      <formula>NOT(ISERROR(SEARCH("Reconocimiento Créditos",B101)))</formula>
    </cfRule>
  </conditionalFormatting>
  <conditionalFormatting sqref="B101">
    <cfRule type="containsText" dxfId="272" priority="276" operator="containsText" text="Aprobado en otro curso">
      <formula>NOT(ISERROR(SEARCH("Aprobado en otro curso",B101)))</formula>
    </cfRule>
  </conditionalFormatting>
  <conditionalFormatting sqref="A102">
    <cfRule type="expression" dxfId="271" priority="271">
      <formula>AND(OR(ROW()=CELL("row"),COLUMN()=CELL("col")),NOT(ISBLANK($C102)),NOT(ISBLANK($B102)),ROW()&gt;2,COLUMN()&gt;1)</formula>
    </cfRule>
  </conditionalFormatting>
  <conditionalFormatting sqref="A102">
    <cfRule type="expression" dxfId="270" priority="270">
      <formula>SUM(--ISBLANK($B102:$J102))=COLUMNS($B102:$J102)</formula>
    </cfRule>
  </conditionalFormatting>
  <conditionalFormatting sqref="A102">
    <cfRule type="containsText" dxfId="269" priority="272" operator="containsText" text="NP">
      <formula>NOT(ISERROR(SEARCH("NP",A102)))</formula>
    </cfRule>
  </conditionalFormatting>
  <conditionalFormatting sqref="A102">
    <cfRule type="expression" dxfId="268" priority="269">
      <formula>ISBLANK(A102)</formula>
    </cfRule>
  </conditionalFormatting>
  <conditionalFormatting sqref="B102">
    <cfRule type="expression" dxfId="267" priority="268">
      <formula>AND(OR(ROW()=CELL("row"),COLUMN()=CELL("col")),NOT(ISBLANK($C102)),NOT(ISBLANK($B102)),ROW()&gt;2,COLUMN()&gt;1)</formula>
    </cfRule>
  </conditionalFormatting>
  <conditionalFormatting sqref="B102">
    <cfRule type="expression" dxfId="266" priority="267">
      <formula>SUM(--ISBLANK($B102:$J102))=COLUMNS($B102:$J102)</formula>
    </cfRule>
  </conditionalFormatting>
  <conditionalFormatting sqref="B102">
    <cfRule type="containsText" dxfId="265" priority="265" operator="containsText" text="NP">
      <formula>NOT(ISERROR(SEARCH("NP",B102)))</formula>
    </cfRule>
    <cfRule type="cellIs" dxfId="264" priority="266" operator="lessThan">
      <formula>5</formula>
    </cfRule>
  </conditionalFormatting>
  <conditionalFormatting sqref="B102">
    <cfRule type="containsText" dxfId="263" priority="264" operator="containsText" text="NP">
      <formula>NOT(ISERROR(SEARCH("NP",B102)))</formula>
    </cfRule>
  </conditionalFormatting>
  <conditionalFormatting sqref="B102">
    <cfRule type="expression" dxfId="262" priority="263">
      <formula>ISBLANK(B102)</formula>
    </cfRule>
  </conditionalFormatting>
  <conditionalFormatting sqref="B102">
    <cfRule type="containsText" dxfId="261" priority="262" operator="containsText" text="Reconocimiento Créditos">
      <formula>NOT(ISERROR(SEARCH("Reconocimiento Créditos",B102)))</formula>
    </cfRule>
  </conditionalFormatting>
  <conditionalFormatting sqref="B102">
    <cfRule type="expression" dxfId="260" priority="260">
      <formula>AND(ISNUMBER(B102), OR(B102&gt;10, B102&lt;0))</formula>
    </cfRule>
  </conditionalFormatting>
  <conditionalFormatting sqref="B102">
    <cfRule type="expression" dxfId="259" priority="259">
      <formula>AND(NOT(ISNUMBER(B102)), B102&lt;&gt;"NP", B102&lt;&gt;"Reconocimiento Créditos", B102&lt;&gt;"Aprobado en otro curso")</formula>
    </cfRule>
  </conditionalFormatting>
  <conditionalFormatting sqref="B102">
    <cfRule type="containsText" dxfId="258" priority="258" operator="containsText" text="Reconocimiento Créditos">
      <formula>NOT(ISERROR(SEARCH("Reconocimiento Créditos",B102)))</formula>
    </cfRule>
  </conditionalFormatting>
  <conditionalFormatting sqref="B102">
    <cfRule type="containsText" dxfId="257" priority="261" operator="containsText" text="Aprobado en otro curso">
      <formula>NOT(ISERROR(SEARCH("Aprobado en otro curso",B102)))</formula>
    </cfRule>
  </conditionalFormatting>
  <conditionalFormatting sqref="A103">
    <cfRule type="expression" dxfId="256" priority="256">
      <formula>AND(OR(ROW()=CELL("row"),COLUMN()=CELL("col")),NOT(ISBLANK($C103)),NOT(ISBLANK($B103)),ROW()&gt;2,COLUMN()&gt;1)</formula>
    </cfRule>
  </conditionalFormatting>
  <conditionalFormatting sqref="A103">
    <cfRule type="expression" dxfId="255" priority="255">
      <formula>SUM(--ISBLANK($B103:$J103))=COLUMNS($B103:$J103)</formula>
    </cfRule>
  </conditionalFormatting>
  <conditionalFormatting sqref="A103">
    <cfRule type="containsText" dxfId="254" priority="257" operator="containsText" text="NP">
      <formula>NOT(ISERROR(SEARCH("NP",A103)))</formula>
    </cfRule>
  </conditionalFormatting>
  <conditionalFormatting sqref="A103">
    <cfRule type="expression" dxfId="253" priority="254">
      <formula>ISBLANK(A103)</formula>
    </cfRule>
  </conditionalFormatting>
  <conditionalFormatting sqref="B103">
    <cfRule type="expression" dxfId="252" priority="253">
      <formula>AND(OR(ROW()=CELL("row"),COLUMN()=CELL("col")),NOT(ISBLANK($C103)),NOT(ISBLANK($B103)),ROW()&gt;2,COLUMN()&gt;1)</formula>
    </cfRule>
  </conditionalFormatting>
  <conditionalFormatting sqref="B103">
    <cfRule type="expression" dxfId="251" priority="252">
      <formula>SUM(--ISBLANK($B103:$J103))=COLUMNS($B103:$J103)</formula>
    </cfRule>
  </conditionalFormatting>
  <conditionalFormatting sqref="B103">
    <cfRule type="containsText" dxfId="250" priority="250" operator="containsText" text="NP">
      <formula>NOT(ISERROR(SEARCH("NP",B103)))</formula>
    </cfRule>
    <cfRule type="cellIs" dxfId="249" priority="251" operator="lessThan">
      <formula>5</formula>
    </cfRule>
  </conditionalFormatting>
  <conditionalFormatting sqref="B103">
    <cfRule type="containsText" dxfId="248" priority="249" operator="containsText" text="NP">
      <formula>NOT(ISERROR(SEARCH("NP",B103)))</formula>
    </cfRule>
  </conditionalFormatting>
  <conditionalFormatting sqref="B103">
    <cfRule type="expression" dxfId="247" priority="248">
      <formula>ISBLANK(B103)</formula>
    </cfRule>
  </conditionalFormatting>
  <conditionalFormatting sqref="B103">
    <cfRule type="containsText" dxfId="246" priority="247" operator="containsText" text="Reconocimiento Créditos">
      <formula>NOT(ISERROR(SEARCH("Reconocimiento Créditos",B103)))</formula>
    </cfRule>
  </conditionalFormatting>
  <conditionalFormatting sqref="B103">
    <cfRule type="expression" dxfId="245" priority="245">
      <formula>AND(ISNUMBER(B103), OR(B103&gt;10, B103&lt;0))</formula>
    </cfRule>
  </conditionalFormatting>
  <conditionalFormatting sqref="B103">
    <cfRule type="expression" dxfId="244" priority="244">
      <formula>AND(NOT(ISNUMBER(B103)), B103&lt;&gt;"NP", B103&lt;&gt;"Reconocimiento Créditos", B103&lt;&gt;"Aprobado en otro curso")</formula>
    </cfRule>
  </conditionalFormatting>
  <conditionalFormatting sqref="B103">
    <cfRule type="containsText" dxfId="243" priority="243" operator="containsText" text="Reconocimiento Créditos">
      <formula>NOT(ISERROR(SEARCH("Reconocimiento Créditos",B103)))</formula>
    </cfRule>
  </conditionalFormatting>
  <conditionalFormatting sqref="B103">
    <cfRule type="containsText" dxfId="242" priority="246" operator="containsText" text="Aprobado en otro curso">
      <formula>NOT(ISERROR(SEARCH("Aprobado en otro curso",B103)))</formula>
    </cfRule>
  </conditionalFormatting>
  <conditionalFormatting sqref="A104">
    <cfRule type="expression" dxfId="241" priority="241">
      <formula>AND(OR(ROW()=CELL("row"),COLUMN()=CELL("col")),NOT(ISBLANK($C104)),NOT(ISBLANK($B104)),ROW()&gt;2,COLUMN()&gt;1)</formula>
    </cfRule>
  </conditionalFormatting>
  <conditionalFormatting sqref="A104">
    <cfRule type="expression" dxfId="240" priority="240">
      <formula>SUM(--ISBLANK($B104:$J104))=COLUMNS($B104:$J104)</formula>
    </cfRule>
  </conditionalFormatting>
  <conditionalFormatting sqref="A104">
    <cfRule type="containsText" dxfId="239" priority="242" operator="containsText" text="NP">
      <formula>NOT(ISERROR(SEARCH("NP",A104)))</formula>
    </cfRule>
  </conditionalFormatting>
  <conditionalFormatting sqref="A104">
    <cfRule type="expression" dxfId="238" priority="239">
      <formula>ISBLANK(A104)</formula>
    </cfRule>
  </conditionalFormatting>
  <conditionalFormatting sqref="B104">
    <cfRule type="expression" dxfId="237" priority="238">
      <formula>AND(OR(ROW()=CELL("row"),COLUMN()=CELL("col")),NOT(ISBLANK($C104)),NOT(ISBLANK($B104)),ROW()&gt;2,COLUMN()&gt;1)</formula>
    </cfRule>
  </conditionalFormatting>
  <conditionalFormatting sqref="B104">
    <cfRule type="expression" dxfId="236" priority="237">
      <formula>SUM(--ISBLANK($B104:$J104))=COLUMNS($B104:$J104)</formula>
    </cfRule>
  </conditionalFormatting>
  <conditionalFormatting sqref="B104">
    <cfRule type="containsText" dxfId="235" priority="235" operator="containsText" text="NP">
      <formula>NOT(ISERROR(SEARCH("NP",B104)))</formula>
    </cfRule>
    <cfRule type="cellIs" dxfId="234" priority="236" operator="lessThan">
      <formula>5</formula>
    </cfRule>
  </conditionalFormatting>
  <conditionalFormatting sqref="B104">
    <cfRule type="containsText" dxfId="233" priority="234" operator="containsText" text="NP">
      <formula>NOT(ISERROR(SEARCH("NP",B104)))</formula>
    </cfRule>
  </conditionalFormatting>
  <conditionalFormatting sqref="B104">
    <cfRule type="expression" dxfId="232" priority="233">
      <formula>ISBLANK(B104)</formula>
    </cfRule>
  </conditionalFormatting>
  <conditionalFormatting sqref="B104">
    <cfRule type="containsText" dxfId="231" priority="232" operator="containsText" text="Reconocimiento Créditos">
      <formula>NOT(ISERROR(SEARCH("Reconocimiento Créditos",B104)))</formula>
    </cfRule>
  </conditionalFormatting>
  <conditionalFormatting sqref="B104">
    <cfRule type="expression" dxfId="230" priority="230">
      <formula>AND(ISNUMBER(B104), OR(B104&gt;10, B104&lt;0))</formula>
    </cfRule>
  </conditionalFormatting>
  <conditionalFormatting sqref="B104">
    <cfRule type="expression" dxfId="229" priority="229">
      <formula>AND(NOT(ISNUMBER(B104)), B104&lt;&gt;"NP", B104&lt;&gt;"Reconocimiento Créditos", B104&lt;&gt;"Aprobado en otro curso")</formula>
    </cfRule>
  </conditionalFormatting>
  <conditionalFormatting sqref="B104">
    <cfRule type="containsText" dxfId="228" priority="228" operator="containsText" text="Reconocimiento Créditos">
      <formula>NOT(ISERROR(SEARCH("Reconocimiento Créditos",B104)))</formula>
    </cfRule>
  </conditionalFormatting>
  <conditionalFormatting sqref="B104">
    <cfRule type="containsText" dxfId="227" priority="231" operator="containsText" text="Aprobado en otro curso">
      <formula>NOT(ISERROR(SEARCH("Aprobado en otro curso",B104)))</formula>
    </cfRule>
  </conditionalFormatting>
  <conditionalFormatting sqref="A105">
    <cfRule type="expression" dxfId="226" priority="226">
      <formula>AND(OR(ROW()=CELL("row"),COLUMN()=CELL("col")),NOT(ISBLANK($C105)),NOT(ISBLANK($B105)),ROW()&gt;2,COLUMN()&gt;1)</formula>
    </cfRule>
  </conditionalFormatting>
  <conditionalFormatting sqref="A105">
    <cfRule type="expression" dxfId="225" priority="225">
      <formula>SUM(--ISBLANK($B105:$J105))=COLUMNS($B105:$J105)</formula>
    </cfRule>
  </conditionalFormatting>
  <conditionalFormatting sqref="A105">
    <cfRule type="containsText" dxfId="224" priority="227" operator="containsText" text="NP">
      <formula>NOT(ISERROR(SEARCH("NP",A105)))</formula>
    </cfRule>
  </conditionalFormatting>
  <conditionalFormatting sqref="A105">
    <cfRule type="expression" dxfId="223" priority="224">
      <formula>ISBLANK(A105)</formula>
    </cfRule>
  </conditionalFormatting>
  <conditionalFormatting sqref="B105">
    <cfRule type="containsText" dxfId="222" priority="222" operator="containsText" text="NP">
      <formula>NOT(ISERROR(SEARCH("NP",B105)))</formula>
    </cfRule>
    <cfRule type="cellIs" dxfId="221" priority="223" operator="lessThan">
      <formula>5</formula>
    </cfRule>
  </conditionalFormatting>
  <conditionalFormatting sqref="B105">
    <cfRule type="expression" dxfId="220" priority="220">
      <formula>AND(OR(ROW()=CELL("row"),COLUMN()=CELL("col")),NOT(ISBLANK($C105)),NOT(ISBLANK($B105)),ROW()&gt;2,COLUMN()&gt;1)</formula>
    </cfRule>
  </conditionalFormatting>
  <conditionalFormatting sqref="B105">
    <cfRule type="expression" dxfId="219" priority="219">
      <formula>SUM(--ISBLANK($B105:$J105))=COLUMNS($B105:$J105)</formula>
    </cfRule>
  </conditionalFormatting>
  <conditionalFormatting sqref="B105">
    <cfRule type="containsText" dxfId="218" priority="221" operator="containsText" text="NP">
      <formula>NOT(ISERROR(SEARCH("NP",B105)))</formula>
    </cfRule>
  </conditionalFormatting>
  <conditionalFormatting sqref="B105">
    <cfRule type="expression" dxfId="217" priority="218">
      <formula>ISBLANK(B105)</formula>
    </cfRule>
  </conditionalFormatting>
  <conditionalFormatting sqref="B105">
    <cfRule type="containsText" dxfId="216" priority="216" operator="containsText" text="NP">
      <formula>NOT(ISERROR(SEARCH("NP",B105)))</formula>
    </cfRule>
    <cfRule type="cellIs" dxfId="215" priority="217" operator="lessThan">
      <formula>5</formula>
    </cfRule>
  </conditionalFormatting>
  <conditionalFormatting sqref="B105">
    <cfRule type="containsText" dxfId="214" priority="215" operator="containsText" text="NP">
      <formula>NOT(ISERROR(SEARCH("NP",B105)))</formula>
    </cfRule>
  </conditionalFormatting>
  <conditionalFormatting sqref="B105">
    <cfRule type="expression" dxfId="213" priority="214">
      <formula>ISBLANK(B105)</formula>
    </cfRule>
  </conditionalFormatting>
  <conditionalFormatting sqref="B105">
    <cfRule type="containsText" dxfId="212" priority="213" operator="containsText" text="Reconocimiento Créditos">
      <formula>NOT(ISERROR(SEARCH("Reconocimiento Créditos",B105)))</formula>
    </cfRule>
  </conditionalFormatting>
  <conditionalFormatting sqref="B105">
    <cfRule type="expression" dxfId="211" priority="211">
      <formula>AND(ISNUMBER(B105), OR(B105&gt;10, B105&lt;0))</formula>
    </cfRule>
  </conditionalFormatting>
  <conditionalFormatting sqref="B105">
    <cfRule type="expression" dxfId="210" priority="210">
      <formula>AND(NOT(ISNUMBER(B105)), B105&lt;&gt;"NP", B105&lt;&gt;"Reconocimiento Créditos", B105&lt;&gt;"Aprobado en otro curso")</formula>
    </cfRule>
  </conditionalFormatting>
  <conditionalFormatting sqref="B105">
    <cfRule type="containsText" dxfId="209" priority="209" operator="containsText" text="Reconocimiento Créditos">
      <formula>NOT(ISERROR(SEARCH("Reconocimiento Créditos",B105)))</formula>
    </cfRule>
  </conditionalFormatting>
  <conditionalFormatting sqref="B105">
    <cfRule type="containsText" dxfId="208" priority="212" operator="containsText" text="Aprobado en otro curso">
      <formula>NOT(ISERROR(SEARCH("Aprobado en otro curso",B105)))</formula>
    </cfRule>
  </conditionalFormatting>
  <conditionalFormatting sqref="A106">
    <cfRule type="expression" dxfId="207" priority="207">
      <formula>AND(OR(ROW()=CELL("row"),COLUMN()=CELL("col")),NOT(ISBLANK($C106)),NOT(ISBLANK($B106)),ROW()&gt;2,COLUMN()&gt;1)</formula>
    </cfRule>
  </conditionalFormatting>
  <conditionalFormatting sqref="A106">
    <cfRule type="expression" dxfId="206" priority="206">
      <formula>SUM(--ISBLANK($B106:$J106))=COLUMNS($B106:$J106)</formula>
    </cfRule>
  </conditionalFormatting>
  <conditionalFormatting sqref="A106">
    <cfRule type="containsText" dxfId="205" priority="208" operator="containsText" text="NP">
      <formula>NOT(ISERROR(SEARCH("NP",A106)))</formula>
    </cfRule>
  </conditionalFormatting>
  <conditionalFormatting sqref="A106">
    <cfRule type="expression" dxfId="204" priority="205">
      <formula>ISBLANK(A106)</formula>
    </cfRule>
  </conditionalFormatting>
  <conditionalFormatting sqref="B106">
    <cfRule type="expression" dxfId="203" priority="204">
      <formula>AND(OR(ROW()=CELL("row"),COLUMN()=CELL("col")),NOT(ISBLANK($C106)),NOT(ISBLANK($B106)),ROW()&gt;2,COLUMN()&gt;1)</formula>
    </cfRule>
  </conditionalFormatting>
  <conditionalFormatting sqref="B106">
    <cfRule type="expression" dxfId="202" priority="203">
      <formula>SUM(--ISBLANK($B106:$J106))=COLUMNS($B106:$J106)</formula>
    </cfRule>
  </conditionalFormatting>
  <conditionalFormatting sqref="B106">
    <cfRule type="containsText" dxfId="201" priority="201" operator="containsText" text="NP">
      <formula>NOT(ISERROR(SEARCH("NP",B106)))</formula>
    </cfRule>
    <cfRule type="cellIs" dxfId="200" priority="202" operator="lessThan">
      <formula>5</formula>
    </cfRule>
  </conditionalFormatting>
  <conditionalFormatting sqref="B106">
    <cfRule type="containsText" dxfId="199" priority="200" operator="containsText" text="NP">
      <formula>NOT(ISERROR(SEARCH("NP",B106)))</formula>
    </cfRule>
  </conditionalFormatting>
  <conditionalFormatting sqref="B106">
    <cfRule type="expression" dxfId="198" priority="199">
      <formula>ISBLANK(B106)</formula>
    </cfRule>
  </conditionalFormatting>
  <conditionalFormatting sqref="B106">
    <cfRule type="containsText" dxfId="197" priority="198" operator="containsText" text="Reconocimiento Créditos">
      <formula>NOT(ISERROR(SEARCH("Reconocimiento Créditos",B106)))</formula>
    </cfRule>
  </conditionalFormatting>
  <conditionalFormatting sqref="B106">
    <cfRule type="expression" dxfId="196" priority="196">
      <formula>AND(ISNUMBER(B106), OR(B106&gt;10, B106&lt;0))</formula>
    </cfRule>
  </conditionalFormatting>
  <conditionalFormatting sqref="B106">
    <cfRule type="expression" dxfId="195" priority="195">
      <formula>AND(NOT(ISNUMBER(B106)), B106&lt;&gt;"NP", B106&lt;&gt;"Reconocimiento Créditos", B106&lt;&gt;"Aprobado en otro curso")</formula>
    </cfRule>
  </conditionalFormatting>
  <conditionalFormatting sqref="B106">
    <cfRule type="containsText" dxfId="194" priority="194" operator="containsText" text="Reconocimiento Créditos">
      <formula>NOT(ISERROR(SEARCH("Reconocimiento Créditos",B106)))</formula>
    </cfRule>
  </conditionalFormatting>
  <conditionalFormatting sqref="B106">
    <cfRule type="containsText" dxfId="193" priority="197" operator="containsText" text="Aprobado en otro curso">
      <formula>NOT(ISERROR(SEARCH("Aprobado en otro curso",B106)))</formula>
    </cfRule>
  </conditionalFormatting>
  <conditionalFormatting sqref="A107">
    <cfRule type="expression" dxfId="192" priority="192">
      <formula>AND(OR(ROW()=CELL("row"),COLUMN()=CELL("col")),NOT(ISBLANK($C107)),NOT(ISBLANK($B107)),ROW()&gt;2,COLUMN()&gt;1)</formula>
    </cfRule>
  </conditionalFormatting>
  <conditionalFormatting sqref="A107">
    <cfRule type="expression" dxfId="191" priority="191">
      <formula>SUM(--ISBLANK($B107:$J107))=COLUMNS($B107:$J107)</formula>
    </cfRule>
  </conditionalFormatting>
  <conditionalFormatting sqref="A107">
    <cfRule type="containsText" dxfId="190" priority="193" operator="containsText" text="NP">
      <formula>NOT(ISERROR(SEARCH("NP",A107)))</formula>
    </cfRule>
  </conditionalFormatting>
  <conditionalFormatting sqref="A107">
    <cfRule type="expression" dxfId="189" priority="190">
      <formula>ISBLANK(A107)</formula>
    </cfRule>
  </conditionalFormatting>
  <conditionalFormatting sqref="B107">
    <cfRule type="expression" dxfId="188" priority="189">
      <formula>AND(OR(ROW()=CELL("row"),COLUMN()=CELL("col")),NOT(ISBLANK($C107)),NOT(ISBLANK($B107)),ROW()&gt;2,COLUMN()&gt;1)</formula>
    </cfRule>
  </conditionalFormatting>
  <conditionalFormatting sqref="B107">
    <cfRule type="expression" dxfId="187" priority="188">
      <formula>SUM(--ISBLANK($B107:$J107))=COLUMNS($B107:$J107)</formula>
    </cfRule>
  </conditionalFormatting>
  <conditionalFormatting sqref="B107">
    <cfRule type="containsText" dxfId="186" priority="186" operator="containsText" text="NP">
      <formula>NOT(ISERROR(SEARCH("NP",B107)))</formula>
    </cfRule>
    <cfRule type="cellIs" dxfId="185" priority="187" operator="lessThan">
      <formula>5</formula>
    </cfRule>
  </conditionalFormatting>
  <conditionalFormatting sqref="B107">
    <cfRule type="containsText" dxfId="184" priority="185" operator="containsText" text="NP">
      <formula>NOT(ISERROR(SEARCH("NP",B107)))</formula>
    </cfRule>
  </conditionalFormatting>
  <conditionalFormatting sqref="B107">
    <cfRule type="expression" dxfId="183" priority="184">
      <formula>ISBLANK(B107)</formula>
    </cfRule>
  </conditionalFormatting>
  <conditionalFormatting sqref="B107">
    <cfRule type="containsText" dxfId="182" priority="183" operator="containsText" text="Reconocimiento Créditos">
      <formula>NOT(ISERROR(SEARCH("Reconocimiento Créditos",B107)))</formula>
    </cfRule>
  </conditionalFormatting>
  <conditionalFormatting sqref="B107">
    <cfRule type="expression" dxfId="181" priority="181">
      <formula>AND(ISNUMBER(B107), OR(B107&gt;10, B107&lt;0))</formula>
    </cfRule>
  </conditionalFormatting>
  <conditionalFormatting sqref="B107">
    <cfRule type="expression" dxfId="180" priority="180">
      <formula>AND(NOT(ISNUMBER(B107)), B107&lt;&gt;"NP", B107&lt;&gt;"Reconocimiento Créditos", B107&lt;&gt;"Aprobado en otro curso")</formula>
    </cfRule>
  </conditionalFormatting>
  <conditionalFormatting sqref="B107">
    <cfRule type="containsText" dxfId="179" priority="179" operator="containsText" text="Reconocimiento Créditos">
      <formula>NOT(ISERROR(SEARCH("Reconocimiento Créditos",B107)))</formula>
    </cfRule>
  </conditionalFormatting>
  <conditionalFormatting sqref="B107">
    <cfRule type="containsText" dxfId="178" priority="182" operator="containsText" text="Aprobado en otro curso">
      <formula>NOT(ISERROR(SEARCH("Aprobado en otro curso",B107)))</formula>
    </cfRule>
  </conditionalFormatting>
  <conditionalFormatting sqref="A108">
    <cfRule type="expression" dxfId="177" priority="177">
      <formula>AND(OR(ROW()=CELL("row"),COLUMN()=CELL("col")),NOT(ISBLANK($C108)),NOT(ISBLANK($B108)),ROW()&gt;2,COLUMN()&gt;1)</formula>
    </cfRule>
  </conditionalFormatting>
  <conditionalFormatting sqref="A108">
    <cfRule type="expression" dxfId="176" priority="176">
      <formula>SUM(--ISBLANK($B108:$J108))=COLUMNS($B108:$J108)</formula>
    </cfRule>
  </conditionalFormatting>
  <conditionalFormatting sqref="A108">
    <cfRule type="containsText" dxfId="175" priority="178" operator="containsText" text="NP">
      <formula>NOT(ISERROR(SEARCH("NP",A108)))</formula>
    </cfRule>
  </conditionalFormatting>
  <conditionalFormatting sqref="A108">
    <cfRule type="expression" dxfId="174" priority="175">
      <formula>ISBLANK(A108)</formula>
    </cfRule>
  </conditionalFormatting>
  <conditionalFormatting sqref="B108">
    <cfRule type="expression" dxfId="173" priority="174">
      <formula>AND(OR(ROW()=CELL("row"),COLUMN()=CELL("col")),NOT(ISBLANK($C108)),NOT(ISBLANK($B108)),ROW()&gt;2,COLUMN()&gt;1)</formula>
    </cfRule>
  </conditionalFormatting>
  <conditionalFormatting sqref="B108">
    <cfRule type="expression" dxfId="172" priority="173">
      <formula>SUM(--ISBLANK($B108:$J108))=COLUMNS($B108:$J108)</formula>
    </cfRule>
  </conditionalFormatting>
  <conditionalFormatting sqref="B108">
    <cfRule type="containsText" dxfId="171" priority="171" operator="containsText" text="NP">
      <formula>NOT(ISERROR(SEARCH("NP",B108)))</formula>
    </cfRule>
    <cfRule type="cellIs" dxfId="170" priority="172" operator="lessThan">
      <formula>5</formula>
    </cfRule>
  </conditionalFormatting>
  <conditionalFormatting sqref="B108">
    <cfRule type="containsText" dxfId="169" priority="170" operator="containsText" text="NP">
      <formula>NOT(ISERROR(SEARCH("NP",B108)))</formula>
    </cfRule>
  </conditionalFormatting>
  <conditionalFormatting sqref="B108">
    <cfRule type="expression" dxfId="168" priority="169">
      <formula>ISBLANK(B108)</formula>
    </cfRule>
  </conditionalFormatting>
  <conditionalFormatting sqref="B108">
    <cfRule type="containsText" dxfId="167" priority="168" operator="containsText" text="Reconocimiento Créditos">
      <formula>NOT(ISERROR(SEARCH("Reconocimiento Créditos",B108)))</formula>
    </cfRule>
  </conditionalFormatting>
  <conditionalFormatting sqref="B108">
    <cfRule type="expression" dxfId="166" priority="166">
      <formula>AND(ISNUMBER(B108), OR(B108&gt;10, B108&lt;0))</formula>
    </cfRule>
  </conditionalFormatting>
  <conditionalFormatting sqref="B108">
    <cfRule type="expression" dxfId="165" priority="165">
      <formula>AND(NOT(ISNUMBER(B108)), B108&lt;&gt;"NP", B108&lt;&gt;"Reconocimiento Créditos", B108&lt;&gt;"Aprobado en otro curso")</formula>
    </cfRule>
  </conditionalFormatting>
  <conditionalFormatting sqref="B108">
    <cfRule type="containsText" dxfId="164" priority="164" operator="containsText" text="Reconocimiento Créditos">
      <formula>NOT(ISERROR(SEARCH("Reconocimiento Créditos",B108)))</formula>
    </cfRule>
  </conditionalFormatting>
  <conditionalFormatting sqref="B108">
    <cfRule type="containsText" dxfId="163" priority="167" operator="containsText" text="Aprobado en otro curso">
      <formula>NOT(ISERROR(SEARCH("Aprobado en otro curso",B108)))</formula>
    </cfRule>
  </conditionalFormatting>
  <conditionalFormatting sqref="A109">
    <cfRule type="expression" dxfId="162" priority="162">
      <formula>AND(OR(ROW()=CELL("row"),COLUMN()=CELL("col")),NOT(ISBLANK($C109)),NOT(ISBLANK($B109)),ROW()&gt;2,COLUMN()&gt;1)</formula>
    </cfRule>
  </conditionalFormatting>
  <conditionalFormatting sqref="A109">
    <cfRule type="expression" dxfId="161" priority="161">
      <formula>SUM(--ISBLANK($B109:$J109))=COLUMNS($B109:$J109)</formula>
    </cfRule>
  </conditionalFormatting>
  <conditionalFormatting sqref="A109">
    <cfRule type="containsText" dxfId="160" priority="163" operator="containsText" text="NP">
      <formula>NOT(ISERROR(SEARCH("NP",A109)))</formula>
    </cfRule>
  </conditionalFormatting>
  <conditionalFormatting sqref="A109">
    <cfRule type="expression" dxfId="159" priority="160">
      <formula>ISBLANK(A109)</formula>
    </cfRule>
  </conditionalFormatting>
  <conditionalFormatting sqref="B109">
    <cfRule type="expression" dxfId="158" priority="159">
      <formula>AND(OR(ROW()=CELL("row"),COLUMN()=CELL("col")),NOT(ISBLANK($C109)),NOT(ISBLANK($B109)),ROW()&gt;2,COLUMN()&gt;1)</formula>
    </cfRule>
  </conditionalFormatting>
  <conditionalFormatting sqref="B109">
    <cfRule type="expression" dxfId="157" priority="158">
      <formula>SUM(--ISBLANK($B109:$J109))=COLUMNS($B109:$J109)</formula>
    </cfRule>
  </conditionalFormatting>
  <conditionalFormatting sqref="B109">
    <cfRule type="containsText" dxfId="156" priority="156" operator="containsText" text="NP">
      <formula>NOT(ISERROR(SEARCH("NP",B109)))</formula>
    </cfRule>
    <cfRule type="cellIs" dxfId="155" priority="157" operator="lessThan">
      <formula>5</formula>
    </cfRule>
  </conditionalFormatting>
  <conditionalFormatting sqref="B109">
    <cfRule type="containsText" dxfId="154" priority="155" operator="containsText" text="NP">
      <formula>NOT(ISERROR(SEARCH("NP",B109)))</formula>
    </cfRule>
  </conditionalFormatting>
  <conditionalFormatting sqref="B109">
    <cfRule type="expression" dxfId="153" priority="154">
      <formula>ISBLANK(B109)</formula>
    </cfRule>
  </conditionalFormatting>
  <conditionalFormatting sqref="B109">
    <cfRule type="containsText" dxfId="152" priority="153" operator="containsText" text="Reconocimiento Créditos">
      <formula>NOT(ISERROR(SEARCH("Reconocimiento Créditos",B109)))</formula>
    </cfRule>
  </conditionalFormatting>
  <conditionalFormatting sqref="B109">
    <cfRule type="expression" dxfId="151" priority="151">
      <formula>AND(ISNUMBER(B109), OR(B109&gt;10, B109&lt;0))</formula>
    </cfRule>
  </conditionalFormatting>
  <conditionalFormatting sqref="B109">
    <cfRule type="expression" dxfId="150" priority="150">
      <formula>AND(NOT(ISNUMBER(B109)), B109&lt;&gt;"NP", B109&lt;&gt;"Reconocimiento Créditos", B109&lt;&gt;"Aprobado en otro curso")</formula>
    </cfRule>
  </conditionalFormatting>
  <conditionalFormatting sqref="B109">
    <cfRule type="containsText" dxfId="149" priority="149" operator="containsText" text="Reconocimiento Créditos">
      <formula>NOT(ISERROR(SEARCH("Reconocimiento Créditos",B109)))</formula>
    </cfRule>
  </conditionalFormatting>
  <conditionalFormatting sqref="B109">
    <cfRule type="containsText" dxfId="148" priority="152" operator="containsText" text="Aprobado en otro curso">
      <formula>NOT(ISERROR(SEARCH("Aprobado en otro curso",B109)))</formula>
    </cfRule>
  </conditionalFormatting>
  <conditionalFormatting sqref="A110">
    <cfRule type="expression" dxfId="147" priority="147">
      <formula>AND(OR(ROW()=CELL("row"),COLUMN()=CELL("col")),NOT(ISBLANK($C110)),NOT(ISBLANK($B110)),ROW()&gt;2,COLUMN()&gt;1)</formula>
    </cfRule>
  </conditionalFormatting>
  <conditionalFormatting sqref="A110">
    <cfRule type="expression" dxfId="146" priority="146">
      <formula>SUM(--ISBLANK($B110:$J110))=COLUMNS($B110:$J110)</formula>
    </cfRule>
  </conditionalFormatting>
  <conditionalFormatting sqref="A110">
    <cfRule type="containsText" dxfId="145" priority="148" operator="containsText" text="NP">
      <formula>NOT(ISERROR(SEARCH("NP",A110)))</formula>
    </cfRule>
  </conditionalFormatting>
  <conditionalFormatting sqref="A110">
    <cfRule type="expression" dxfId="144" priority="145">
      <formula>ISBLANK(A110)</formula>
    </cfRule>
  </conditionalFormatting>
  <conditionalFormatting sqref="B110">
    <cfRule type="expression" dxfId="143" priority="144">
      <formula>AND(OR(ROW()=CELL("row"),COLUMN()=CELL("col")),NOT(ISBLANK($C110)),NOT(ISBLANK($B110)),ROW()&gt;2,COLUMN()&gt;1)</formula>
    </cfRule>
  </conditionalFormatting>
  <conditionalFormatting sqref="B110">
    <cfRule type="expression" dxfId="142" priority="143">
      <formula>SUM(--ISBLANK($B110:$J110))=COLUMNS($B110:$J110)</formula>
    </cfRule>
  </conditionalFormatting>
  <conditionalFormatting sqref="B110">
    <cfRule type="containsText" dxfId="141" priority="141" operator="containsText" text="NP">
      <formula>NOT(ISERROR(SEARCH("NP",B110)))</formula>
    </cfRule>
    <cfRule type="cellIs" dxfId="140" priority="142" operator="lessThan">
      <formula>5</formula>
    </cfRule>
  </conditionalFormatting>
  <conditionalFormatting sqref="B110">
    <cfRule type="containsText" dxfId="139" priority="140" operator="containsText" text="NP">
      <formula>NOT(ISERROR(SEARCH("NP",B110)))</formula>
    </cfRule>
  </conditionalFormatting>
  <conditionalFormatting sqref="B110">
    <cfRule type="expression" dxfId="138" priority="139">
      <formula>ISBLANK(B110)</formula>
    </cfRule>
  </conditionalFormatting>
  <conditionalFormatting sqref="B110">
    <cfRule type="containsText" dxfId="137" priority="138" operator="containsText" text="Reconocimiento Créditos">
      <formula>NOT(ISERROR(SEARCH("Reconocimiento Créditos",B110)))</formula>
    </cfRule>
  </conditionalFormatting>
  <conditionalFormatting sqref="B110">
    <cfRule type="expression" dxfId="136" priority="136">
      <formula>AND(ISNUMBER(B110), OR(B110&gt;10, B110&lt;0))</formula>
    </cfRule>
  </conditionalFormatting>
  <conditionalFormatting sqref="B110">
    <cfRule type="expression" dxfId="135" priority="135">
      <formula>AND(NOT(ISNUMBER(B110)), B110&lt;&gt;"NP", B110&lt;&gt;"Reconocimiento Créditos", B110&lt;&gt;"Aprobado en otro curso")</formula>
    </cfRule>
  </conditionalFormatting>
  <conditionalFormatting sqref="B110">
    <cfRule type="containsText" dxfId="134" priority="134" operator="containsText" text="Reconocimiento Créditos">
      <formula>NOT(ISERROR(SEARCH("Reconocimiento Créditos",B110)))</formula>
    </cfRule>
  </conditionalFormatting>
  <conditionalFormatting sqref="B110">
    <cfRule type="containsText" dxfId="133" priority="137" operator="containsText" text="Aprobado en otro curso">
      <formula>NOT(ISERROR(SEARCH("Aprobado en otro curso",B110)))</formula>
    </cfRule>
  </conditionalFormatting>
  <conditionalFormatting sqref="A111">
    <cfRule type="expression" dxfId="132" priority="132">
      <formula>AND(OR(ROW()=CELL("row"),COLUMN()=CELL("col")),NOT(ISBLANK($C111)),NOT(ISBLANK($B111)),ROW()&gt;2,COLUMN()&gt;1)</formula>
    </cfRule>
  </conditionalFormatting>
  <conditionalFormatting sqref="A111">
    <cfRule type="expression" dxfId="131" priority="131">
      <formula>SUM(--ISBLANK($B111:$J111))=COLUMNS($B111:$J111)</formula>
    </cfRule>
  </conditionalFormatting>
  <conditionalFormatting sqref="A111">
    <cfRule type="containsText" dxfId="130" priority="133" operator="containsText" text="NP">
      <formula>NOT(ISERROR(SEARCH("NP",A111)))</formula>
    </cfRule>
  </conditionalFormatting>
  <conditionalFormatting sqref="A111">
    <cfRule type="expression" dxfId="129" priority="130">
      <formula>ISBLANK(A111)</formula>
    </cfRule>
  </conditionalFormatting>
  <conditionalFormatting sqref="B111">
    <cfRule type="expression" dxfId="128" priority="129">
      <formula>AND(OR(ROW()=CELL("row"),COLUMN()=CELL("col")),NOT(ISBLANK($C111)),NOT(ISBLANK($B111)),ROW()&gt;2,COLUMN()&gt;1)</formula>
    </cfRule>
  </conditionalFormatting>
  <conditionalFormatting sqref="B111">
    <cfRule type="expression" dxfId="127" priority="128">
      <formula>SUM(--ISBLANK($B111:$J111))=COLUMNS($B111:$J111)</formula>
    </cfRule>
  </conditionalFormatting>
  <conditionalFormatting sqref="B111">
    <cfRule type="containsText" dxfId="126" priority="126" operator="containsText" text="NP">
      <formula>NOT(ISERROR(SEARCH("NP",B111)))</formula>
    </cfRule>
    <cfRule type="cellIs" dxfId="125" priority="127" operator="lessThan">
      <formula>5</formula>
    </cfRule>
  </conditionalFormatting>
  <conditionalFormatting sqref="B111">
    <cfRule type="containsText" dxfId="124" priority="125" operator="containsText" text="NP">
      <formula>NOT(ISERROR(SEARCH("NP",B111)))</formula>
    </cfRule>
  </conditionalFormatting>
  <conditionalFormatting sqref="B111">
    <cfRule type="expression" dxfId="123" priority="124">
      <formula>ISBLANK(B111)</formula>
    </cfRule>
  </conditionalFormatting>
  <conditionalFormatting sqref="B111">
    <cfRule type="containsText" dxfId="122" priority="123" operator="containsText" text="Reconocimiento Créditos">
      <formula>NOT(ISERROR(SEARCH("Reconocimiento Créditos",B111)))</formula>
    </cfRule>
  </conditionalFormatting>
  <conditionalFormatting sqref="B111">
    <cfRule type="expression" dxfId="121" priority="121">
      <formula>AND(ISNUMBER(B111), OR(B111&gt;10, B111&lt;0))</formula>
    </cfRule>
  </conditionalFormatting>
  <conditionalFormatting sqref="B111">
    <cfRule type="containsText" dxfId="120" priority="120" operator="containsText" text="Reconocimiento Créditos">
      <formula>NOT(ISERROR(SEARCH("Reconocimiento Créditos",B111)))</formula>
    </cfRule>
  </conditionalFormatting>
  <conditionalFormatting sqref="B111">
    <cfRule type="containsText" dxfId="119" priority="122" operator="containsText" text="Aprobado en otro curso">
      <formula>NOT(ISERROR(SEARCH("Aprobado en otro curso",B111)))</formula>
    </cfRule>
  </conditionalFormatting>
  <conditionalFormatting sqref="A112">
    <cfRule type="expression" dxfId="118" priority="118">
      <formula>AND(OR(ROW()=CELL("row"),COLUMN()=CELL("col")),NOT(ISBLANK($C112)),NOT(ISBLANK($B112)),ROW()&gt;2,COLUMN()&gt;1)</formula>
    </cfRule>
  </conditionalFormatting>
  <conditionalFormatting sqref="A112">
    <cfRule type="expression" dxfId="117" priority="117">
      <formula>SUM(--ISBLANK($B112:$J112))=COLUMNS($B112:$J112)</formula>
    </cfRule>
  </conditionalFormatting>
  <conditionalFormatting sqref="A112">
    <cfRule type="containsText" dxfId="116" priority="119" operator="containsText" text="NP">
      <formula>NOT(ISERROR(SEARCH("NP",A112)))</formula>
    </cfRule>
  </conditionalFormatting>
  <conditionalFormatting sqref="A112">
    <cfRule type="expression" dxfId="115" priority="116">
      <formula>ISBLANK(A112)</formula>
    </cfRule>
  </conditionalFormatting>
  <conditionalFormatting sqref="B112">
    <cfRule type="expression" dxfId="114" priority="115">
      <formula>AND(OR(ROW()=CELL("row"),COLUMN()=CELL("col")),NOT(ISBLANK($C112)),NOT(ISBLANK($B112)),ROW()&gt;2,COLUMN()&gt;1)</formula>
    </cfRule>
  </conditionalFormatting>
  <conditionalFormatting sqref="B112">
    <cfRule type="expression" dxfId="113" priority="114">
      <formula>SUM(--ISBLANK($B112:$J112))=COLUMNS($B112:$J112)</formula>
    </cfRule>
  </conditionalFormatting>
  <conditionalFormatting sqref="B112">
    <cfRule type="containsText" dxfId="112" priority="112" operator="containsText" text="NP">
      <formula>NOT(ISERROR(SEARCH("NP",B112)))</formula>
    </cfRule>
    <cfRule type="cellIs" dxfId="111" priority="113" operator="lessThan">
      <formula>5</formula>
    </cfRule>
  </conditionalFormatting>
  <conditionalFormatting sqref="B112">
    <cfRule type="containsText" dxfId="110" priority="111" operator="containsText" text="NP">
      <formula>NOT(ISERROR(SEARCH("NP",B112)))</formula>
    </cfRule>
  </conditionalFormatting>
  <conditionalFormatting sqref="B112">
    <cfRule type="expression" dxfId="109" priority="110">
      <formula>ISBLANK(B112)</formula>
    </cfRule>
  </conditionalFormatting>
  <conditionalFormatting sqref="B112">
    <cfRule type="containsText" dxfId="108" priority="109" operator="containsText" text="Reconocimiento Créditos">
      <formula>NOT(ISERROR(SEARCH("Reconocimiento Créditos",B112)))</formula>
    </cfRule>
  </conditionalFormatting>
  <conditionalFormatting sqref="B112">
    <cfRule type="expression" dxfId="107" priority="107">
      <formula>AND(ISNUMBER(B112), OR(B112&gt;10, B112&lt;0))</formula>
    </cfRule>
  </conditionalFormatting>
  <conditionalFormatting sqref="B112">
    <cfRule type="containsText" dxfId="106" priority="106" operator="containsText" text="Reconocimiento Créditos">
      <formula>NOT(ISERROR(SEARCH("Reconocimiento Créditos",B112)))</formula>
    </cfRule>
  </conditionalFormatting>
  <conditionalFormatting sqref="B112">
    <cfRule type="containsText" dxfId="105" priority="108" operator="containsText" text="Aprobado en otro curso">
      <formula>NOT(ISERROR(SEARCH("Aprobado en otro curso",B112)))</formula>
    </cfRule>
  </conditionalFormatting>
  <conditionalFormatting sqref="A113">
    <cfRule type="expression" dxfId="104" priority="104">
      <formula>AND(OR(ROW()=CELL("row"),COLUMN()=CELL("col")),NOT(ISBLANK($C113)),NOT(ISBLANK($B113)),ROW()&gt;2,COLUMN()&gt;1)</formula>
    </cfRule>
  </conditionalFormatting>
  <conditionalFormatting sqref="A113">
    <cfRule type="expression" dxfId="103" priority="103">
      <formula>SUM(--ISBLANK($B113:$J113))=COLUMNS($B113:$J113)</formula>
    </cfRule>
  </conditionalFormatting>
  <conditionalFormatting sqref="A113">
    <cfRule type="containsText" dxfId="102" priority="105" operator="containsText" text="NP">
      <formula>NOT(ISERROR(SEARCH("NP",A113)))</formula>
    </cfRule>
  </conditionalFormatting>
  <conditionalFormatting sqref="A113">
    <cfRule type="expression" dxfId="101" priority="102">
      <formula>ISBLANK(A113)</formula>
    </cfRule>
  </conditionalFormatting>
  <conditionalFormatting sqref="B113">
    <cfRule type="expression" dxfId="100" priority="101">
      <formula>AND(OR(ROW()=CELL("row"),COLUMN()=CELL("col")),NOT(ISBLANK($C113)),NOT(ISBLANK($B113)),ROW()&gt;2,COLUMN()&gt;1)</formula>
    </cfRule>
  </conditionalFormatting>
  <conditionalFormatting sqref="B113">
    <cfRule type="expression" dxfId="99" priority="100">
      <formula>SUM(--ISBLANK($B113:$J113))=COLUMNS($B113:$J113)</formula>
    </cfRule>
  </conditionalFormatting>
  <conditionalFormatting sqref="B113">
    <cfRule type="containsText" dxfId="98" priority="98" operator="containsText" text="NP">
      <formula>NOT(ISERROR(SEARCH("NP",B113)))</formula>
    </cfRule>
    <cfRule type="cellIs" dxfId="97" priority="99" operator="lessThan">
      <formula>5</formula>
    </cfRule>
  </conditionalFormatting>
  <conditionalFormatting sqref="B113">
    <cfRule type="containsText" dxfId="96" priority="97" operator="containsText" text="NP">
      <formula>NOT(ISERROR(SEARCH("NP",B113)))</formula>
    </cfRule>
  </conditionalFormatting>
  <conditionalFormatting sqref="B113">
    <cfRule type="expression" dxfId="95" priority="96">
      <formula>ISBLANK(B113)</formula>
    </cfRule>
  </conditionalFormatting>
  <conditionalFormatting sqref="B113">
    <cfRule type="containsText" dxfId="94" priority="95" operator="containsText" text="Reconocimiento Créditos">
      <formula>NOT(ISERROR(SEARCH("Reconocimiento Créditos",B113)))</formula>
    </cfRule>
  </conditionalFormatting>
  <conditionalFormatting sqref="B113">
    <cfRule type="expression" dxfId="93" priority="93">
      <formula>AND(ISNUMBER(B113), OR(B113&gt;10, B113&lt;0))</formula>
    </cfRule>
  </conditionalFormatting>
  <conditionalFormatting sqref="B113">
    <cfRule type="expression" dxfId="92" priority="92">
      <formula>AND(NOT(ISNUMBER(B113)), B113&lt;&gt;"NP", B113&lt;&gt;"Reconocimiento Créditos", B113&lt;&gt;"Aprobado en otro curso")</formula>
    </cfRule>
  </conditionalFormatting>
  <conditionalFormatting sqref="B113">
    <cfRule type="containsText" dxfId="91" priority="91" operator="containsText" text="Reconocimiento Créditos">
      <formula>NOT(ISERROR(SEARCH("Reconocimiento Créditos",B113)))</formula>
    </cfRule>
  </conditionalFormatting>
  <conditionalFormatting sqref="B113">
    <cfRule type="containsText" dxfId="90" priority="94" operator="containsText" text="Aprobado en otro curso">
      <formula>NOT(ISERROR(SEARCH("Aprobado en otro curso",B113)))</formula>
    </cfRule>
  </conditionalFormatting>
  <conditionalFormatting sqref="A114">
    <cfRule type="expression" dxfId="89" priority="89">
      <formula>AND(OR(ROW()=CELL("row"),COLUMN()=CELL("col")),NOT(ISBLANK($C114)),NOT(ISBLANK($B114)),ROW()&gt;2,COLUMN()&gt;1)</formula>
    </cfRule>
  </conditionalFormatting>
  <conditionalFormatting sqref="A114">
    <cfRule type="expression" dxfId="88" priority="88">
      <formula>SUM(--ISBLANK($B114:$J114))=COLUMNS($B114:$J114)</formula>
    </cfRule>
  </conditionalFormatting>
  <conditionalFormatting sqref="A114">
    <cfRule type="containsText" dxfId="87" priority="90" operator="containsText" text="NP">
      <formula>NOT(ISERROR(SEARCH("NP",A114)))</formula>
    </cfRule>
  </conditionalFormatting>
  <conditionalFormatting sqref="A114">
    <cfRule type="expression" dxfId="86" priority="87">
      <formula>ISBLANK(A114)</formula>
    </cfRule>
  </conditionalFormatting>
  <conditionalFormatting sqref="B114">
    <cfRule type="expression" dxfId="85" priority="86">
      <formula>AND(OR(ROW()=CELL("row"),COLUMN()=CELL("col")),NOT(ISBLANK($C114)),NOT(ISBLANK($B114)),ROW()&gt;2,COLUMN()&gt;1)</formula>
    </cfRule>
  </conditionalFormatting>
  <conditionalFormatting sqref="B114">
    <cfRule type="expression" dxfId="84" priority="85">
      <formula>SUM(--ISBLANK($B114:$J114))=COLUMNS($B114:$J114)</formula>
    </cfRule>
  </conditionalFormatting>
  <conditionalFormatting sqref="B114">
    <cfRule type="containsText" dxfId="83" priority="83" operator="containsText" text="NP">
      <formula>NOT(ISERROR(SEARCH("NP",B114)))</formula>
    </cfRule>
    <cfRule type="cellIs" dxfId="82" priority="84" operator="lessThan">
      <formula>5</formula>
    </cfRule>
  </conditionalFormatting>
  <conditionalFormatting sqref="B114">
    <cfRule type="containsText" dxfId="81" priority="82" operator="containsText" text="NP">
      <formula>NOT(ISERROR(SEARCH("NP",B114)))</formula>
    </cfRule>
  </conditionalFormatting>
  <conditionalFormatting sqref="B114">
    <cfRule type="expression" dxfId="80" priority="81">
      <formula>ISBLANK(B114)</formula>
    </cfRule>
  </conditionalFormatting>
  <conditionalFormatting sqref="B114">
    <cfRule type="containsText" dxfId="79" priority="80" operator="containsText" text="Reconocimiento Créditos">
      <formula>NOT(ISERROR(SEARCH("Reconocimiento Créditos",B114)))</formula>
    </cfRule>
  </conditionalFormatting>
  <conditionalFormatting sqref="B114">
    <cfRule type="expression" dxfId="78" priority="78">
      <formula>AND(ISNUMBER(B114), OR(B114&gt;10, B114&lt;0))</formula>
    </cfRule>
  </conditionalFormatting>
  <conditionalFormatting sqref="B114">
    <cfRule type="expression" dxfId="77" priority="77">
      <formula>AND(NOT(ISNUMBER(B114)), B114&lt;&gt;"NP", B114&lt;&gt;"Reconocimiento Créditos", B114&lt;&gt;"Aprobado en otro curso")</formula>
    </cfRule>
  </conditionalFormatting>
  <conditionalFormatting sqref="B114">
    <cfRule type="containsText" dxfId="76" priority="76" operator="containsText" text="Reconocimiento Créditos">
      <formula>NOT(ISERROR(SEARCH("Reconocimiento Créditos",B114)))</formula>
    </cfRule>
  </conditionalFormatting>
  <conditionalFormatting sqref="B114">
    <cfRule type="containsText" dxfId="75" priority="79" operator="containsText" text="Aprobado en otro curso">
      <formula>NOT(ISERROR(SEARCH("Aprobado en otro curso",B114)))</formula>
    </cfRule>
  </conditionalFormatting>
  <conditionalFormatting sqref="A115">
    <cfRule type="expression" dxfId="74" priority="74">
      <formula>AND(OR(ROW()=CELL("row"),COLUMN()=CELL("col")),NOT(ISBLANK($C115)),NOT(ISBLANK($B115)),ROW()&gt;2,COLUMN()&gt;1)</formula>
    </cfRule>
  </conditionalFormatting>
  <conditionalFormatting sqref="A115">
    <cfRule type="expression" dxfId="73" priority="73">
      <formula>SUM(--ISBLANK($B115:$J115))=COLUMNS($B115:$J115)</formula>
    </cfRule>
  </conditionalFormatting>
  <conditionalFormatting sqref="A115">
    <cfRule type="containsText" dxfId="72" priority="75" operator="containsText" text="NP">
      <formula>NOT(ISERROR(SEARCH("NP",A115)))</formula>
    </cfRule>
  </conditionalFormatting>
  <conditionalFormatting sqref="A115">
    <cfRule type="expression" dxfId="71" priority="72">
      <formula>ISBLANK(A115)</formula>
    </cfRule>
  </conditionalFormatting>
  <conditionalFormatting sqref="B115">
    <cfRule type="expression" dxfId="70" priority="71">
      <formula>AND(OR(ROW()=CELL("row"),COLUMN()=CELL("col")),NOT(ISBLANK($C115)),NOT(ISBLANK($B115)),ROW()&gt;2,COLUMN()&gt;1)</formula>
    </cfRule>
  </conditionalFormatting>
  <conditionalFormatting sqref="B115">
    <cfRule type="expression" dxfId="69" priority="70">
      <formula>SUM(--ISBLANK($B115:$J115))=COLUMNS($B115:$J115)</formula>
    </cfRule>
  </conditionalFormatting>
  <conditionalFormatting sqref="B115">
    <cfRule type="containsText" dxfId="68" priority="68" operator="containsText" text="NP">
      <formula>NOT(ISERROR(SEARCH("NP",B115)))</formula>
    </cfRule>
    <cfRule type="cellIs" dxfId="67" priority="69" operator="lessThan">
      <formula>5</formula>
    </cfRule>
  </conditionalFormatting>
  <conditionalFormatting sqref="B115">
    <cfRule type="containsText" dxfId="66" priority="67" operator="containsText" text="NP">
      <formula>NOT(ISERROR(SEARCH("NP",B115)))</formula>
    </cfRule>
  </conditionalFormatting>
  <conditionalFormatting sqref="B115">
    <cfRule type="expression" dxfId="65" priority="66">
      <formula>ISBLANK(B115)</formula>
    </cfRule>
  </conditionalFormatting>
  <conditionalFormatting sqref="B115">
    <cfRule type="containsText" dxfId="64" priority="65" operator="containsText" text="Reconocimiento Créditos">
      <formula>NOT(ISERROR(SEARCH("Reconocimiento Créditos",B115)))</formula>
    </cfRule>
  </conditionalFormatting>
  <conditionalFormatting sqref="B115">
    <cfRule type="expression" dxfId="63" priority="63">
      <formula>AND(ISNUMBER(B115), OR(B115&gt;10, B115&lt;0))</formula>
    </cfRule>
  </conditionalFormatting>
  <conditionalFormatting sqref="B115">
    <cfRule type="expression" dxfId="62" priority="62">
      <formula>AND(NOT(ISNUMBER(B115)), B115&lt;&gt;"NP", B115&lt;&gt;"Reconocimiento Créditos", B115&lt;&gt;"Aprobado en otro curso")</formula>
    </cfRule>
  </conditionalFormatting>
  <conditionalFormatting sqref="B115">
    <cfRule type="containsText" dxfId="61" priority="61" operator="containsText" text="Reconocimiento Créditos">
      <formula>NOT(ISERROR(SEARCH("Reconocimiento Créditos",B115)))</formula>
    </cfRule>
  </conditionalFormatting>
  <conditionalFormatting sqref="B115">
    <cfRule type="containsText" dxfId="60" priority="64" operator="containsText" text="Aprobado en otro curso">
      <formula>NOT(ISERROR(SEARCH("Aprobado en otro curso",B115)))</formula>
    </cfRule>
  </conditionalFormatting>
  <conditionalFormatting sqref="A116">
    <cfRule type="expression" dxfId="59" priority="59">
      <formula>AND(OR(ROW()=CELL("row"),COLUMN()=CELL("col")),NOT(ISBLANK($C116)),NOT(ISBLANK($B116)),ROW()&gt;2,COLUMN()&gt;1)</formula>
    </cfRule>
  </conditionalFormatting>
  <conditionalFormatting sqref="A116">
    <cfRule type="expression" dxfId="58" priority="58">
      <formula>SUM(--ISBLANK($B116:$J116))=COLUMNS($B116:$J116)</formula>
    </cfRule>
  </conditionalFormatting>
  <conditionalFormatting sqref="A116">
    <cfRule type="containsText" dxfId="57" priority="60" operator="containsText" text="NP">
      <formula>NOT(ISERROR(SEARCH("NP",A116)))</formula>
    </cfRule>
  </conditionalFormatting>
  <conditionalFormatting sqref="A116">
    <cfRule type="expression" dxfId="56" priority="57">
      <formula>ISBLANK(A116)</formula>
    </cfRule>
  </conditionalFormatting>
  <conditionalFormatting sqref="B116">
    <cfRule type="expression" dxfId="55" priority="56">
      <formula>AND(OR(ROW()=CELL("row"),COLUMN()=CELL("col")),NOT(ISBLANK($C116)),NOT(ISBLANK($B116)),ROW()&gt;2,COLUMN()&gt;1)</formula>
    </cfRule>
  </conditionalFormatting>
  <conditionalFormatting sqref="B116">
    <cfRule type="expression" dxfId="54" priority="55">
      <formula>SUM(--ISBLANK($B116:$J116))=COLUMNS($B116:$J116)</formula>
    </cfRule>
  </conditionalFormatting>
  <conditionalFormatting sqref="B116">
    <cfRule type="containsText" dxfId="53" priority="53" operator="containsText" text="NP">
      <formula>NOT(ISERROR(SEARCH("NP",B116)))</formula>
    </cfRule>
    <cfRule type="cellIs" dxfId="52" priority="54" operator="lessThan">
      <formula>5</formula>
    </cfRule>
  </conditionalFormatting>
  <conditionalFormatting sqref="B116">
    <cfRule type="containsText" dxfId="51" priority="52" operator="containsText" text="NP">
      <formula>NOT(ISERROR(SEARCH("NP",B116)))</formula>
    </cfRule>
  </conditionalFormatting>
  <conditionalFormatting sqref="B116">
    <cfRule type="expression" dxfId="50" priority="51">
      <formula>ISBLANK(B116)</formula>
    </cfRule>
  </conditionalFormatting>
  <conditionalFormatting sqref="B116">
    <cfRule type="containsText" dxfId="49" priority="50" operator="containsText" text="Reconocimiento Créditos">
      <formula>NOT(ISERROR(SEARCH("Reconocimiento Créditos",B116)))</formula>
    </cfRule>
  </conditionalFormatting>
  <conditionalFormatting sqref="B116">
    <cfRule type="expression" dxfId="48" priority="48">
      <formula>AND(ISNUMBER(B116), OR(B116&gt;10, B116&lt;0))</formula>
    </cfRule>
  </conditionalFormatting>
  <conditionalFormatting sqref="B116">
    <cfRule type="expression" dxfId="47" priority="47">
      <formula>AND(NOT(ISNUMBER(B116)), B116&lt;&gt;"NP", B116&lt;&gt;"Reconocimiento Créditos", B116&lt;&gt;"Aprobado en otro curso")</formula>
    </cfRule>
  </conditionalFormatting>
  <conditionalFormatting sqref="B116">
    <cfRule type="containsText" dxfId="46" priority="46" operator="containsText" text="Reconocimiento Créditos">
      <formula>NOT(ISERROR(SEARCH("Reconocimiento Créditos",B116)))</formula>
    </cfRule>
  </conditionalFormatting>
  <conditionalFormatting sqref="B116">
    <cfRule type="containsText" dxfId="45" priority="49" operator="containsText" text="Aprobado en otro curso">
      <formula>NOT(ISERROR(SEARCH("Aprobado en otro curso",B116)))</formula>
    </cfRule>
  </conditionalFormatting>
  <conditionalFormatting sqref="A117">
    <cfRule type="expression" dxfId="44" priority="44">
      <formula>AND(OR(ROW()=CELL("row"),COLUMN()=CELL("col")),NOT(ISBLANK($C117)),NOT(ISBLANK($B117)),ROW()&gt;2,COLUMN()&gt;1)</formula>
    </cfRule>
  </conditionalFormatting>
  <conditionalFormatting sqref="A117">
    <cfRule type="expression" dxfId="43" priority="43">
      <formula>SUM(--ISBLANK($B117:$J117))=COLUMNS($B117:$J117)</formula>
    </cfRule>
  </conditionalFormatting>
  <conditionalFormatting sqref="A117">
    <cfRule type="containsText" dxfId="42" priority="45" operator="containsText" text="NP">
      <formula>NOT(ISERROR(SEARCH("NP",A117)))</formula>
    </cfRule>
  </conditionalFormatting>
  <conditionalFormatting sqref="A117">
    <cfRule type="expression" dxfId="41" priority="42">
      <formula>ISBLANK(A117)</formula>
    </cfRule>
  </conditionalFormatting>
  <conditionalFormatting sqref="B117">
    <cfRule type="expression" dxfId="40" priority="41">
      <formula>AND(OR(ROW()=CELL("row"),COLUMN()=CELL("col")),NOT(ISBLANK($C117)),NOT(ISBLANK($B117)),ROW()&gt;2,COLUMN()&gt;1)</formula>
    </cfRule>
  </conditionalFormatting>
  <conditionalFormatting sqref="B117">
    <cfRule type="expression" dxfId="39" priority="40">
      <formula>SUM(--ISBLANK($B117:$J117))=COLUMNS($B117:$J117)</formula>
    </cfRule>
  </conditionalFormatting>
  <conditionalFormatting sqref="B117">
    <cfRule type="containsText" dxfId="38" priority="38" operator="containsText" text="NP">
      <formula>NOT(ISERROR(SEARCH("NP",B117)))</formula>
    </cfRule>
    <cfRule type="cellIs" dxfId="37" priority="39" operator="lessThan">
      <formula>5</formula>
    </cfRule>
  </conditionalFormatting>
  <conditionalFormatting sqref="B117">
    <cfRule type="containsText" dxfId="36" priority="37" operator="containsText" text="NP">
      <formula>NOT(ISERROR(SEARCH("NP",B117)))</formula>
    </cfRule>
  </conditionalFormatting>
  <conditionalFormatting sqref="B117">
    <cfRule type="expression" dxfId="35" priority="36">
      <formula>ISBLANK(B117)</formula>
    </cfRule>
  </conditionalFormatting>
  <conditionalFormatting sqref="B117">
    <cfRule type="containsText" dxfId="34" priority="35" operator="containsText" text="Reconocimiento Créditos">
      <formula>NOT(ISERROR(SEARCH("Reconocimiento Créditos",B117)))</formula>
    </cfRule>
  </conditionalFormatting>
  <conditionalFormatting sqref="B117">
    <cfRule type="expression" dxfId="33" priority="33">
      <formula>AND(ISNUMBER(B117), OR(B117&gt;10, B117&lt;0))</formula>
    </cfRule>
  </conditionalFormatting>
  <conditionalFormatting sqref="B117">
    <cfRule type="expression" dxfId="32" priority="32">
      <formula>AND(NOT(ISNUMBER(B117)), B117&lt;&gt;"NP", B117&lt;&gt;"Reconocimiento Créditos", B117&lt;&gt;"Aprobado en otro curso")</formula>
    </cfRule>
  </conditionalFormatting>
  <conditionalFormatting sqref="B117">
    <cfRule type="containsText" dxfId="31" priority="31" operator="containsText" text="Reconocimiento Créditos">
      <formula>NOT(ISERROR(SEARCH("Reconocimiento Créditos",B117)))</formula>
    </cfRule>
  </conditionalFormatting>
  <conditionalFormatting sqref="B117">
    <cfRule type="containsText" dxfId="30" priority="34" operator="containsText" text="Aprobado en otro curso">
      <formula>NOT(ISERROR(SEARCH("Aprobado en otro curso",B117)))</formula>
    </cfRule>
  </conditionalFormatting>
  <conditionalFormatting sqref="A118">
    <cfRule type="expression" dxfId="29" priority="29">
      <formula>AND(OR(ROW()=CELL("row"),COLUMN()=CELL("col")),NOT(ISBLANK($C118)),NOT(ISBLANK($B118)),ROW()&gt;2,COLUMN()&gt;1)</formula>
    </cfRule>
  </conditionalFormatting>
  <conditionalFormatting sqref="A118">
    <cfRule type="expression" dxfId="28" priority="28">
      <formula>SUM(--ISBLANK($B118:$J118))=COLUMNS($B118:$J118)</formula>
    </cfRule>
  </conditionalFormatting>
  <conditionalFormatting sqref="A118">
    <cfRule type="containsText" dxfId="27" priority="30" operator="containsText" text="NP">
      <formula>NOT(ISERROR(SEARCH("NP",A118)))</formula>
    </cfRule>
  </conditionalFormatting>
  <conditionalFormatting sqref="A118">
    <cfRule type="expression" dxfId="26" priority="27">
      <formula>ISBLANK(A118)</formula>
    </cfRule>
  </conditionalFormatting>
  <conditionalFormatting sqref="B118">
    <cfRule type="expression" dxfId="25" priority="26">
      <formula>AND(OR(ROW()=CELL("row"),COLUMN()=CELL("col")),NOT(ISBLANK($C118)),NOT(ISBLANK($B118)),ROW()&gt;2,COLUMN()&gt;1)</formula>
    </cfRule>
  </conditionalFormatting>
  <conditionalFormatting sqref="B118">
    <cfRule type="expression" dxfId="24" priority="25">
      <formula>SUM(--ISBLANK($B118:$J118))=COLUMNS($B118:$J118)</formula>
    </cfRule>
  </conditionalFormatting>
  <conditionalFormatting sqref="B118">
    <cfRule type="containsText" dxfId="23" priority="23" operator="containsText" text="NP">
      <formula>NOT(ISERROR(SEARCH("NP",B118)))</formula>
    </cfRule>
    <cfRule type="cellIs" dxfId="22" priority="24" operator="lessThan">
      <formula>5</formula>
    </cfRule>
  </conditionalFormatting>
  <conditionalFormatting sqref="B118">
    <cfRule type="containsText" dxfId="21" priority="22" operator="containsText" text="NP">
      <formula>NOT(ISERROR(SEARCH("NP",B118)))</formula>
    </cfRule>
  </conditionalFormatting>
  <conditionalFormatting sqref="B118">
    <cfRule type="expression" dxfId="20" priority="21">
      <formula>ISBLANK(B118)</formula>
    </cfRule>
  </conditionalFormatting>
  <conditionalFormatting sqref="B118">
    <cfRule type="containsText" dxfId="19" priority="20" operator="containsText" text="Reconocimiento Créditos">
      <formula>NOT(ISERROR(SEARCH("Reconocimiento Créditos",B118)))</formula>
    </cfRule>
  </conditionalFormatting>
  <conditionalFormatting sqref="B118">
    <cfRule type="expression" dxfId="18" priority="18">
      <formula>AND(ISNUMBER(B118), OR(B118&gt;10, B118&lt;0))</formula>
    </cfRule>
  </conditionalFormatting>
  <conditionalFormatting sqref="B118">
    <cfRule type="expression" dxfId="17" priority="17">
      <formula>AND(NOT(ISNUMBER(B118)), B118&lt;&gt;"NP", B118&lt;&gt;"Reconocimiento Créditos", B118&lt;&gt;"Aprobado en otro curso")</formula>
    </cfRule>
  </conditionalFormatting>
  <conditionalFormatting sqref="B118">
    <cfRule type="containsText" dxfId="16" priority="16" operator="containsText" text="Reconocimiento Créditos">
      <formula>NOT(ISERROR(SEARCH("Reconocimiento Créditos",B118)))</formula>
    </cfRule>
  </conditionalFormatting>
  <conditionalFormatting sqref="B118">
    <cfRule type="containsText" dxfId="15" priority="19" operator="containsText" text="Aprobado en otro curso">
      <formula>NOT(ISERROR(SEARCH("Aprobado en otro curso",B118)))</formula>
    </cfRule>
  </conditionalFormatting>
  <conditionalFormatting sqref="A119">
    <cfRule type="expression" dxfId="14" priority="14">
      <formula>AND(OR(ROW()=CELL("row"),COLUMN()=CELL("col")),NOT(ISBLANK($C119)),NOT(ISBLANK($B119)),ROW()&gt;2,COLUMN()&gt;1)</formula>
    </cfRule>
  </conditionalFormatting>
  <conditionalFormatting sqref="A119">
    <cfRule type="expression" dxfId="13" priority="13">
      <formula>SUM(--ISBLANK($B119:$J119))=COLUMNS($B119:$J119)</formula>
    </cfRule>
  </conditionalFormatting>
  <conditionalFormatting sqref="A119">
    <cfRule type="containsText" dxfId="12" priority="15" operator="containsText" text="NP">
      <formula>NOT(ISERROR(SEARCH("NP",A119)))</formula>
    </cfRule>
  </conditionalFormatting>
  <conditionalFormatting sqref="A119">
    <cfRule type="expression" dxfId="11" priority="12">
      <formula>ISBLANK(A119)</formula>
    </cfRule>
  </conditionalFormatting>
  <conditionalFormatting sqref="B119">
    <cfRule type="expression" dxfId="10" priority="11">
      <formula>AND(OR(ROW()=CELL("row"),COLUMN()=CELL("col")),NOT(ISBLANK($C119)),NOT(ISBLANK($B119)),ROW()&gt;2,COLUMN()&gt;1)</formula>
    </cfRule>
  </conditionalFormatting>
  <conditionalFormatting sqref="B119">
    <cfRule type="expression" dxfId="9" priority="10">
      <formula>SUM(--ISBLANK($B119:$J119))=COLUMNS($B119:$J119)</formula>
    </cfRule>
  </conditionalFormatting>
  <conditionalFormatting sqref="B119">
    <cfRule type="containsText" dxfId="8" priority="8" operator="containsText" text="NP">
      <formula>NOT(ISERROR(SEARCH("NP",B119)))</formula>
    </cfRule>
    <cfRule type="cellIs" dxfId="7" priority="9" operator="lessThan">
      <formula>5</formula>
    </cfRule>
  </conditionalFormatting>
  <conditionalFormatting sqref="B119">
    <cfRule type="containsText" dxfId="6" priority="7" operator="containsText" text="NP">
      <formula>NOT(ISERROR(SEARCH("NP",B119)))</formula>
    </cfRule>
  </conditionalFormatting>
  <conditionalFormatting sqref="B119">
    <cfRule type="expression" dxfId="5" priority="6">
      <formula>ISBLANK(B119)</formula>
    </cfRule>
  </conditionalFormatting>
  <conditionalFormatting sqref="B119">
    <cfRule type="containsText" dxfId="4" priority="5" operator="containsText" text="Reconocimiento Créditos">
      <formula>NOT(ISERROR(SEARCH("Reconocimiento Créditos",B119)))</formula>
    </cfRule>
  </conditionalFormatting>
  <conditionalFormatting sqref="B119">
    <cfRule type="expression" dxfId="3" priority="3">
      <formula>AND(ISNUMBER(B119), OR(B119&gt;10, B119&lt;0))</formula>
    </cfRule>
  </conditionalFormatting>
  <conditionalFormatting sqref="B119">
    <cfRule type="expression" dxfId="2" priority="2">
      <formula>AND(NOT(ISNUMBER(B119)), B119&lt;&gt;"NP", B119&lt;&gt;"Reconocimiento Créditos", B119&lt;&gt;"Aprobado en otro curso")</formula>
    </cfRule>
  </conditionalFormatting>
  <conditionalFormatting sqref="B119">
    <cfRule type="containsText" dxfId="1" priority="1" operator="containsText" text="Reconocimiento Créditos">
      <formula>NOT(ISERROR(SEARCH("Reconocimiento Créditos",B119)))</formula>
    </cfRule>
  </conditionalFormatting>
  <conditionalFormatting sqref="B119">
    <cfRule type="containsText" dxfId="0" priority="4" operator="containsText" text="Aprobado en otro curso">
      <formula>NOT(ISERROR(SEARCH("Aprobado en otro curso",B119)))</formula>
    </cfRule>
  </conditionalFormatting>
  <dataValidations count="1">
    <dataValidation type="list" allowBlank="1" showInputMessage="1" showErrorMessage="1" sqref="B3" xr:uid="{85A4BC00-F37F-4C9E-9839-441117D2C31D}">
      <formula1>"Examen,Prueba Complementaria"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3889" r:id="rId3" name="btnExportarPDF">
              <controlPr defaultSize="0" print="0" autoFill="0" autoPict="0" macro="[0]!ExportarInformePDF">
                <anchor moveWithCells="1" sizeWithCells="1">
                  <from>
                    <xdr:col>9</xdr:col>
                    <xdr:colOff>0</xdr:colOff>
                    <xdr:row>0</xdr:row>
                    <xdr:rowOff>0</xdr:rowOff>
                  </from>
                  <to>
                    <xdr:col>13</xdr:col>
                    <xdr:colOff>0</xdr:colOff>
                    <xdr:row>2</xdr:row>
                    <xdr:rowOff>0</xdr:rowOff>
                  </to>
                </anchor>
              </controlPr>
            </control>
          </mc:Choice>
        </mc:AlternateContent>
        <mc:AlternateContent xmlns:mc="http://schemas.openxmlformats.org/markup-compatibility/2006">
          <mc:Choice Requires="x14">
            <control shapeId="293890" r:id="rId4" name="BtnVerDatos">
              <controlPr defaultSize="0" print="0" autoFill="0" autoPict="0" macro="[0]!AlternarVisibilidadDatos">
                <anchor moveWithCells="1" sizeWithCells="1">
                  <from>
                    <xdr:col>13</xdr:col>
                    <xdr:colOff>0</xdr:colOff>
                    <xdr:row>0</xdr:row>
                    <xdr:rowOff>0</xdr:rowOff>
                  </from>
                  <to>
                    <xdr:col>17</xdr:col>
                    <xdr:colOff>0</xdr:colOff>
                    <xdr:row>2</xdr:row>
                    <xdr:rowOff>0</xdr:rowOff>
                  </to>
                </anchor>
              </controlPr>
            </control>
          </mc:Choice>
        </mc:AlternateContent>
        <mc:AlternateContent xmlns:mc="http://schemas.openxmlformats.org/markup-compatibility/2006">
          <mc:Choice Requires="x14">
            <control shapeId="293891" r:id="rId5" name="btnInformTXT">
              <controlPr defaultSize="0" print="0" autoFill="0" autoPict="0" macro="[0]!GenerarTextoEvaluacionExamen">
                <anchor moveWithCells="1" sizeWithCells="1">
                  <from>
                    <xdr:col>17</xdr:col>
                    <xdr:colOff>0</xdr:colOff>
                    <xdr:row>0</xdr:row>
                    <xdr:rowOff>0</xdr:rowOff>
                  </from>
                  <to>
                    <xdr:col>21</xdr:col>
                    <xdr:colOff>0</xdr:colOff>
                    <xdr:row>2</xdr:row>
                    <xdr:rowOff>0</xdr:rowOff>
                  </to>
                </anchor>
              </controlPr>
            </control>
          </mc:Choice>
        </mc:AlternateContent>
        <mc:AlternateContent xmlns:mc="http://schemas.openxmlformats.org/markup-compatibility/2006">
          <mc:Choice Requires="x14">
            <control shapeId="293892" r:id="rId6" name="BtnAyudaEst">
              <controlPr defaultSize="0" print="0" autoFill="0" autoPict="0" macro="[0]!AlternarGuiaEstadistica">
                <anchor moveWithCells="1" sizeWithCells="1">
                  <from>
                    <xdr:col>3</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293893" r:id="rId7" name="Button 5">
              <controlPr defaultSize="0" print="0" autoFill="0" autoPict="0" macro="[0]!EliminarHojaActual">
                <anchor moveWithCells="1" sizeWithCells="1">
                  <from>
                    <xdr:col>5</xdr:col>
                    <xdr:colOff>0</xdr:colOff>
                    <xdr:row>0</xdr:row>
                    <xdr:rowOff>0</xdr:rowOff>
                  </from>
                  <to>
                    <xdr:col>9</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23</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PORTADA</vt:lpstr>
      <vt:lpstr>Notas</vt:lpstr>
      <vt:lpstr>Informe Final Asignatura</vt:lpstr>
      <vt:lpstr>Informe 2º PARCIAL (15%)</vt:lpstr>
      <vt:lpstr>Informe Pepe Garcia Garcia</vt:lpstr>
      <vt:lpstr>Informe ACT COMP (15%)</vt:lpstr>
      <vt:lpstr>'Informe 2º PARCIAL (15%)'!Área_de_impresión</vt:lpstr>
      <vt:lpstr>'Informe Final Asignatura'!Área_de_impresión</vt:lpstr>
      <vt:lpstr>'Informe Pepe Garcia Garcia'!Área_de_impresión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Miguel Triguero Romero</dc:creator>
  <dc:description/>
  <cp:lastModifiedBy>ENM 423 - Miguel Triguero Romero</cp:lastModifiedBy>
  <cp:revision>3</cp:revision>
  <cp:lastPrinted>2026-03-23T15:28:53Z</cp:lastPrinted>
  <dcterms:created xsi:type="dcterms:W3CDTF">2025-10-12T15:59:54Z</dcterms:created>
  <dcterms:modified xsi:type="dcterms:W3CDTF">2026-03-23T15:38:29Z</dcterms:modified>
  <dc:language>en-GB</dc:language>
</cp:coreProperties>
</file>